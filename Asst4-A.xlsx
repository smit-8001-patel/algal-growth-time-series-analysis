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https://azureloyalistcollege-my.sharepoint.com/personal/smitrajendraprasa_loyalistcollege_com/Documents/all/"/>
    </mc:Choice>
  </mc:AlternateContent>
  <xr:revisionPtr revIDLastSave="0" documentId="8_{6F2D5F09-C0AE-4287-8FBF-1D909F286372}" xr6:coauthVersionLast="47" xr6:coauthVersionMax="47" xr10:uidLastSave="{00000000-0000-0000-0000-000000000000}"/>
  <bookViews>
    <workbookView xWindow="-98" yWindow="-98" windowWidth="22695" windowHeight="14476" activeTab="2" xr2:uid="{00000000-000D-0000-FFFF-FFFF00000000}"/>
  </bookViews>
  <sheets>
    <sheet name="Rules" sheetId="4" r:id="rId1"/>
    <sheet name="Question" sheetId="2" r:id="rId2"/>
    <sheet name="Analyses and solution" sheetId="6" r:id="rId3"/>
    <sheet name="Contribution" sheetId="8" r:id="rId4"/>
  </sheets>
  <definedNames>
    <definedName name="_xlchart.v1.0" hidden="1">'Analyses and solution'!$B$1</definedName>
    <definedName name="_xlchart.v1.1" hidden="1">'Analyses and solution'!$B$2:$B$747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49" i="6" l="1"/>
  <c r="AD325" i="6"/>
  <c r="AD385" i="6"/>
  <c r="AC2" i="6"/>
  <c r="AD2" i="6" s="1"/>
  <c r="AC3" i="6"/>
  <c r="AD3" i="6" s="1"/>
  <c r="AC4" i="6"/>
  <c r="AD4" i="6" s="1"/>
  <c r="AC5" i="6"/>
  <c r="AD5" i="6" s="1"/>
  <c r="AC6" i="6"/>
  <c r="AD6" i="6" s="1"/>
  <c r="AC7" i="6"/>
  <c r="AD7" i="6" s="1"/>
  <c r="AC8" i="6"/>
  <c r="AD8" i="6" s="1"/>
  <c r="AC9" i="6"/>
  <c r="AD9" i="6" s="1"/>
  <c r="AC10" i="6"/>
  <c r="AD10" i="6" s="1"/>
  <c r="AC11" i="6"/>
  <c r="AD11" i="6" s="1"/>
  <c r="AC12" i="6"/>
  <c r="AD12" i="6" s="1"/>
  <c r="AC13" i="6"/>
  <c r="AD13" i="6" s="1"/>
  <c r="AC14" i="6"/>
  <c r="AD14" i="6" s="1"/>
  <c r="AC15" i="6"/>
  <c r="AD15" i="6" s="1"/>
  <c r="AC16" i="6"/>
  <c r="AD16" i="6" s="1"/>
  <c r="AC17" i="6"/>
  <c r="AD17" i="6" s="1"/>
  <c r="AC18" i="6"/>
  <c r="AD18" i="6" s="1"/>
  <c r="AC19" i="6"/>
  <c r="AD19" i="6" s="1"/>
  <c r="AC20" i="6"/>
  <c r="AD20" i="6" s="1"/>
  <c r="AC21" i="6"/>
  <c r="AD21" i="6" s="1"/>
  <c r="AC22" i="6"/>
  <c r="AD22" i="6" s="1"/>
  <c r="AC23" i="6"/>
  <c r="AD23" i="6" s="1"/>
  <c r="AC24" i="6"/>
  <c r="AD24" i="6" s="1"/>
  <c r="AC25" i="6"/>
  <c r="AD25" i="6" s="1"/>
  <c r="AC26" i="6"/>
  <c r="AD26" i="6" s="1"/>
  <c r="AC27" i="6"/>
  <c r="AD27" i="6" s="1"/>
  <c r="AC28" i="6"/>
  <c r="AD28" i="6" s="1"/>
  <c r="AC29" i="6"/>
  <c r="AD29" i="6" s="1"/>
  <c r="AC30" i="6"/>
  <c r="AD30" i="6" s="1"/>
  <c r="AC31" i="6"/>
  <c r="AD31" i="6" s="1"/>
  <c r="AC32" i="6"/>
  <c r="AD32" i="6" s="1"/>
  <c r="AC33" i="6"/>
  <c r="AD33" i="6" s="1"/>
  <c r="AC34" i="6"/>
  <c r="AD34" i="6" s="1"/>
  <c r="AC35" i="6"/>
  <c r="AD35" i="6" s="1"/>
  <c r="AC36" i="6"/>
  <c r="AD36" i="6" s="1"/>
  <c r="AC37" i="6"/>
  <c r="AD37" i="6" s="1"/>
  <c r="AC38" i="6"/>
  <c r="AD38" i="6" s="1"/>
  <c r="AC39" i="6"/>
  <c r="AD39" i="6" s="1"/>
  <c r="AC40" i="6"/>
  <c r="AD40" i="6" s="1"/>
  <c r="AC41" i="6"/>
  <c r="AD41" i="6" s="1"/>
  <c r="AC42" i="6"/>
  <c r="AD42" i="6" s="1"/>
  <c r="AC43" i="6"/>
  <c r="AD43" i="6" s="1"/>
  <c r="AC44" i="6"/>
  <c r="AD44" i="6" s="1"/>
  <c r="AC45" i="6"/>
  <c r="AD45" i="6" s="1"/>
  <c r="AC46" i="6"/>
  <c r="AD46" i="6" s="1"/>
  <c r="AC47" i="6"/>
  <c r="AD47" i="6" s="1"/>
  <c r="AC48" i="6"/>
  <c r="AD48" i="6" s="1"/>
  <c r="AC49" i="6"/>
  <c r="AC50" i="6"/>
  <c r="AD50" i="6" s="1"/>
  <c r="AC51" i="6"/>
  <c r="AD51" i="6" s="1"/>
  <c r="AC52" i="6"/>
  <c r="AD52" i="6" s="1"/>
  <c r="AC53" i="6"/>
  <c r="AD53" i="6" s="1"/>
  <c r="AC54" i="6"/>
  <c r="AD54" i="6" s="1"/>
  <c r="AC55" i="6"/>
  <c r="AD55" i="6" s="1"/>
  <c r="AC56" i="6"/>
  <c r="AD56" i="6" s="1"/>
  <c r="AC57" i="6"/>
  <c r="AD57" i="6" s="1"/>
  <c r="AC58" i="6"/>
  <c r="AD58" i="6" s="1"/>
  <c r="AC59" i="6"/>
  <c r="AD59" i="6" s="1"/>
  <c r="AC60" i="6"/>
  <c r="AD60" i="6" s="1"/>
  <c r="AC61" i="6"/>
  <c r="AD61" i="6" s="1"/>
  <c r="AC62" i="6"/>
  <c r="AD62" i="6" s="1"/>
  <c r="AC63" i="6"/>
  <c r="AD63" i="6" s="1"/>
  <c r="AC64" i="6"/>
  <c r="AD64" i="6" s="1"/>
  <c r="AC65" i="6"/>
  <c r="AD65" i="6" s="1"/>
  <c r="AC66" i="6"/>
  <c r="AD66" i="6" s="1"/>
  <c r="AC67" i="6"/>
  <c r="AD67" i="6" s="1"/>
  <c r="AC68" i="6"/>
  <c r="AD68" i="6" s="1"/>
  <c r="AC69" i="6"/>
  <c r="AD69" i="6" s="1"/>
  <c r="AC70" i="6"/>
  <c r="AD70" i="6" s="1"/>
  <c r="AC71" i="6"/>
  <c r="AD71" i="6" s="1"/>
  <c r="AC72" i="6"/>
  <c r="AD72" i="6" s="1"/>
  <c r="AC73" i="6"/>
  <c r="AD73" i="6" s="1"/>
  <c r="AC74" i="6"/>
  <c r="AD74" i="6" s="1"/>
  <c r="AC75" i="6"/>
  <c r="AD75" i="6" s="1"/>
  <c r="AC76" i="6"/>
  <c r="AD76" i="6" s="1"/>
  <c r="AC77" i="6"/>
  <c r="AD77" i="6" s="1"/>
  <c r="AC78" i="6"/>
  <c r="AD78" i="6" s="1"/>
  <c r="AC79" i="6"/>
  <c r="AD79" i="6" s="1"/>
  <c r="AC80" i="6"/>
  <c r="AD80" i="6" s="1"/>
  <c r="AC81" i="6"/>
  <c r="AD81" i="6" s="1"/>
  <c r="AC82" i="6"/>
  <c r="AD82" i="6" s="1"/>
  <c r="AC83" i="6"/>
  <c r="AD83" i="6" s="1"/>
  <c r="AC84" i="6"/>
  <c r="AD84" i="6" s="1"/>
  <c r="AC85" i="6"/>
  <c r="AD85" i="6" s="1"/>
  <c r="AC86" i="6"/>
  <c r="AD86" i="6" s="1"/>
  <c r="AC87" i="6"/>
  <c r="AD87" i="6" s="1"/>
  <c r="AC88" i="6"/>
  <c r="AD88" i="6" s="1"/>
  <c r="AC89" i="6"/>
  <c r="AD89" i="6" s="1"/>
  <c r="AC90" i="6"/>
  <c r="AD90" i="6" s="1"/>
  <c r="AC91" i="6"/>
  <c r="AD91" i="6" s="1"/>
  <c r="AC92" i="6"/>
  <c r="AD92" i="6" s="1"/>
  <c r="AC93" i="6"/>
  <c r="AD93" i="6" s="1"/>
  <c r="AC94" i="6"/>
  <c r="AD94" i="6" s="1"/>
  <c r="AC95" i="6"/>
  <c r="AD95" i="6" s="1"/>
  <c r="AC96" i="6"/>
  <c r="AD96" i="6" s="1"/>
  <c r="AC97" i="6"/>
  <c r="AD97" i="6" s="1"/>
  <c r="AC98" i="6"/>
  <c r="AD98" i="6" s="1"/>
  <c r="AC99" i="6"/>
  <c r="AD99" i="6" s="1"/>
  <c r="AC100" i="6"/>
  <c r="AD100" i="6" s="1"/>
  <c r="AC101" i="6"/>
  <c r="AD101" i="6" s="1"/>
  <c r="AC102" i="6"/>
  <c r="AD102" i="6" s="1"/>
  <c r="AC103" i="6"/>
  <c r="AD103" i="6" s="1"/>
  <c r="AC104" i="6"/>
  <c r="AD104" i="6" s="1"/>
  <c r="AC105" i="6"/>
  <c r="AD105" i="6" s="1"/>
  <c r="AC106" i="6"/>
  <c r="AD106" i="6" s="1"/>
  <c r="AC107" i="6"/>
  <c r="AD107" i="6" s="1"/>
  <c r="AC108" i="6"/>
  <c r="AD108" i="6" s="1"/>
  <c r="AC109" i="6"/>
  <c r="AD109" i="6" s="1"/>
  <c r="AC110" i="6"/>
  <c r="AD110" i="6" s="1"/>
  <c r="AC111" i="6"/>
  <c r="AD111" i="6" s="1"/>
  <c r="AC112" i="6"/>
  <c r="AD112" i="6" s="1"/>
  <c r="AC113" i="6"/>
  <c r="AD113" i="6" s="1"/>
  <c r="AC114" i="6"/>
  <c r="AD114" i="6" s="1"/>
  <c r="AC115" i="6"/>
  <c r="AD115" i="6" s="1"/>
  <c r="AC116" i="6"/>
  <c r="AD116" i="6" s="1"/>
  <c r="AC117" i="6"/>
  <c r="AD117" i="6" s="1"/>
  <c r="AC118" i="6"/>
  <c r="AD118" i="6" s="1"/>
  <c r="AC119" i="6"/>
  <c r="AD119" i="6" s="1"/>
  <c r="AC120" i="6"/>
  <c r="AD120" i="6" s="1"/>
  <c r="AC121" i="6"/>
  <c r="AD121" i="6" s="1"/>
  <c r="AC122" i="6"/>
  <c r="AD122" i="6" s="1"/>
  <c r="AC123" i="6"/>
  <c r="AD123" i="6" s="1"/>
  <c r="AC124" i="6"/>
  <c r="AD124" i="6" s="1"/>
  <c r="AC125" i="6"/>
  <c r="AD125" i="6" s="1"/>
  <c r="AC126" i="6"/>
  <c r="AD126" i="6" s="1"/>
  <c r="AC127" i="6"/>
  <c r="AD127" i="6" s="1"/>
  <c r="AC128" i="6"/>
  <c r="AD128" i="6" s="1"/>
  <c r="AC129" i="6"/>
  <c r="AD129" i="6" s="1"/>
  <c r="AC130" i="6"/>
  <c r="AD130" i="6" s="1"/>
  <c r="AC131" i="6"/>
  <c r="AD131" i="6" s="1"/>
  <c r="AC132" i="6"/>
  <c r="AD132" i="6" s="1"/>
  <c r="AC133" i="6"/>
  <c r="AD133" i="6" s="1"/>
  <c r="AC134" i="6"/>
  <c r="AD134" i="6" s="1"/>
  <c r="AC135" i="6"/>
  <c r="AD135" i="6" s="1"/>
  <c r="AC136" i="6"/>
  <c r="AD136" i="6" s="1"/>
  <c r="AC137" i="6"/>
  <c r="AD137" i="6" s="1"/>
  <c r="AC138" i="6"/>
  <c r="AD138" i="6" s="1"/>
  <c r="AC139" i="6"/>
  <c r="AD139" i="6" s="1"/>
  <c r="AC140" i="6"/>
  <c r="AD140" i="6" s="1"/>
  <c r="AC141" i="6"/>
  <c r="AD141" i="6" s="1"/>
  <c r="AC142" i="6"/>
  <c r="AD142" i="6" s="1"/>
  <c r="AC143" i="6"/>
  <c r="AD143" i="6" s="1"/>
  <c r="AC144" i="6"/>
  <c r="AD144" i="6" s="1"/>
  <c r="AC145" i="6"/>
  <c r="AD145" i="6" s="1"/>
  <c r="AC146" i="6"/>
  <c r="AD146" i="6" s="1"/>
  <c r="AC147" i="6"/>
  <c r="AD147" i="6" s="1"/>
  <c r="AC148" i="6"/>
  <c r="AD148" i="6" s="1"/>
  <c r="AC149" i="6"/>
  <c r="AD149" i="6" s="1"/>
  <c r="AC150" i="6"/>
  <c r="AD150" i="6" s="1"/>
  <c r="AC151" i="6"/>
  <c r="AD151" i="6" s="1"/>
  <c r="AC152" i="6"/>
  <c r="AD152" i="6" s="1"/>
  <c r="AC153" i="6"/>
  <c r="AD153" i="6" s="1"/>
  <c r="AC154" i="6"/>
  <c r="AD154" i="6" s="1"/>
  <c r="AC155" i="6"/>
  <c r="AD155" i="6" s="1"/>
  <c r="AC156" i="6"/>
  <c r="AD156" i="6" s="1"/>
  <c r="AC157" i="6"/>
  <c r="AD157" i="6" s="1"/>
  <c r="AC158" i="6"/>
  <c r="AD158" i="6" s="1"/>
  <c r="AC159" i="6"/>
  <c r="AD159" i="6" s="1"/>
  <c r="AC160" i="6"/>
  <c r="AD160" i="6" s="1"/>
  <c r="AC161" i="6"/>
  <c r="AD161" i="6" s="1"/>
  <c r="AC162" i="6"/>
  <c r="AD162" i="6" s="1"/>
  <c r="AC163" i="6"/>
  <c r="AD163" i="6" s="1"/>
  <c r="AC164" i="6"/>
  <c r="AD164" i="6" s="1"/>
  <c r="AC165" i="6"/>
  <c r="AD165" i="6" s="1"/>
  <c r="AC166" i="6"/>
  <c r="AD166" i="6" s="1"/>
  <c r="AC167" i="6"/>
  <c r="AD167" i="6" s="1"/>
  <c r="AC168" i="6"/>
  <c r="AD168" i="6" s="1"/>
  <c r="AC169" i="6"/>
  <c r="AD169" i="6" s="1"/>
  <c r="AC170" i="6"/>
  <c r="AD170" i="6" s="1"/>
  <c r="AC171" i="6"/>
  <c r="AD171" i="6" s="1"/>
  <c r="AC172" i="6"/>
  <c r="AD172" i="6" s="1"/>
  <c r="AC173" i="6"/>
  <c r="AD173" i="6" s="1"/>
  <c r="AC174" i="6"/>
  <c r="AD174" i="6" s="1"/>
  <c r="AC175" i="6"/>
  <c r="AD175" i="6" s="1"/>
  <c r="AC176" i="6"/>
  <c r="AD176" i="6" s="1"/>
  <c r="AC177" i="6"/>
  <c r="AD177" i="6" s="1"/>
  <c r="AC178" i="6"/>
  <c r="AD178" i="6" s="1"/>
  <c r="AC179" i="6"/>
  <c r="AD179" i="6" s="1"/>
  <c r="AC180" i="6"/>
  <c r="AD180" i="6" s="1"/>
  <c r="AC181" i="6"/>
  <c r="AD181" i="6" s="1"/>
  <c r="AC182" i="6"/>
  <c r="AD182" i="6" s="1"/>
  <c r="AC183" i="6"/>
  <c r="AD183" i="6" s="1"/>
  <c r="AC184" i="6"/>
  <c r="AD184" i="6" s="1"/>
  <c r="AC185" i="6"/>
  <c r="AD185" i="6" s="1"/>
  <c r="AC186" i="6"/>
  <c r="AD186" i="6" s="1"/>
  <c r="AC187" i="6"/>
  <c r="AD187" i="6" s="1"/>
  <c r="AC188" i="6"/>
  <c r="AD188" i="6" s="1"/>
  <c r="AC189" i="6"/>
  <c r="AD189" i="6" s="1"/>
  <c r="AC190" i="6"/>
  <c r="AD190" i="6" s="1"/>
  <c r="AC191" i="6"/>
  <c r="AD191" i="6" s="1"/>
  <c r="AC192" i="6"/>
  <c r="AD192" i="6" s="1"/>
  <c r="AC193" i="6"/>
  <c r="AD193" i="6" s="1"/>
  <c r="AC194" i="6"/>
  <c r="AD194" i="6" s="1"/>
  <c r="AC195" i="6"/>
  <c r="AD195" i="6" s="1"/>
  <c r="AC196" i="6"/>
  <c r="AD196" i="6" s="1"/>
  <c r="AC197" i="6"/>
  <c r="AD197" i="6" s="1"/>
  <c r="AC198" i="6"/>
  <c r="AD198" i="6" s="1"/>
  <c r="AC199" i="6"/>
  <c r="AD199" i="6" s="1"/>
  <c r="AC200" i="6"/>
  <c r="AD200" i="6" s="1"/>
  <c r="AC201" i="6"/>
  <c r="AD201" i="6" s="1"/>
  <c r="AC202" i="6"/>
  <c r="AD202" i="6" s="1"/>
  <c r="AC203" i="6"/>
  <c r="AD203" i="6" s="1"/>
  <c r="AC204" i="6"/>
  <c r="AD204" i="6" s="1"/>
  <c r="AC205" i="6"/>
  <c r="AD205" i="6" s="1"/>
  <c r="AC206" i="6"/>
  <c r="AD206" i="6" s="1"/>
  <c r="AC207" i="6"/>
  <c r="AD207" i="6" s="1"/>
  <c r="AC208" i="6"/>
  <c r="AD208" i="6" s="1"/>
  <c r="AC209" i="6"/>
  <c r="AD209" i="6" s="1"/>
  <c r="AC210" i="6"/>
  <c r="AD210" i="6" s="1"/>
  <c r="AC211" i="6"/>
  <c r="AD211" i="6" s="1"/>
  <c r="AC212" i="6"/>
  <c r="AD212" i="6" s="1"/>
  <c r="AC213" i="6"/>
  <c r="AD213" i="6" s="1"/>
  <c r="AC214" i="6"/>
  <c r="AD214" i="6" s="1"/>
  <c r="AC215" i="6"/>
  <c r="AD215" i="6" s="1"/>
  <c r="AC216" i="6"/>
  <c r="AD216" i="6" s="1"/>
  <c r="AC217" i="6"/>
  <c r="AD217" i="6" s="1"/>
  <c r="AC218" i="6"/>
  <c r="AD218" i="6" s="1"/>
  <c r="AC219" i="6"/>
  <c r="AD219" i="6" s="1"/>
  <c r="AC220" i="6"/>
  <c r="AD220" i="6" s="1"/>
  <c r="AC221" i="6"/>
  <c r="AD221" i="6" s="1"/>
  <c r="AC222" i="6"/>
  <c r="AD222" i="6" s="1"/>
  <c r="AC223" i="6"/>
  <c r="AD223" i="6" s="1"/>
  <c r="AC224" i="6"/>
  <c r="AD224" i="6" s="1"/>
  <c r="AC225" i="6"/>
  <c r="AD225" i="6" s="1"/>
  <c r="AC226" i="6"/>
  <c r="AD226" i="6" s="1"/>
  <c r="AC227" i="6"/>
  <c r="AD227" i="6" s="1"/>
  <c r="AC228" i="6"/>
  <c r="AD228" i="6" s="1"/>
  <c r="AC229" i="6"/>
  <c r="AD229" i="6" s="1"/>
  <c r="AC230" i="6"/>
  <c r="AD230" i="6" s="1"/>
  <c r="AC231" i="6"/>
  <c r="AD231" i="6" s="1"/>
  <c r="AC232" i="6"/>
  <c r="AD232" i="6" s="1"/>
  <c r="AC233" i="6"/>
  <c r="AD233" i="6" s="1"/>
  <c r="AC234" i="6"/>
  <c r="AD234" i="6" s="1"/>
  <c r="AC235" i="6"/>
  <c r="AD235" i="6" s="1"/>
  <c r="AC236" i="6"/>
  <c r="AD236" i="6" s="1"/>
  <c r="AC237" i="6"/>
  <c r="AD237" i="6" s="1"/>
  <c r="AC238" i="6"/>
  <c r="AD238" i="6" s="1"/>
  <c r="AC239" i="6"/>
  <c r="AD239" i="6" s="1"/>
  <c r="AC240" i="6"/>
  <c r="AD240" i="6" s="1"/>
  <c r="AC241" i="6"/>
  <c r="AD241" i="6" s="1"/>
  <c r="AC242" i="6"/>
  <c r="AD242" i="6" s="1"/>
  <c r="AC243" i="6"/>
  <c r="AD243" i="6" s="1"/>
  <c r="AC244" i="6"/>
  <c r="AD244" i="6" s="1"/>
  <c r="AC245" i="6"/>
  <c r="AD245" i="6" s="1"/>
  <c r="AC246" i="6"/>
  <c r="AD246" i="6" s="1"/>
  <c r="AC247" i="6"/>
  <c r="AD247" i="6" s="1"/>
  <c r="AC248" i="6"/>
  <c r="AD248" i="6" s="1"/>
  <c r="AC249" i="6"/>
  <c r="AD249" i="6" s="1"/>
  <c r="AC250" i="6"/>
  <c r="AD250" i="6" s="1"/>
  <c r="AC251" i="6"/>
  <c r="AD251" i="6" s="1"/>
  <c r="AC252" i="6"/>
  <c r="AD252" i="6" s="1"/>
  <c r="AC253" i="6"/>
  <c r="AD253" i="6" s="1"/>
  <c r="AC254" i="6"/>
  <c r="AD254" i="6" s="1"/>
  <c r="AC255" i="6"/>
  <c r="AD255" i="6" s="1"/>
  <c r="AC256" i="6"/>
  <c r="AD256" i="6" s="1"/>
  <c r="AC257" i="6"/>
  <c r="AD257" i="6" s="1"/>
  <c r="AC258" i="6"/>
  <c r="AD258" i="6" s="1"/>
  <c r="AC259" i="6"/>
  <c r="AD259" i="6" s="1"/>
  <c r="AC260" i="6"/>
  <c r="AD260" i="6" s="1"/>
  <c r="AC261" i="6"/>
  <c r="AD261" i="6" s="1"/>
  <c r="AC262" i="6"/>
  <c r="AD262" i="6" s="1"/>
  <c r="AC263" i="6"/>
  <c r="AD263" i="6" s="1"/>
  <c r="AC264" i="6"/>
  <c r="AD264" i="6" s="1"/>
  <c r="AC265" i="6"/>
  <c r="AD265" i="6" s="1"/>
  <c r="AC266" i="6"/>
  <c r="AD266" i="6" s="1"/>
  <c r="AC267" i="6"/>
  <c r="AD267" i="6" s="1"/>
  <c r="AC268" i="6"/>
  <c r="AD268" i="6" s="1"/>
  <c r="AC269" i="6"/>
  <c r="AD269" i="6" s="1"/>
  <c r="AC270" i="6"/>
  <c r="AD270" i="6" s="1"/>
  <c r="AC271" i="6"/>
  <c r="AD271" i="6" s="1"/>
  <c r="AC272" i="6"/>
  <c r="AD272" i="6" s="1"/>
  <c r="AC273" i="6"/>
  <c r="AD273" i="6" s="1"/>
  <c r="AC274" i="6"/>
  <c r="AD274" i="6" s="1"/>
  <c r="AC275" i="6"/>
  <c r="AD275" i="6" s="1"/>
  <c r="AC276" i="6"/>
  <c r="AD276" i="6" s="1"/>
  <c r="AC277" i="6"/>
  <c r="AD277" i="6" s="1"/>
  <c r="AC278" i="6"/>
  <c r="AD278" i="6" s="1"/>
  <c r="AC279" i="6"/>
  <c r="AD279" i="6" s="1"/>
  <c r="AC280" i="6"/>
  <c r="AD280" i="6" s="1"/>
  <c r="AC281" i="6"/>
  <c r="AD281" i="6" s="1"/>
  <c r="AC282" i="6"/>
  <c r="AD282" i="6" s="1"/>
  <c r="AC283" i="6"/>
  <c r="AD283" i="6" s="1"/>
  <c r="AC284" i="6"/>
  <c r="AD284" i="6" s="1"/>
  <c r="AC285" i="6"/>
  <c r="AD285" i="6" s="1"/>
  <c r="AC286" i="6"/>
  <c r="AD286" i="6" s="1"/>
  <c r="AC287" i="6"/>
  <c r="AD287" i="6" s="1"/>
  <c r="AC288" i="6"/>
  <c r="AD288" i="6" s="1"/>
  <c r="AC289" i="6"/>
  <c r="AD289" i="6" s="1"/>
  <c r="AC290" i="6"/>
  <c r="AD290" i="6" s="1"/>
  <c r="AC291" i="6"/>
  <c r="AD291" i="6" s="1"/>
  <c r="AC292" i="6"/>
  <c r="AD292" i="6" s="1"/>
  <c r="AC293" i="6"/>
  <c r="AD293" i="6" s="1"/>
  <c r="AC294" i="6"/>
  <c r="AD294" i="6" s="1"/>
  <c r="AC295" i="6"/>
  <c r="AD295" i="6" s="1"/>
  <c r="AC296" i="6"/>
  <c r="AD296" i="6" s="1"/>
  <c r="AC297" i="6"/>
  <c r="AD297" i="6" s="1"/>
  <c r="AC298" i="6"/>
  <c r="AD298" i="6" s="1"/>
  <c r="AC299" i="6"/>
  <c r="AD299" i="6" s="1"/>
  <c r="AC300" i="6"/>
  <c r="AD300" i="6" s="1"/>
  <c r="AC301" i="6"/>
  <c r="AD301" i="6" s="1"/>
  <c r="AC302" i="6"/>
  <c r="AD302" i="6" s="1"/>
  <c r="AC303" i="6"/>
  <c r="AD303" i="6" s="1"/>
  <c r="AC304" i="6"/>
  <c r="AD304" i="6" s="1"/>
  <c r="AC305" i="6"/>
  <c r="AD305" i="6" s="1"/>
  <c r="AC306" i="6"/>
  <c r="AD306" i="6" s="1"/>
  <c r="AC307" i="6"/>
  <c r="AD307" i="6" s="1"/>
  <c r="AC308" i="6"/>
  <c r="AD308" i="6" s="1"/>
  <c r="AC309" i="6"/>
  <c r="AD309" i="6" s="1"/>
  <c r="AC310" i="6"/>
  <c r="AD310" i="6" s="1"/>
  <c r="AC311" i="6"/>
  <c r="AD311" i="6" s="1"/>
  <c r="AC312" i="6"/>
  <c r="AD312" i="6" s="1"/>
  <c r="AC313" i="6"/>
  <c r="AD313" i="6" s="1"/>
  <c r="AC314" i="6"/>
  <c r="AD314" i="6" s="1"/>
  <c r="AC315" i="6"/>
  <c r="AD315" i="6" s="1"/>
  <c r="AC316" i="6"/>
  <c r="AD316" i="6" s="1"/>
  <c r="AC317" i="6"/>
  <c r="AD317" i="6" s="1"/>
  <c r="AC318" i="6"/>
  <c r="AD318" i="6" s="1"/>
  <c r="AC319" i="6"/>
  <c r="AD319" i="6" s="1"/>
  <c r="AC320" i="6"/>
  <c r="AD320" i="6" s="1"/>
  <c r="AC321" i="6"/>
  <c r="AD321" i="6" s="1"/>
  <c r="AC322" i="6"/>
  <c r="AD322" i="6" s="1"/>
  <c r="AC323" i="6"/>
  <c r="AD323" i="6" s="1"/>
  <c r="AC324" i="6"/>
  <c r="AD324" i="6" s="1"/>
  <c r="AC325" i="6"/>
  <c r="AC326" i="6"/>
  <c r="AD326" i="6" s="1"/>
  <c r="AC327" i="6"/>
  <c r="AD327" i="6" s="1"/>
  <c r="AC328" i="6"/>
  <c r="AD328" i="6" s="1"/>
  <c r="AC329" i="6"/>
  <c r="AD329" i="6" s="1"/>
  <c r="AC330" i="6"/>
  <c r="AD330" i="6" s="1"/>
  <c r="AC331" i="6"/>
  <c r="AD331" i="6" s="1"/>
  <c r="AC332" i="6"/>
  <c r="AD332" i="6" s="1"/>
  <c r="AC333" i="6"/>
  <c r="AD333" i="6" s="1"/>
  <c r="AC334" i="6"/>
  <c r="AD334" i="6" s="1"/>
  <c r="AC335" i="6"/>
  <c r="AD335" i="6" s="1"/>
  <c r="AC336" i="6"/>
  <c r="AD336" i="6" s="1"/>
  <c r="AC337" i="6"/>
  <c r="AD337" i="6" s="1"/>
  <c r="AC338" i="6"/>
  <c r="AD338" i="6" s="1"/>
  <c r="AC339" i="6"/>
  <c r="AD339" i="6" s="1"/>
  <c r="AC340" i="6"/>
  <c r="AD340" i="6" s="1"/>
  <c r="AC341" i="6"/>
  <c r="AD341" i="6" s="1"/>
  <c r="AC342" i="6"/>
  <c r="AD342" i="6" s="1"/>
  <c r="AC343" i="6"/>
  <c r="AD343" i="6" s="1"/>
  <c r="AC344" i="6"/>
  <c r="AD344" i="6" s="1"/>
  <c r="AC345" i="6"/>
  <c r="AD345" i="6" s="1"/>
  <c r="AC346" i="6"/>
  <c r="AD346" i="6" s="1"/>
  <c r="AC347" i="6"/>
  <c r="AD347" i="6" s="1"/>
  <c r="AC348" i="6"/>
  <c r="AD348" i="6" s="1"/>
  <c r="AC349" i="6"/>
  <c r="AD349" i="6" s="1"/>
  <c r="AC350" i="6"/>
  <c r="AD350" i="6" s="1"/>
  <c r="AC351" i="6"/>
  <c r="AD351" i="6" s="1"/>
  <c r="AC352" i="6"/>
  <c r="AD352" i="6" s="1"/>
  <c r="AC353" i="6"/>
  <c r="AD353" i="6" s="1"/>
  <c r="AC354" i="6"/>
  <c r="AD354" i="6" s="1"/>
  <c r="AC355" i="6"/>
  <c r="AD355" i="6" s="1"/>
  <c r="AC356" i="6"/>
  <c r="AD356" i="6" s="1"/>
  <c r="AC357" i="6"/>
  <c r="AD357" i="6" s="1"/>
  <c r="AC358" i="6"/>
  <c r="AD358" i="6" s="1"/>
  <c r="AC359" i="6"/>
  <c r="AD359" i="6" s="1"/>
  <c r="AC360" i="6"/>
  <c r="AD360" i="6" s="1"/>
  <c r="AC361" i="6"/>
  <c r="AD361" i="6" s="1"/>
  <c r="AC362" i="6"/>
  <c r="AD362" i="6" s="1"/>
  <c r="AC363" i="6"/>
  <c r="AD363" i="6" s="1"/>
  <c r="AC364" i="6"/>
  <c r="AD364" i="6" s="1"/>
  <c r="AC365" i="6"/>
  <c r="AD365" i="6" s="1"/>
  <c r="AC366" i="6"/>
  <c r="AD366" i="6" s="1"/>
  <c r="AC367" i="6"/>
  <c r="AD367" i="6" s="1"/>
  <c r="AC368" i="6"/>
  <c r="AD368" i="6" s="1"/>
  <c r="AC369" i="6"/>
  <c r="AD369" i="6" s="1"/>
  <c r="AC370" i="6"/>
  <c r="AD370" i="6" s="1"/>
  <c r="AC371" i="6"/>
  <c r="AD371" i="6" s="1"/>
  <c r="AC372" i="6"/>
  <c r="AD372" i="6" s="1"/>
  <c r="AC373" i="6"/>
  <c r="AD373" i="6" s="1"/>
  <c r="AC374" i="6"/>
  <c r="AD374" i="6" s="1"/>
  <c r="AC375" i="6"/>
  <c r="AD375" i="6" s="1"/>
  <c r="AC376" i="6"/>
  <c r="AD376" i="6" s="1"/>
  <c r="AC377" i="6"/>
  <c r="AD377" i="6" s="1"/>
  <c r="AC378" i="6"/>
  <c r="AD378" i="6" s="1"/>
  <c r="AC379" i="6"/>
  <c r="AD379" i="6" s="1"/>
  <c r="AC380" i="6"/>
  <c r="AD380" i="6" s="1"/>
  <c r="AC381" i="6"/>
  <c r="AD381" i="6" s="1"/>
  <c r="AC382" i="6"/>
  <c r="AD382" i="6" s="1"/>
  <c r="AC383" i="6"/>
  <c r="AD383" i="6" s="1"/>
  <c r="AC384" i="6"/>
  <c r="AD384" i="6" s="1"/>
  <c r="AC385" i="6"/>
  <c r="AC386" i="6"/>
  <c r="AD386" i="6" s="1"/>
  <c r="AC387" i="6"/>
  <c r="AD387" i="6" s="1"/>
  <c r="AC388" i="6"/>
  <c r="AD388" i="6" s="1"/>
  <c r="AC389" i="6"/>
  <c r="AD389" i="6" s="1"/>
  <c r="AC390" i="6"/>
  <c r="AD390" i="6" s="1"/>
  <c r="AC391" i="6"/>
  <c r="AD391" i="6" s="1"/>
  <c r="AC392" i="6"/>
  <c r="AD392" i="6" s="1"/>
  <c r="AC393" i="6"/>
  <c r="AD393" i="6" s="1"/>
  <c r="AC394" i="6"/>
  <c r="AD394" i="6" s="1"/>
  <c r="AC395" i="6"/>
  <c r="AD395" i="6" s="1"/>
  <c r="AC396" i="6"/>
  <c r="AD396" i="6" s="1"/>
  <c r="AC397" i="6"/>
  <c r="AD397" i="6" s="1"/>
  <c r="AC398" i="6"/>
  <c r="AD398" i="6" s="1"/>
  <c r="AC399" i="6"/>
  <c r="AD399" i="6" s="1"/>
  <c r="AC400" i="6"/>
  <c r="AD400" i="6" s="1"/>
  <c r="AC401" i="6"/>
  <c r="AD401" i="6" s="1"/>
  <c r="AC402" i="6"/>
  <c r="AD402" i="6" s="1"/>
  <c r="AC403" i="6"/>
  <c r="AD403" i="6" s="1"/>
  <c r="AC404" i="6"/>
  <c r="AD404" i="6" s="1"/>
  <c r="AC405" i="6"/>
  <c r="AD405" i="6" s="1"/>
  <c r="AC406" i="6"/>
  <c r="AD406" i="6" s="1"/>
  <c r="AC407" i="6"/>
  <c r="AD407" i="6" s="1"/>
  <c r="AC408" i="6"/>
  <c r="AD408" i="6" s="1"/>
  <c r="AC409" i="6"/>
  <c r="AD409" i="6" s="1"/>
  <c r="AC410" i="6"/>
  <c r="AD410" i="6" s="1"/>
  <c r="AC411" i="6"/>
  <c r="AD411" i="6" s="1"/>
  <c r="AC412" i="6"/>
  <c r="AD412" i="6" s="1"/>
  <c r="AC413" i="6"/>
  <c r="AD413" i="6" s="1"/>
  <c r="AC414" i="6"/>
  <c r="AD414" i="6" s="1"/>
  <c r="AC415" i="6"/>
  <c r="AD415" i="6" s="1"/>
  <c r="AC416" i="6"/>
  <c r="AD416" i="6" s="1"/>
  <c r="AC417" i="6"/>
  <c r="AD417" i="6" s="1"/>
  <c r="AC418" i="6"/>
  <c r="AD418" i="6" s="1"/>
  <c r="AC419" i="6"/>
  <c r="AD419" i="6" s="1"/>
  <c r="AC420" i="6"/>
  <c r="AD420" i="6" s="1"/>
  <c r="AC421" i="6"/>
  <c r="AD421" i="6" s="1"/>
  <c r="AC422" i="6"/>
  <c r="AD422" i="6" s="1"/>
  <c r="AC423" i="6"/>
  <c r="AD423" i="6" s="1"/>
  <c r="AC424" i="6"/>
  <c r="AD424" i="6" s="1"/>
  <c r="AC425" i="6"/>
  <c r="AD425" i="6" s="1"/>
  <c r="AC426" i="6"/>
  <c r="AD426" i="6" s="1"/>
  <c r="AC427" i="6"/>
  <c r="AD427" i="6" s="1"/>
  <c r="AC428" i="6"/>
  <c r="AD428" i="6" s="1"/>
  <c r="AC429" i="6"/>
  <c r="AD429" i="6" s="1"/>
  <c r="AC430" i="6"/>
  <c r="AD430" i="6" s="1"/>
  <c r="AC431" i="6"/>
  <c r="AD431" i="6" s="1"/>
  <c r="AC432" i="6"/>
  <c r="AD432" i="6" s="1"/>
  <c r="AC433" i="6"/>
  <c r="AD433" i="6" s="1"/>
  <c r="AC434" i="6"/>
  <c r="AD434" i="6" s="1"/>
  <c r="AC435" i="6"/>
  <c r="AD435" i="6" s="1"/>
  <c r="AC436" i="6"/>
  <c r="AD436" i="6" s="1"/>
  <c r="AC437" i="6"/>
  <c r="AD437" i="6" s="1"/>
  <c r="AC438" i="6"/>
  <c r="AD438" i="6" s="1"/>
  <c r="AC439" i="6"/>
  <c r="AD439" i="6" s="1"/>
  <c r="AC440" i="6"/>
  <c r="AD440" i="6" s="1"/>
  <c r="AC441" i="6"/>
  <c r="AD441" i="6" s="1"/>
  <c r="AC442" i="6"/>
  <c r="AD442" i="6" s="1"/>
  <c r="AC443" i="6"/>
  <c r="AD443" i="6" s="1"/>
  <c r="AC444" i="6"/>
  <c r="AD444" i="6" s="1"/>
  <c r="AC445" i="6"/>
  <c r="AD445" i="6" s="1"/>
  <c r="AC446" i="6"/>
  <c r="AD446" i="6" s="1"/>
  <c r="AC447" i="6"/>
  <c r="AD447" i="6" s="1"/>
  <c r="AC448" i="6"/>
  <c r="AD448" i="6" s="1"/>
  <c r="AC449" i="6"/>
  <c r="AD449" i="6" s="1"/>
  <c r="AC450" i="6"/>
  <c r="AD450" i="6" s="1"/>
  <c r="AC451" i="6"/>
  <c r="AD451" i="6" s="1"/>
  <c r="AC452" i="6"/>
  <c r="AD452" i="6" s="1"/>
  <c r="AC453" i="6"/>
  <c r="AD453" i="6" s="1"/>
  <c r="AC454" i="6"/>
  <c r="AD454" i="6" s="1"/>
  <c r="AC455" i="6"/>
  <c r="AD455" i="6" s="1"/>
  <c r="AC456" i="6"/>
  <c r="AD456" i="6" s="1"/>
  <c r="AC457" i="6"/>
  <c r="AD457" i="6" s="1"/>
  <c r="AC458" i="6"/>
  <c r="AD458" i="6" s="1"/>
  <c r="AC459" i="6"/>
  <c r="AD459" i="6" s="1"/>
  <c r="AC460" i="6"/>
  <c r="AD460" i="6" s="1"/>
  <c r="AC461" i="6"/>
  <c r="AD461" i="6" s="1"/>
  <c r="AC462" i="6"/>
  <c r="AD462" i="6" s="1"/>
  <c r="AC463" i="6"/>
  <c r="AD463" i="6" s="1"/>
  <c r="AC464" i="6"/>
  <c r="AD464" i="6" s="1"/>
  <c r="AC465" i="6"/>
  <c r="AD465" i="6" s="1"/>
  <c r="AC466" i="6"/>
  <c r="AD466" i="6" s="1"/>
  <c r="AC467" i="6"/>
  <c r="AD467" i="6" s="1"/>
  <c r="AC468" i="6"/>
  <c r="AD468" i="6" s="1"/>
  <c r="AC469" i="6"/>
  <c r="AD469" i="6" s="1"/>
  <c r="AC470" i="6"/>
  <c r="AD470" i="6" s="1"/>
  <c r="AC471" i="6"/>
  <c r="AD471" i="6" s="1"/>
  <c r="AC472" i="6"/>
  <c r="AD472" i="6" s="1"/>
  <c r="AC473" i="6"/>
  <c r="AD473" i="6" s="1"/>
  <c r="AC474" i="6"/>
  <c r="AD474" i="6" s="1"/>
  <c r="AC475" i="6"/>
  <c r="AD475" i="6" s="1"/>
  <c r="AC476" i="6"/>
  <c r="AD476" i="6" s="1"/>
  <c r="AC477" i="6"/>
  <c r="AD477" i="6" s="1"/>
  <c r="AC478" i="6"/>
  <c r="AD478" i="6" s="1"/>
  <c r="AC479" i="6"/>
  <c r="AD479" i="6" s="1"/>
  <c r="AC480" i="6"/>
  <c r="AD480" i="6" s="1"/>
  <c r="AC481" i="6"/>
  <c r="AD481" i="6" s="1"/>
  <c r="AC482" i="6"/>
  <c r="AD482" i="6" s="1"/>
  <c r="AC483" i="6"/>
  <c r="AD483" i="6" s="1"/>
  <c r="AC484" i="6"/>
  <c r="AD484" i="6" s="1"/>
  <c r="AC485" i="6"/>
  <c r="AD485" i="6" s="1"/>
  <c r="AC486" i="6"/>
  <c r="AD486" i="6" s="1"/>
  <c r="AC487" i="6"/>
  <c r="AD487" i="6" s="1"/>
  <c r="AC488" i="6"/>
  <c r="AD488" i="6" s="1"/>
  <c r="AC489" i="6"/>
  <c r="AD489" i="6" s="1"/>
  <c r="AC490" i="6"/>
  <c r="AD490" i="6" s="1"/>
  <c r="AC491" i="6"/>
  <c r="AD491" i="6" s="1"/>
  <c r="AC492" i="6"/>
  <c r="AD492" i="6" s="1"/>
  <c r="AC493" i="6"/>
  <c r="AD493" i="6" s="1"/>
  <c r="AC494" i="6"/>
  <c r="AD494" i="6" s="1"/>
  <c r="AC495" i="6"/>
  <c r="AD495" i="6" s="1"/>
  <c r="AC496" i="6"/>
  <c r="AD496" i="6" s="1"/>
  <c r="AC497" i="6"/>
  <c r="AD497" i="6" s="1"/>
  <c r="AC498" i="6"/>
  <c r="AD498" i="6" s="1"/>
  <c r="AC499" i="6"/>
  <c r="AD499" i="6" s="1"/>
  <c r="AC500" i="6"/>
  <c r="AD500" i="6" s="1"/>
  <c r="AC501" i="6"/>
  <c r="AD501" i="6" s="1"/>
  <c r="AC502" i="6"/>
  <c r="AD502" i="6" s="1"/>
  <c r="AC503" i="6"/>
  <c r="AD503" i="6" s="1"/>
  <c r="AC504" i="6"/>
  <c r="AD504" i="6" s="1"/>
  <c r="AC505" i="6"/>
  <c r="AD505" i="6" s="1"/>
  <c r="AC506" i="6"/>
  <c r="AD506" i="6" s="1"/>
  <c r="AC507" i="6"/>
  <c r="AD507" i="6" s="1"/>
  <c r="AC508" i="6"/>
  <c r="AD508" i="6" s="1"/>
  <c r="AC509" i="6"/>
  <c r="AD509" i="6" s="1"/>
  <c r="AC510" i="6"/>
  <c r="AD510" i="6" s="1"/>
  <c r="AC511" i="6"/>
  <c r="AD511" i="6" s="1"/>
  <c r="AC512" i="6"/>
  <c r="AD512" i="6" s="1"/>
  <c r="AC513" i="6"/>
  <c r="AD513" i="6" s="1"/>
  <c r="AC514" i="6"/>
  <c r="AD514" i="6" s="1"/>
  <c r="AC515" i="6"/>
  <c r="AD515" i="6" s="1"/>
  <c r="AC516" i="6"/>
  <c r="AD516" i="6" s="1"/>
  <c r="AC517" i="6"/>
  <c r="AD517" i="6" s="1"/>
  <c r="AC518" i="6"/>
  <c r="AD518" i="6" s="1"/>
  <c r="AC519" i="6"/>
  <c r="AD519" i="6" s="1"/>
  <c r="AC520" i="6"/>
  <c r="AD520" i="6" s="1"/>
  <c r="AC521" i="6"/>
  <c r="AD521" i="6" s="1"/>
  <c r="AC522" i="6"/>
  <c r="AD522" i="6" s="1"/>
  <c r="AC523" i="6"/>
  <c r="AD523" i="6" s="1"/>
  <c r="AC524" i="6"/>
  <c r="AD524" i="6" s="1"/>
  <c r="AC525" i="6"/>
  <c r="AD525" i="6" s="1"/>
  <c r="AC526" i="6"/>
  <c r="AD526" i="6" s="1"/>
  <c r="AC527" i="6"/>
  <c r="AD527" i="6" s="1"/>
  <c r="AC528" i="6"/>
  <c r="AD528" i="6" s="1"/>
  <c r="AC529" i="6"/>
  <c r="AD529" i="6" s="1"/>
  <c r="AC530" i="6"/>
  <c r="AD530" i="6" s="1"/>
  <c r="AC531" i="6"/>
  <c r="AD531" i="6" s="1"/>
  <c r="AC532" i="6"/>
  <c r="AD532" i="6" s="1"/>
  <c r="AC533" i="6"/>
  <c r="AD533" i="6" s="1"/>
  <c r="AC534" i="6"/>
  <c r="AD534" i="6" s="1"/>
  <c r="AC535" i="6"/>
  <c r="AD535" i="6" s="1"/>
  <c r="AC536" i="6"/>
  <c r="AD536" i="6" s="1"/>
  <c r="AC537" i="6"/>
  <c r="AD537" i="6" s="1"/>
  <c r="AC538" i="6"/>
  <c r="AD538" i="6" s="1"/>
  <c r="AC539" i="6"/>
  <c r="AD539" i="6" s="1"/>
  <c r="AC540" i="6"/>
  <c r="AD540" i="6" s="1"/>
  <c r="AC541" i="6"/>
  <c r="AD541" i="6" s="1"/>
  <c r="AC542" i="6"/>
  <c r="AD542" i="6" s="1"/>
  <c r="AC543" i="6"/>
  <c r="AD543" i="6" s="1"/>
  <c r="AC544" i="6"/>
  <c r="AD544" i="6" s="1"/>
  <c r="AC545" i="6"/>
  <c r="AD545" i="6" s="1"/>
  <c r="AC546" i="6"/>
  <c r="AD546" i="6" s="1"/>
  <c r="AC547" i="6"/>
  <c r="AD547" i="6" s="1"/>
  <c r="AC548" i="6"/>
  <c r="AD548" i="6" s="1"/>
  <c r="AC549" i="6"/>
  <c r="AD549" i="6" s="1"/>
  <c r="AC550" i="6"/>
  <c r="AD550" i="6" s="1"/>
  <c r="AC551" i="6"/>
  <c r="AD551" i="6" s="1"/>
  <c r="AC552" i="6"/>
  <c r="AD552" i="6" s="1"/>
  <c r="AC553" i="6"/>
  <c r="AD553" i="6" s="1"/>
  <c r="AC554" i="6"/>
  <c r="AD554" i="6" s="1"/>
  <c r="AC555" i="6"/>
  <c r="AD555" i="6" s="1"/>
  <c r="AC556" i="6"/>
  <c r="AD556" i="6" s="1"/>
  <c r="AC557" i="6"/>
  <c r="AD557" i="6" s="1"/>
  <c r="AC558" i="6"/>
  <c r="AD558" i="6" s="1"/>
  <c r="AC559" i="6"/>
  <c r="AD559" i="6" s="1"/>
  <c r="AC560" i="6"/>
  <c r="AD560" i="6" s="1"/>
  <c r="AC561" i="6"/>
  <c r="AD561" i="6" s="1"/>
  <c r="AC562" i="6"/>
  <c r="AD562" i="6" s="1"/>
  <c r="AC563" i="6"/>
  <c r="AD563" i="6" s="1"/>
  <c r="AC564" i="6"/>
  <c r="AD564" i="6" s="1"/>
  <c r="AC565" i="6"/>
  <c r="AD565" i="6" s="1"/>
  <c r="AC566" i="6"/>
  <c r="AD566" i="6" s="1"/>
  <c r="AC567" i="6"/>
  <c r="AD567" i="6" s="1"/>
  <c r="AC568" i="6"/>
  <c r="AD568" i="6" s="1"/>
  <c r="AC569" i="6"/>
  <c r="AD569" i="6" s="1"/>
  <c r="AC570" i="6"/>
  <c r="AD570" i="6" s="1"/>
  <c r="AC571" i="6"/>
  <c r="AD571" i="6" s="1"/>
  <c r="AC572" i="6"/>
  <c r="AD572" i="6" s="1"/>
  <c r="AC573" i="6"/>
  <c r="AD573" i="6" s="1"/>
  <c r="AC574" i="6"/>
  <c r="AD574" i="6" s="1"/>
  <c r="AC575" i="6"/>
  <c r="AD575" i="6" s="1"/>
  <c r="AC576" i="6"/>
  <c r="AD576" i="6" s="1"/>
  <c r="AC577" i="6"/>
  <c r="AD577" i="6" s="1"/>
  <c r="AC578" i="6"/>
  <c r="AD578" i="6" s="1"/>
  <c r="AC579" i="6"/>
  <c r="AD579" i="6" s="1"/>
  <c r="AC580" i="6"/>
  <c r="AD580" i="6" s="1"/>
  <c r="AC581" i="6"/>
  <c r="AD581" i="6" s="1"/>
  <c r="AC582" i="6"/>
  <c r="AD582" i="6" s="1"/>
  <c r="AC583" i="6"/>
  <c r="AD583" i="6" s="1"/>
  <c r="AC584" i="6"/>
  <c r="AD584" i="6" s="1"/>
  <c r="AC585" i="6"/>
  <c r="AD585" i="6" s="1"/>
  <c r="AC586" i="6"/>
  <c r="AD586" i="6" s="1"/>
  <c r="AC587" i="6"/>
  <c r="AD587" i="6" s="1"/>
  <c r="AC588" i="6"/>
  <c r="AD588" i="6" s="1"/>
  <c r="AC589" i="6"/>
  <c r="AD589" i="6" s="1"/>
  <c r="AC590" i="6"/>
  <c r="AD590" i="6" s="1"/>
  <c r="AC591" i="6"/>
  <c r="AD591" i="6" s="1"/>
  <c r="AC592" i="6"/>
  <c r="AD592" i="6" s="1"/>
  <c r="AC593" i="6"/>
  <c r="AD593" i="6" s="1"/>
  <c r="AC594" i="6"/>
  <c r="AD594" i="6" s="1"/>
  <c r="AC595" i="6"/>
  <c r="AD595" i="6" s="1"/>
  <c r="AC596" i="6"/>
  <c r="AD596" i="6" s="1"/>
  <c r="AC597" i="6"/>
  <c r="AD597" i="6" s="1"/>
  <c r="AC598" i="6"/>
  <c r="AD598" i="6" s="1"/>
  <c r="AC599" i="6"/>
  <c r="AD599" i="6" s="1"/>
  <c r="AC600" i="6"/>
  <c r="AD600" i="6" s="1"/>
  <c r="AC601" i="6"/>
  <c r="AD601" i="6" s="1"/>
  <c r="AC602" i="6"/>
  <c r="AD602" i="6" s="1"/>
  <c r="AC603" i="6"/>
  <c r="AD603" i="6" s="1"/>
  <c r="AC604" i="6"/>
  <c r="AD604" i="6" s="1"/>
  <c r="AC605" i="6"/>
  <c r="AD605" i="6" s="1"/>
  <c r="AC606" i="6"/>
  <c r="AD606" i="6" s="1"/>
  <c r="AC607" i="6"/>
  <c r="AD607" i="6" s="1"/>
  <c r="AC608" i="6"/>
  <c r="AD608" i="6" s="1"/>
  <c r="AC609" i="6"/>
  <c r="AD609" i="6" s="1"/>
  <c r="AC610" i="6"/>
  <c r="AD610" i="6" s="1"/>
  <c r="AC611" i="6"/>
  <c r="AD611" i="6" s="1"/>
  <c r="AC612" i="6"/>
  <c r="AD612" i="6" s="1"/>
  <c r="AC613" i="6"/>
  <c r="AD613" i="6" s="1"/>
  <c r="AC614" i="6"/>
  <c r="AD614" i="6" s="1"/>
  <c r="AC615" i="6"/>
  <c r="AD615" i="6" s="1"/>
  <c r="AC616" i="6"/>
  <c r="AD616" i="6" s="1"/>
  <c r="AC617" i="6"/>
  <c r="AD617" i="6" s="1"/>
  <c r="AC618" i="6"/>
  <c r="AD618" i="6" s="1"/>
  <c r="AC619" i="6"/>
  <c r="AD619" i="6" s="1"/>
  <c r="AC620" i="6"/>
  <c r="AD620" i="6" s="1"/>
  <c r="AC621" i="6"/>
  <c r="AD621" i="6" s="1"/>
  <c r="AC622" i="6"/>
  <c r="AD622" i="6" s="1"/>
  <c r="AC623" i="6"/>
  <c r="AD623" i="6" s="1"/>
  <c r="AC624" i="6"/>
  <c r="AD624" i="6" s="1"/>
  <c r="AC625" i="6"/>
  <c r="AD625" i="6" s="1"/>
  <c r="AC626" i="6"/>
  <c r="AD626" i="6" s="1"/>
  <c r="AC627" i="6"/>
  <c r="AD627" i="6" s="1"/>
  <c r="AC628" i="6"/>
  <c r="AD628" i="6" s="1"/>
  <c r="AC629" i="6"/>
  <c r="AD629" i="6" s="1"/>
  <c r="AC630" i="6"/>
  <c r="AD630" i="6" s="1"/>
  <c r="AC631" i="6"/>
  <c r="AD631" i="6" s="1"/>
  <c r="AC632" i="6"/>
  <c r="AD632" i="6" s="1"/>
  <c r="AC633" i="6"/>
  <c r="AD633" i="6" s="1"/>
  <c r="AC634" i="6"/>
  <c r="AD634" i="6" s="1"/>
  <c r="AC635" i="6"/>
  <c r="AD635" i="6" s="1"/>
  <c r="AC636" i="6"/>
  <c r="AD636" i="6" s="1"/>
  <c r="AC637" i="6"/>
  <c r="AD637" i="6" s="1"/>
  <c r="AC638" i="6"/>
  <c r="AD638" i="6" s="1"/>
  <c r="AC639" i="6"/>
  <c r="AD639" i="6" s="1"/>
  <c r="AC640" i="6"/>
  <c r="AD640" i="6" s="1"/>
  <c r="AC641" i="6"/>
  <c r="AD641" i="6" s="1"/>
  <c r="AC642" i="6"/>
  <c r="AD642" i="6" s="1"/>
  <c r="AC643" i="6"/>
  <c r="AD643" i="6" s="1"/>
  <c r="AC644" i="6"/>
  <c r="AD644" i="6" s="1"/>
  <c r="AC645" i="6"/>
  <c r="AD645" i="6" s="1"/>
  <c r="AC646" i="6"/>
  <c r="AD646" i="6" s="1"/>
  <c r="AC647" i="6"/>
  <c r="AD647" i="6" s="1"/>
  <c r="AC648" i="6"/>
  <c r="AD648" i="6" s="1"/>
  <c r="AC649" i="6"/>
  <c r="AD649" i="6" s="1"/>
  <c r="AC650" i="6"/>
  <c r="AD650" i="6" s="1"/>
  <c r="AC651" i="6"/>
  <c r="AD651" i="6" s="1"/>
  <c r="AC652" i="6"/>
  <c r="AD652" i="6" s="1"/>
  <c r="AC653" i="6"/>
  <c r="AD653" i="6" s="1"/>
  <c r="AC654" i="6"/>
  <c r="AD654" i="6" s="1"/>
  <c r="AC655" i="6"/>
  <c r="AD655" i="6" s="1"/>
  <c r="AC656" i="6"/>
  <c r="AD656" i="6" s="1"/>
  <c r="AC657" i="6"/>
  <c r="AD657" i="6" s="1"/>
  <c r="AC658" i="6"/>
  <c r="AD658" i="6" s="1"/>
  <c r="AC659" i="6"/>
  <c r="AD659" i="6" s="1"/>
  <c r="AC660" i="6"/>
  <c r="AD660" i="6" s="1"/>
  <c r="AC661" i="6"/>
  <c r="AD661" i="6" s="1"/>
  <c r="AC662" i="6"/>
  <c r="AD662" i="6" s="1"/>
  <c r="AC663" i="6"/>
  <c r="AD663" i="6" s="1"/>
  <c r="AC664" i="6"/>
  <c r="AD664" i="6" s="1"/>
  <c r="AC665" i="6"/>
  <c r="AD665" i="6" s="1"/>
  <c r="AC666" i="6"/>
  <c r="AD666" i="6" s="1"/>
  <c r="AC667" i="6"/>
  <c r="AD667" i="6" s="1"/>
  <c r="AC668" i="6"/>
  <c r="AD668" i="6" s="1"/>
  <c r="AC669" i="6"/>
  <c r="AD669" i="6" s="1"/>
  <c r="AC670" i="6"/>
  <c r="AD670" i="6" s="1"/>
  <c r="AC671" i="6"/>
  <c r="AD671" i="6" s="1"/>
  <c r="AC672" i="6"/>
  <c r="AD672" i="6" s="1"/>
  <c r="AC673" i="6"/>
  <c r="AD673" i="6" s="1"/>
  <c r="AC674" i="6"/>
  <c r="AD674" i="6" s="1"/>
  <c r="AC675" i="6"/>
  <c r="AD675" i="6" s="1"/>
  <c r="AC676" i="6"/>
  <c r="AD676" i="6" s="1"/>
  <c r="AC677" i="6"/>
  <c r="AD677" i="6" s="1"/>
  <c r="AC678" i="6"/>
  <c r="AD678" i="6" s="1"/>
  <c r="AC679" i="6"/>
  <c r="AD679" i="6" s="1"/>
  <c r="AC680" i="6"/>
  <c r="AD680" i="6" s="1"/>
  <c r="AC681" i="6"/>
  <c r="AD681" i="6" s="1"/>
  <c r="AC682" i="6"/>
  <c r="AD682" i="6" s="1"/>
  <c r="AC683" i="6"/>
  <c r="AD683" i="6" s="1"/>
  <c r="AC684" i="6"/>
  <c r="AD684" i="6" s="1"/>
  <c r="AC685" i="6"/>
  <c r="AD685" i="6" s="1"/>
  <c r="AC686" i="6"/>
  <c r="AD686" i="6" s="1"/>
  <c r="AC687" i="6"/>
  <c r="AD687" i="6" s="1"/>
  <c r="AC688" i="6"/>
  <c r="AD688" i="6" s="1"/>
  <c r="AC689" i="6"/>
  <c r="AD689" i="6" s="1"/>
  <c r="AC690" i="6"/>
  <c r="AD690" i="6" s="1"/>
  <c r="AC691" i="6"/>
  <c r="AD691" i="6" s="1"/>
  <c r="AC692" i="6"/>
  <c r="AD692" i="6" s="1"/>
  <c r="AC693" i="6"/>
  <c r="AD693" i="6" s="1"/>
  <c r="AC694" i="6"/>
  <c r="AD694" i="6" s="1"/>
  <c r="AC695" i="6"/>
  <c r="AD695" i="6" s="1"/>
  <c r="AC696" i="6"/>
  <c r="AD696" i="6" s="1"/>
  <c r="AC697" i="6"/>
  <c r="AD697" i="6" s="1"/>
  <c r="AC698" i="6"/>
  <c r="AD698" i="6" s="1"/>
  <c r="AC699" i="6"/>
  <c r="AD699" i="6" s="1"/>
  <c r="AC700" i="6"/>
  <c r="AD700" i="6" s="1"/>
  <c r="AC701" i="6"/>
  <c r="AD701" i="6" s="1"/>
  <c r="AC702" i="6"/>
  <c r="AD702" i="6" s="1"/>
  <c r="AC703" i="6"/>
  <c r="AD703" i="6" s="1"/>
  <c r="AC704" i="6"/>
  <c r="AD704" i="6" s="1"/>
  <c r="AC705" i="6"/>
  <c r="AD705" i="6" s="1"/>
  <c r="AC706" i="6"/>
  <c r="AD706" i="6" s="1"/>
  <c r="AC707" i="6"/>
  <c r="AD707" i="6" s="1"/>
  <c r="AC708" i="6"/>
  <c r="AD708" i="6" s="1"/>
  <c r="AC709" i="6"/>
  <c r="AD709" i="6" s="1"/>
  <c r="AC710" i="6"/>
  <c r="AD710" i="6" s="1"/>
  <c r="AC711" i="6"/>
  <c r="AD711" i="6" s="1"/>
  <c r="AC712" i="6"/>
  <c r="AD712" i="6" s="1"/>
  <c r="AC713" i="6"/>
  <c r="AD713" i="6" s="1"/>
  <c r="AC714" i="6"/>
  <c r="AD714" i="6" s="1"/>
  <c r="AC715" i="6"/>
  <c r="AD715" i="6" s="1"/>
  <c r="AC716" i="6"/>
  <c r="AD716" i="6" s="1"/>
  <c r="AC717" i="6"/>
  <c r="AD717" i="6" s="1"/>
  <c r="AC718" i="6"/>
  <c r="AD718" i="6" s="1"/>
  <c r="AC719" i="6"/>
  <c r="AD719" i="6" s="1"/>
  <c r="AC720" i="6"/>
  <c r="AD720" i="6" s="1"/>
  <c r="AC721" i="6"/>
  <c r="AD721" i="6" s="1"/>
  <c r="AC722" i="6"/>
  <c r="AD722" i="6" s="1"/>
  <c r="AC723" i="6"/>
  <c r="AD723" i="6" s="1"/>
  <c r="AC724" i="6"/>
  <c r="AD724" i="6" s="1"/>
  <c r="AC725" i="6"/>
  <c r="AD725" i="6" s="1"/>
  <c r="AC726" i="6"/>
  <c r="AD726" i="6" s="1"/>
  <c r="AC727" i="6"/>
  <c r="AD727" i="6" s="1"/>
  <c r="AC728" i="6"/>
  <c r="AD728" i="6" s="1"/>
  <c r="AC729" i="6"/>
  <c r="AD729" i="6" s="1"/>
  <c r="AC730" i="6"/>
  <c r="AD730" i="6" s="1"/>
  <c r="AC731" i="6"/>
  <c r="AD731" i="6" s="1"/>
  <c r="AC732" i="6"/>
  <c r="AD732" i="6" s="1"/>
  <c r="AC733" i="6"/>
  <c r="AD733" i="6" s="1"/>
  <c r="AC734" i="6"/>
  <c r="AD734" i="6" s="1"/>
  <c r="AC735" i="6"/>
  <c r="AD735" i="6" s="1"/>
  <c r="AC736" i="6"/>
  <c r="AD736" i="6" s="1"/>
  <c r="AC737" i="6"/>
  <c r="AD737" i="6" s="1"/>
  <c r="AC738" i="6"/>
  <c r="AD738" i="6" s="1"/>
  <c r="AC739" i="6"/>
  <c r="AD739" i="6" s="1"/>
  <c r="AC740" i="6"/>
  <c r="AD740" i="6" s="1"/>
  <c r="AC741" i="6"/>
  <c r="AD741" i="6" s="1"/>
  <c r="AC742" i="6"/>
  <c r="AD742" i="6" s="1"/>
  <c r="AC743" i="6"/>
  <c r="AD743" i="6" s="1"/>
  <c r="AC744" i="6"/>
  <c r="AD744" i="6" s="1"/>
  <c r="AC745" i="6"/>
  <c r="AD745" i="6" s="1"/>
  <c r="AC746" i="6"/>
  <c r="AD746" i="6" s="1"/>
  <c r="AC747" i="6"/>
  <c r="AD747" i="6" s="1"/>
  <c r="V3" i="6"/>
  <c r="D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4"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83" i="6"/>
  <c r="AB84" i="6"/>
  <c r="AB85" i="6"/>
  <c r="AB86" i="6"/>
  <c r="AB87" i="6"/>
  <c r="AB88" i="6"/>
  <c r="AB89" i="6"/>
  <c r="AB90" i="6"/>
  <c r="AB91" i="6"/>
  <c r="AB92" i="6"/>
  <c r="AB93" i="6"/>
  <c r="AB94" i="6"/>
  <c r="AB95" i="6"/>
  <c r="AB96" i="6"/>
  <c r="AB97" i="6"/>
  <c r="AB98" i="6"/>
  <c r="AB99" i="6"/>
  <c r="AB100" i="6"/>
  <c r="AB101" i="6"/>
  <c r="AB102" i="6"/>
  <c r="AB103" i="6"/>
  <c r="AB104" i="6"/>
  <c r="AB105" i="6"/>
  <c r="AB106" i="6"/>
  <c r="AB107" i="6"/>
  <c r="AB108" i="6"/>
  <c r="AB109" i="6"/>
  <c r="AB110" i="6"/>
  <c r="AB111" i="6"/>
  <c r="AB112" i="6"/>
  <c r="AB113" i="6"/>
  <c r="AB114" i="6"/>
  <c r="AB115" i="6"/>
  <c r="AB116" i="6"/>
  <c r="AB117" i="6"/>
  <c r="AB118" i="6"/>
  <c r="AB119" i="6"/>
  <c r="AB120" i="6"/>
  <c r="AB121" i="6"/>
  <c r="AB122" i="6"/>
  <c r="AB123" i="6"/>
  <c r="AB124" i="6"/>
  <c r="AB125" i="6"/>
  <c r="AB126" i="6"/>
  <c r="AB127" i="6"/>
  <c r="AB128" i="6"/>
  <c r="AB129" i="6"/>
  <c r="AB130" i="6"/>
  <c r="AB131" i="6"/>
  <c r="AB132" i="6"/>
  <c r="AB133" i="6"/>
  <c r="AB134" i="6"/>
  <c r="AB135" i="6"/>
  <c r="AB136" i="6"/>
  <c r="AB137" i="6"/>
  <c r="AB138" i="6"/>
  <c r="AB139" i="6"/>
  <c r="AB140" i="6"/>
  <c r="AB141" i="6"/>
  <c r="AB142" i="6"/>
  <c r="AB143" i="6"/>
  <c r="AB144" i="6"/>
  <c r="AB145" i="6"/>
  <c r="AB146" i="6"/>
  <c r="AB147" i="6"/>
  <c r="AB148" i="6"/>
  <c r="AB149" i="6"/>
  <c r="AB150" i="6"/>
  <c r="AB151" i="6"/>
  <c r="AB152" i="6"/>
  <c r="AB153" i="6"/>
  <c r="AB154" i="6"/>
  <c r="AB155" i="6"/>
  <c r="AB156" i="6"/>
  <c r="AB157" i="6"/>
  <c r="AB158" i="6"/>
  <c r="AB159" i="6"/>
  <c r="AB160" i="6"/>
  <c r="AB161" i="6"/>
  <c r="AB162" i="6"/>
  <c r="AB163" i="6"/>
  <c r="AB164" i="6"/>
  <c r="AB165" i="6"/>
  <c r="AB166" i="6"/>
  <c r="AB167" i="6"/>
  <c r="AB168" i="6"/>
  <c r="AB169" i="6"/>
  <c r="AB170" i="6"/>
  <c r="AB171" i="6"/>
  <c r="AB172" i="6"/>
  <c r="AB173" i="6"/>
  <c r="AB174" i="6"/>
  <c r="AB175" i="6"/>
  <c r="AB176" i="6"/>
  <c r="AB177" i="6"/>
  <c r="AB178" i="6"/>
  <c r="AB179" i="6"/>
  <c r="AB180" i="6"/>
  <c r="AB181" i="6"/>
  <c r="AB182" i="6"/>
  <c r="AB183" i="6"/>
  <c r="AB184" i="6"/>
  <c r="AB185" i="6"/>
  <c r="AB186" i="6"/>
  <c r="AB187" i="6"/>
  <c r="AB188" i="6"/>
  <c r="AB189" i="6"/>
  <c r="AB190" i="6"/>
  <c r="AB191" i="6"/>
  <c r="AB192" i="6"/>
  <c r="AB193" i="6"/>
  <c r="AB194" i="6"/>
  <c r="AB195" i="6"/>
  <c r="AB196" i="6"/>
  <c r="AB197" i="6"/>
  <c r="AB198" i="6"/>
  <c r="AB199" i="6"/>
  <c r="AB200" i="6"/>
  <c r="AB201" i="6"/>
  <c r="AB202" i="6"/>
  <c r="AB203" i="6"/>
  <c r="AB204" i="6"/>
  <c r="AB205" i="6"/>
  <c r="AB206" i="6"/>
  <c r="AB207" i="6"/>
  <c r="AB208" i="6"/>
  <c r="AB209" i="6"/>
  <c r="AB210" i="6"/>
  <c r="AB211" i="6"/>
  <c r="AB212" i="6"/>
  <c r="AB213" i="6"/>
  <c r="AB214" i="6"/>
  <c r="AB215" i="6"/>
  <c r="AB216" i="6"/>
  <c r="AB217" i="6"/>
  <c r="AB218" i="6"/>
  <c r="AB219" i="6"/>
  <c r="AB220" i="6"/>
  <c r="AB221" i="6"/>
  <c r="AB222" i="6"/>
  <c r="AB223" i="6"/>
  <c r="AB224" i="6"/>
  <c r="AB225" i="6"/>
  <c r="AB226" i="6"/>
  <c r="AB227" i="6"/>
  <c r="AB228" i="6"/>
  <c r="AB229" i="6"/>
  <c r="AB230" i="6"/>
  <c r="AB231" i="6"/>
  <c r="AB232" i="6"/>
  <c r="AB233" i="6"/>
  <c r="AB234" i="6"/>
  <c r="AB235" i="6"/>
  <c r="AB236" i="6"/>
  <c r="AB237" i="6"/>
  <c r="AB238" i="6"/>
  <c r="AB239" i="6"/>
  <c r="AB240" i="6"/>
  <c r="AB241" i="6"/>
  <c r="AB242" i="6"/>
  <c r="AB243" i="6"/>
  <c r="AB244" i="6"/>
  <c r="AB245" i="6"/>
  <c r="AB246" i="6"/>
  <c r="AB247" i="6"/>
  <c r="AB248" i="6"/>
  <c r="AB249" i="6"/>
  <c r="AB250" i="6"/>
  <c r="AB251" i="6"/>
  <c r="AB252" i="6"/>
  <c r="AB253" i="6"/>
  <c r="AB254" i="6"/>
  <c r="AB255" i="6"/>
  <c r="AB256" i="6"/>
  <c r="AB257" i="6"/>
  <c r="AB258" i="6"/>
  <c r="AB259" i="6"/>
  <c r="AB260" i="6"/>
  <c r="AB261" i="6"/>
  <c r="AB262" i="6"/>
  <c r="AB263" i="6"/>
  <c r="AB264" i="6"/>
  <c r="AB265" i="6"/>
  <c r="AB266" i="6"/>
  <c r="AB267" i="6"/>
  <c r="AB268" i="6"/>
  <c r="AB269" i="6"/>
  <c r="AB270" i="6"/>
  <c r="AB271" i="6"/>
  <c r="AB272" i="6"/>
  <c r="AB273" i="6"/>
  <c r="AB274" i="6"/>
  <c r="AB275" i="6"/>
  <c r="AB276" i="6"/>
  <c r="AB277" i="6"/>
  <c r="AB278" i="6"/>
  <c r="AB279" i="6"/>
  <c r="AB280" i="6"/>
  <c r="AB281" i="6"/>
  <c r="AB282" i="6"/>
  <c r="AB283" i="6"/>
  <c r="AB284" i="6"/>
  <c r="AB285" i="6"/>
  <c r="AB286" i="6"/>
  <c r="AB287" i="6"/>
  <c r="AB288" i="6"/>
  <c r="AB289" i="6"/>
  <c r="AB290" i="6"/>
  <c r="AB291" i="6"/>
  <c r="AB292" i="6"/>
  <c r="AB293" i="6"/>
  <c r="AB294" i="6"/>
  <c r="AB295" i="6"/>
  <c r="AB296" i="6"/>
  <c r="AB297" i="6"/>
  <c r="AB298" i="6"/>
  <c r="AB299" i="6"/>
  <c r="AB300" i="6"/>
  <c r="AB301" i="6"/>
  <c r="AB302" i="6"/>
  <c r="AB303" i="6"/>
  <c r="AB304" i="6"/>
  <c r="AB305" i="6"/>
  <c r="AB306" i="6"/>
  <c r="AB307" i="6"/>
  <c r="AB308" i="6"/>
  <c r="AB309" i="6"/>
  <c r="AB310" i="6"/>
  <c r="AB311" i="6"/>
  <c r="AB312" i="6"/>
  <c r="AB313" i="6"/>
  <c r="AB314" i="6"/>
  <c r="AB315" i="6"/>
  <c r="AB316" i="6"/>
  <c r="AB317" i="6"/>
  <c r="AB318" i="6"/>
  <c r="AB319" i="6"/>
  <c r="AB320" i="6"/>
  <c r="AB321" i="6"/>
  <c r="AB322" i="6"/>
  <c r="AB323" i="6"/>
  <c r="AB324" i="6"/>
  <c r="AB325" i="6"/>
  <c r="AB326" i="6"/>
  <c r="AB327" i="6"/>
  <c r="AB328" i="6"/>
  <c r="AB329" i="6"/>
  <c r="AB330" i="6"/>
  <c r="AB331" i="6"/>
  <c r="AB332" i="6"/>
  <c r="AB333" i="6"/>
  <c r="AB334" i="6"/>
  <c r="AB335" i="6"/>
  <c r="AB336" i="6"/>
  <c r="AB337" i="6"/>
  <c r="AB338" i="6"/>
  <c r="AB339" i="6"/>
  <c r="AB340" i="6"/>
  <c r="AB341" i="6"/>
  <c r="AB342" i="6"/>
  <c r="AB343" i="6"/>
  <c r="AB344" i="6"/>
  <c r="AB345" i="6"/>
  <c r="AB346" i="6"/>
  <c r="AB347" i="6"/>
  <c r="AB348" i="6"/>
  <c r="AB349" i="6"/>
  <c r="AB350" i="6"/>
  <c r="AB351" i="6"/>
  <c r="AB352" i="6"/>
  <c r="AB353" i="6"/>
  <c r="AB354" i="6"/>
  <c r="AB355" i="6"/>
  <c r="AB356" i="6"/>
  <c r="AB357" i="6"/>
  <c r="AB358" i="6"/>
  <c r="AB359" i="6"/>
  <c r="AB360" i="6"/>
  <c r="AB361" i="6"/>
  <c r="AB362" i="6"/>
  <c r="AB363" i="6"/>
  <c r="AB364" i="6"/>
  <c r="AB365" i="6"/>
  <c r="AB366" i="6"/>
  <c r="AB367" i="6"/>
  <c r="AB368" i="6"/>
  <c r="AB369" i="6"/>
  <c r="AB370" i="6"/>
  <c r="AB371" i="6"/>
  <c r="AB372" i="6"/>
  <c r="AB373" i="6"/>
  <c r="AB374" i="6"/>
  <c r="AB375" i="6"/>
  <c r="AB376" i="6"/>
  <c r="AB377" i="6"/>
  <c r="AB378" i="6"/>
  <c r="AB379" i="6"/>
  <c r="AB380" i="6"/>
  <c r="AB381" i="6"/>
  <c r="AB382" i="6"/>
  <c r="AB383" i="6"/>
  <c r="AB384" i="6"/>
  <c r="AB385" i="6"/>
  <c r="AB386" i="6"/>
  <c r="AB387" i="6"/>
  <c r="AB388" i="6"/>
  <c r="AB389" i="6"/>
  <c r="AB390" i="6"/>
  <c r="AB391" i="6"/>
  <c r="AB392" i="6"/>
  <c r="AB393" i="6"/>
  <c r="AB394" i="6"/>
  <c r="AB395" i="6"/>
  <c r="AB396" i="6"/>
  <c r="AB397" i="6"/>
  <c r="AB398" i="6"/>
  <c r="AB399" i="6"/>
  <c r="AB400" i="6"/>
  <c r="AB401" i="6"/>
  <c r="AB402" i="6"/>
  <c r="AB403" i="6"/>
  <c r="AB404" i="6"/>
  <c r="AB405" i="6"/>
  <c r="AB406" i="6"/>
  <c r="AB407" i="6"/>
  <c r="AB408" i="6"/>
  <c r="AB409" i="6"/>
  <c r="AB410" i="6"/>
  <c r="AB411" i="6"/>
  <c r="AB412" i="6"/>
  <c r="AB413" i="6"/>
  <c r="AB414" i="6"/>
  <c r="AB415" i="6"/>
  <c r="AB416" i="6"/>
  <c r="AB417" i="6"/>
  <c r="AB418" i="6"/>
  <c r="AB419" i="6"/>
  <c r="AB420" i="6"/>
  <c r="AB421" i="6"/>
  <c r="AB422" i="6"/>
  <c r="AB423" i="6"/>
  <c r="AB424" i="6"/>
  <c r="AB425" i="6"/>
  <c r="AB426" i="6"/>
  <c r="AB427" i="6"/>
  <c r="AB428" i="6"/>
  <c r="AB429" i="6"/>
  <c r="AB430" i="6"/>
  <c r="AB431" i="6"/>
  <c r="AB432" i="6"/>
  <c r="AB433" i="6"/>
  <c r="AB434" i="6"/>
  <c r="AB435" i="6"/>
  <c r="AB436" i="6"/>
  <c r="AB437" i="6"/>
  <c r="AB438" i="6"/>
  <c r="AB439" i="6"/>
  <c r="AB440" i="6"/>
  <c r="AB441" i="6"/>
  <c r="AB442" i="6"/>
  <c r="AB443" i="6"/>
  <c r="AB444" i="6"/>
  <c r="AB445" i="6"/>
  <c r="AB446" i="6"/>
  <c r="AB447" i="6"/>
  <c r="AB448" i="6"/>
  <c r="AB449" i="6"/>
  <c r="AB450" i="6"/>
  <c r="AB451" i="6"/>
  <c r="AB452" i="6"/>
  <c r="AB453" i="6"/>
  <c r="AB454" i="6"/>
  <c r="AB455" i="6"/>
  <c r="AB456" i="6"/>
  <c r="AB457" i="6"/>
  <c r="AB458" i="6"/>
  <c r="AB459" i="6"/>
  <c r="AB460" i="6"/>
  <c r="AB461" i="6"/>
  <c r="AB462" i="6"/>
  <c r="AB463" i="6"/>
  <c r="AB464" i="6"/>
  <c r="AB465" i="6"/>
  <c r="AB466" i="6"/>
  <c r="AB467" i="6"/>
  <c r="AB468" i="6"/>
  <c r="AB469" i="6"/>
  <c r="AB470" i="6"/>
  <c r="AB471" i="6"/>
  <c r="AB472" i="6"/>
  <c r="AB473" i="6"/>
  <c r="AB474" i="6"/>
  <c r="AB475" i="6"/>
  <c r="AB476" i="6"/>
  <c r="AB477" i="6"/>
  <c r="AB478" i="6"/>
  <c r="AB479" i="6"/>
  <c r="AB480" i="6"/>
  <c r="AB481" i="6"/>
  <c r="AB482" i="6"/>
  <c r="AB483" i="6"/>
  <c r="AB484" i="6"/>
  <c r="AB485" i="6"/>
  <c r="AB486" i="6"/>
  <c r="AB487" i="6"/>
  <c r="AB488" i="6"/>
  <c r="AB489" i="6"/>
  <c r="AB490" i="6"/>
  <c r="AB491" i="6"/>
  <c r="AB492" i="6"/>
  <c r="AB493" i="6"/>
  <c r="AB494" i="6"/>
  <c r="AB495" i="6"/>
  <c r="AB496" i="6"/>
  <c r="AB497" i="6"/>
  <c r="AB498" i="6"/>
  <c r="AB499" i="6"/>
  <c r="AB500" i="6"/>
  <c r="AB501" i="6"/>
  <c r="AB502" i="6"/>
  <c r="AB503" i="6"/>
  <c r="AB504" i="6"/>
  <c r="AB505" i="6"/>
  <c r="AB506" i="6"/>
  <c r="AB507" i="6"/>
  <c r="AB508" i="6"/>
  <c r="AB509" i="6"/>
  <c r="AB510" i="6"/>
  <c r="AB511" i="6"/>
  <c r="AB512" i="6"/>
  <c r="AB513" i="6"/>
  <c r="AB514" i="6"/>
  <c r="AB515" i="6"/>
  <c r="AB516" i="6"/>
  <c r="AB517" i="6"/>
  <c r="AB518" i="6"/>
  <c r="AB519" i="6"/>
  <c r="AB520" i="6"/>
  <c r="AB521" i="6"/>
  <c r="AB522" i="6"/>
  <c r="AB523" i="6"/>
  <c r="AB524" i="6"/>
  <c r="AB525" i="6"/>
  <c r="AB526" i="6"/>
  <c r="AB527" i="6"/>
  <c r="AB528" i="6"/>
  <c r="AB529" i="6"/>
  <c r="AB530" i="6"/>
  <c r="AB531" i="6"/>
  <c r="AB532" i="6"/>
  <c r="AB533" i="6"/>
  <c r="AB534" i="6"/>
  <c r="AB535" i="6"/>
  <c r="AB536" i="6"/>
  <c r="AB537" i="6"/>
  <c r="AB538" i="6"/>
  <c r="AB539" i="6"/>
  <c r="AB540" i="6"/>
  <c r="AB541" i="6"/>
  <c r="AB542" i="6"/>
  <c r="AB543" i="6"/>
  <c r="AB544" i="6"/>
  <c r="AB545" i="6"/>
  <c r="AB546" i="6"/>
  <c r="AB547" i="6"/>
  <c r="AB548" i="6"/>
  <c r="AB549" i="6"/>
  <c r="AB550" i="6"/>
  <c r="AB551" i="6"/>
  <c r="AB552" i="6"/>
  <c r="AB553" i="6"/>
  <c r="AB554" i="6"/>
  <c r="AB555" i="6"/>
  <c r="AB556" i="6"/>
  <c r="AB557" i="6"/>
  <c r="AB558" i="6"/>
  <c r="AB559" i="6"/>
  <c r="AB560" i="6"/>
  <c r="AB561" i="6"/>
  <c r="AB562" i="6"/>
  <c r="AB563" i="6"/>
  <c r="AB564" i="6"/>
  <c r="AB565" i="6"/>
  <c r="AB566" i="6"/>
  <c r="AB567" i="6"/>
  <c r="AB568" i="6"/>
  <c r="AB569" i="6"/>
  <c r="AB570" i="6"/>
  <c r="AB571" i="6"/>
  <c r="AB572" i="6"/>
  <c r="AB573" i="6"/>
  <c r="AB574" i="6"/>
  <c r="AB575" i="6"/>
  <c r="AB576" i="6"/>
  <c r="AB577" i="6"/>
  <c r="AB578" i="6"/>
  <c r="AB579" i="6"/>
  <c r="AB580" i="6"/>
  <c r="AB581" i="6"/>
  <c r="AB582" i="6"/>
  <c r="AB583" i="6"/>
  <c r="AB584" i="6"/>
  <c r="AB585" i="6"/>
  <c r="AB586" i="6"/>
  <c r="AB587" i="6"/>
  <c r="AB588" i="6"/>
  <c r="AB589" i="6"/>
  <c r="AB590" i="6"/>
  <c r="AB591" i="6"/>
  <c r="AB592" i="6"/>
  <c r="AB593" i="6"/>
  <c r="AB594" i="6"/>
  <c r="AB595" i="6"/>
  <c r="AB596" i="6"/>
  <c r="AB597" i="6"/>
  <c r="AB598" i="6"/>
  <c r="AB599" i="6"/>
  <c r="AB600" i="6"/>
  <c r="AB601" i="6"/>
  <c r="AB602" i="6"/>
  <c r="AB603" i="6"/>
  <c r="AB604" i="6"/>
  <c r="AB605" i="6"/>
  <c r="AB606" i="6"/>
  <c r="AB607" i="6"/>
  <c r="AB608" i="6"/>
  <c r="AB609" i="6"/>
  <c r="AB610" i="6"/>
  <c r="AB611" i="6"/>
  <c r="AB612" i="6"/>
  <c r="AB613" i="6"/>
  <c r="AB614" i="6"/>
  <c r="AB615" i="6"/>
  <c r="AB616" i="6"/>
  <c r="AB617" i="6"/>
  <c r="AB618" i="6"/>
  <c r="AB619" i="6"/>
  <c r="AB620" i="6"/>
  <c r="AB621" i="6"/>
  <c r="AB622" i="6"/>
  <c r="AB623" i="6"/>
  <c r="AB624" i="6"/>
  <c r="AB625" i="6"/>
  <c r="AB626" i="6"/>
  <c r="AB627" i="6"/>
  <c r="AB628" i="6"/>
  <c r="AB629" i="6"/>
  <c r="AB630" i="6"/>
  <c r="AB631" i="6"/>
  <c r="AB632" i="6"/>
  <c r="AB633" i="6"/>
  <c r="AB634" i="6"/>
  <c r="AB635" i="6"/>
  <c r="AB636" i="6"/>
  <c r="AB637" i="6"/>
  <c r="AB638" i="6"/>
  <c r="AB639" i="6"/>
  <c r="AB640" i="6"/>
  <c r="AB641" i="6"/>
  <c r="AB642" i="6"/>
  <c r="AB643" i="6"/>
  <c r="AB644" i="6"/>
  <c r="AB645" i="6"/>
  <c r="AB646" i="6"/>
  <c r="AB647" i="6"/>
  <c r="AB648" i="6"/>
  <c r="AB649" i="6"/>
  <c r="AB650" i="6"/>
  <c r="AB651" i="6"/>
  <c r="AB652" i="6"/>
  <c r="AB653" i="6"/>
  <c r="AB654" i="6"/>
  <c r="AB655" i="6"/>
  <c r="AB656" i="6"/>
  <c r="AB657" i="6"/>
  <c r="AB658" i="6"/>
  <c r="AB659" i="6"/>
  <c r="AB660" i="6"/>
  <c r="AB661" i="6"/>
  <c r="AB662" i="6"/>
  <c r="AB663" i="6"/>
  <c r="AB664" i="6"/>
  <c r="AB665" i="6"/>
  <c r="AB666" i="6"/>
  <c r="AB667" i="6"/>
  <c r="AB668" i="6"/>
  <c r="AB669" i="6"/>
  <c r="AB670" i="6"/>
  <c r="AB671" i="6"/>
  <c r="AB672" i="6"/>
  <c r="AB673" i="6"/>
  <c r="AB674" i="6"/>
  <c r="AB675" i="6"/>
  <c r="AB676" i="6"/>
  <c r="AB677" i="6"/>
  <c r="AB678" i="6"/>
  <c r="AB679" i="6"/>
  <c r="AB680" i="6"/>
  <c r="AB681" i="6"/>
  <c r="AB682" i="6"/>
  <c r="AB683" i="6"/>
  <c r="AB684" i="6"/>
  <c r="AB685" i="6"/>
  <c r="AB686" i="6"/>
  <c r="AB687" i="6"/>
  <c r="AB688" i="6"/>
  <c r="AB689" i="6"/>
  <c r="AB690" i="6"/>
  <c r="AB691" i="6"/>
  <c r="AB692" i="6"/>
  <c r="AB693" i="6"/>
  <c r="AB694" i="6"/>
  <c r="AB695" i="6"/>
  <c r="AB696" i="6"/>
  <c r="AB697" i="6"/>
  <c r="AB698" i="6"/>
  <c r="AB699" i="6"/>
  <c r="AB700" i="6"/>
  <c r="AB701" i="6"/>
  <c r="AB702" i="6"/>
  <c r="AB703" i="6"/>
  <c r="AB704" i="6"/>
  <c r="AB705" i="6"/>
  <c r="AB706" i="6"/>
  <c r="AB707" i="6"/>
  <c r="AB708" i="6"/>
  <c r="AB709" i="6"/>
  <c r="AB710" i="6"/>
  <c r="AB711" i="6"/>
  <c r="AB712" i="6"/>
  <c r="AB713" i="6"/>
  <c r="AB714" i="6"/>
  <c r="AB715" i="6"/>
  <c r="AB716" i="6"/>
  <c r="AB717" i="6"/>
  <c r="AB718" i="6"/>
  <c r="AB719" i="6"/>
  <c r="AB720" i="6"/>
  <c r="AB721" i="6"/>
  <c r="AB722" i="6"/>
  <c r="AB723" i="6"/>
  <c r="AB724" i="6"/>
  <c r="AB725" i="6"/>
  <c r="AB726" i="6"/>
  <c r="AB727" i="6"/>
  <c r="AB728" i="6"/>
  <c r="AB729" i="6"/>
  <c r="AB730" i="6"/>
  <c r="AB731" i="6"/>
  <c r="AB732" i="6"/>
  <c r="AB733" i="6"/>
  <c r="AB734" i="6"/>
  <c r="AB735" i="6"/>
  <c r="AB736" i="6"/>
  <c r="AB737" i="6"/>
  <c r="AB738" i="6"/>
  <c r="AB739" i="6"/>
  <c r="AB740" i="6"/>
  <c r="AB741" i="6"/>
  <c r="AB742" i="6"/>
  <c r="AB743" i="6"/>
  <c r="AB744" i="6"/>
  <c r="AB745" i="6"/>
  <c r="AB746" i="6"/>
  <c r="AB747" i="6"/>
  <c r="AB2" i="6"/>
  <c r="AA2" i="6"/>
  <c r="Z3" i="6"/>
  <c r="Z4" i="6" s="1"/>
  <c r="AA4" i="6" s="1"/>
  <c r="W3" i="6"/>
  <c r="X3" i="6"/>
  <c r="Y3" i="6" s="1"/>
  <c r="Y2" i="6"/>
  <c r="W2" i="6"/>
  <c r="D740" i="6" l="1"/>
  <c r="D728" i="6"/>
  <c r="D716" i="6"/>
  <c r="D704" i="6"/>
  <c r="D692" i="6"/>
  <c r="D680" i="6"/>
  <c r="D668" i="6"/>
  <c r="D656" i="6"/>
  <c r="D644" i="6"/>
  <c r="D632" i="6"/>
  <c r="D620" i="6"/>
  <c r="D608" i="6"/>
  <c r="D596" i="6"/>
  <c r="D584" i="6"/>
  <c r="D572" i="6"/>
  <c r="D560" i="6"/>
  <c r="D548" i="6"/>
  <c r="D536" i="6"/>
  <c r="D524" i="6"/>
  <c r="D512" i="6"/>
  <c r="D500" i="6"/>
  <c r="D488" i="6"/>
  <c r="D476" i="6"/>
  <c r="D464" i="6"/>
  <c r="D452" i="6"/>
  <c r="D440" i="6"/>
  <c r="D428" i="6"/>
  <c r="D416" i="6"/>
  <c r="D404" i="6"/>
  <c r="D392" i="6"/>
  <c r="D380" i="6"/>
  <c r="D368" i="6"/>
  <c r="D356" i="6"/>
  <c r="D344" i="6"/>
  <c r="D332" i="6"/>
  <c r="D320" i="6"/>
  <c r="D308" i="6"/>
  <c r="D296" i="6"/>
  <c r="D272" i="6"/>
  <c r="D260" i="6"/>
  <c r="D248" i="6"/>
  <c r="D236" i="6"/>
  <c r="D224" i="6"/>
  <c r="D212" i="6"/>
  <c r="D200" i="6"/>
  <c r="D188" i="6"/>
  <c r="D56" i="6"/>
  <c r="D32" i="6"/>
  <c r="D6" i="6"/>
  <c r="D738" i="6"/>
  <c r="D726" i="6"/>
  <c r="D714" i="6"/>
  <c r="D702" i="6"/>
  <c r="D690" i="6"/>
  <c r="D678" i="6"/>
  <c r="D666" i="6"/>
  <c r="D654" i="6"/>
  <c r="D642" i="6"/>
  <c r="D630" i="6"/>
  <c r="D618" i="6"/>
  <c r="D606" i="6"/>
  <c r="D594" i="6"/>
  <c r="D582" i="6"/>
  <c r="D570" i="6"/>
  <c r="D558" i="6"/>
  <c r="D546" i="6"/>
  <c r="D534" i="6"/>
  <c r="D522" i="6"/>
  <c r="D510" i="6"/>
  <c r="D498" i="6"/>
  <c r="D486" i="6"/>
  <c r="D474" i="6"/>
  <c r="D462" i="6"/>
  <c r="D450" i="6"/>
  <c r="D438" i="6"/>
  <c r="D426" i="6"/>
  <c r="D414" i="6"/>
  <c r="D402" i="6"/>
  <c r="D390" i="6"/>
  <c r="D378" i="6"/>
  <c r="D366" i="6"/>
  <c r="AD749" i="6" a="1"/>
  <c r="AD749" i="6" s="1"/>
  <c r="AD750" i="6" a="1"/>
  <c r="AD750" i="6" s="1"/>
  <c r="AD751" i="6" s="1"/>
  <c r="AD752" i="6" a="1"/>
  <c r="AD752" i="6" s="1"/>
  <c r="D354" i="6"/>
  <c r="D342" i="6"/>
  <c r="D330" i="6"/>
  <c r="D318" i="6"/>
  <c r="D306" i="6"/>
  <c r="D294" i="6"/>
  <c r="D282" i="6"/>
  <c r="D270" i="6"/>
  <c r="D258" i="6"/>
  <c r="D246" i="6"/>
  <c r="D234" i="6"/>
  <c r="D222" i="6"/>
  <c r="D210" i="6"/>
  <c r="D198" i="6"/>
  <c r="D186" i="6"/>
  <c r="D174" i="6"/>
  <c r="D162" i="6"/>
  <c r="D150" i="6"/>
  <c r="D138" i="6"/>
  <c r="D126" i="6"/>
  <c r="D114" i="6"/>
  <c r="D102" i="6"/>
  <c r="D90" i="6"/>
  <c r="D78" i="6"/>
  <c r="D66" i="6"/>
  <c r="D54" i="6"/>
  <c r="D42" i="6"/>
  <c r="D30" i="6"/>
  <c r="D18" i="6"/>
  <c r="D694" i="6"/>
  <c r="D634" i="6"/>
  <c r="D586" i="6"/>
  <c r="D538" i="6"/>
  <c r="D490" i="6"/>
  <c r="D442" i="6"/>
  <c r="D394" i="6"/>
  <c r="D358" i="6"/>
  <c r="D742" i="6"/>
  <c r="D706" i="6"/>
  <c r="D646" i="6"/>
  <c r="D598" i="6"/>
  <c r="D550" i="6"/>
  <c r="D466" i="6"/>
  <c r="D406" i="6"/>
  <c r="D334" i="6"/>
  <c r="D718" i="6"/>
  <c r="D670" i="6"/>
  <c r="D610" i="6"/>
  <c r="D562" i="6"/>
  <c r="D502" i="6"/>
  <c r="D454" i="6"/>
  <c r="D418" i="6"/>
  <c r="D370" i="6"/>
  <c r="D322" i="6"/>
  <c r="D730" i="6"/>
  <c r="D682" i="6"/>
  <c r="D622" i="6"/>
  <c r="D574" i="6"/>
  <c r="D526" i="6"/>
  <c r="D478" i="6"/>
  <c r="D430" i="6"/>
  <c r="D382" i="6"/>
  <c r="D346" i="6"/>
  <c r="D658" i="6"/>
  <c r="D514" i="6"/>
  <c r="D310" i="6"/>
  <c r="D746" i="6"/>
  <c r="D734" i="6"/>
  <c r="D638" i="6"/>
  <c r="D626" i="6"/>
  <c r="D614" i="6"/>
  <c r="D602" i="6"/>
  <c r="D590" i="6"/>
  <c r="D578" i="6"/>
  <c r="D566" i="6"/>
  <c r="D554" i="6"/>
  <c r="D542" i="6"/>
  <c r="D530" i="6"/>
  <c r="D518" i="6"/>
  <c r="D506" i="6"/>
  <c r="D494" i="6"/>
  <c r="D482" i="6"/>
  <c r="D470" i="6"/>
  <c r="D458" i="6"/>
  <c r="D446" i="6"/>
  <c r="D422" i="6"/>
  <c r="D410" i="6"/>
  <c r="D398" i="6"/>
  <c r="D386" i="6"/>
  <c r="D374" i="6"/>
  <c r="D362" i="6"/>
  <c r="D350" i="6"/>
  <c r="D741" i="6"/>
  <c r="D729" i="6"/>
  <c r="D717" i="6"/>
  <c r="D705" i="6"/>
  <c r="D693" i="6"/>
  <c r="D681" i="6"/>
  <c r="D669" i="6"/>
  <c r="D657" i="6"/>
  <c r="D645" i="6"/>
  <c r="D633" i="6"/>
  <c r="D621" i="6"/>
  <c r="D597" i="6"/>
  <c r="D585" i="6"/>
  <c r="D573" i="6"/>
  <c r="D561" i="6"/>
  <c r="D549" i="6"/>
  <c r="D513" i="6"/>
  <c r="D501" i="6"/>
  <c r="D489" i="6"/>
  <c r="D477" i="6"/>
  <c r="D465" i="6"/>
  <c r="D453" i="6"/>
  <c r="D429" i="6"/>
  <c r="D417" i="6"/>
  <c r="D393" i="6"/>
  <c r="D381" i="6"/>
  <c r="D369" i="6"/>
  <c r="D357" i="6"/>
  <c r="D345" i="6"/>
  <c r="D333" i="6"/>
  <c r="D321" i="6"/>
  <c r="D309" i="6"/>
  <c r="D297" i="6"/>
  <c r="D285" i="6"/>
  <c r="D273" i="6"/>
  <c r="D261" i="6"/>
  <c r="D249" i="6"/>
  <c r="D237" i="6"/>
  <c r="D225" i="6"/>
  <c r="D213" i="6"/>
  <c r="D201" i="6"/>
  <c r="D189" i="6"/>
  <c r="D177" i="6"/>
  <c r="D165" i="6"/>
  <c r="D153" i="6"/>
  <c r="D141" i="6"/>
  <c r="D129" i="6"/>
  <c r="D117" i="6"/>
  <c r="D105" i="6"/>
  <c r="D93" i="6"/>
  <c r="D81" i="6"/>
  <c r="D69" i="6"/>
  <c r="D57" i="6"/>
  <c r="D45" i="6"/>
  <c r="D33" i="6"/>
  <c r="D44" i="6"/>
  <c r="D745" i="6"/>
  <c r="D661" i="6"/>
  <c r="D613" i="6"/>
  <c r="D529" i="6"/>
  <c r="D493" i="6"/>
  <c r="D457" i="6"/>
  <c r="D421" i="6"/>
  <c r="D385" i="6"/>
  <c r="D349" i="6"/>
  <c r="D301" i="6"/>
  <c r="D253" i="6"/>
  <c r="D145" i="6"/>
  <c r="D109" i="6"/>
  <c r="D85" i="6"/>
  <c r="D61" i="6"/>
  <c r="D37" i="6"/>
  <c r="D733" i="6"/>
  <c r="D649" i="6"/>
  <c r="D601" i="6"/>
  <c r="D517" i="6"/>
  <c r="D481" i="6"/>
  <c r="D445" i="6"/>
  <c r="D433" i="6"/>
  <c r="D397" i="6"/>
  <c r="D361" i="6"/>
  <c r="D325" i="6"/>
  <c r="D277" i="6"/>
  <c r="D157" i="6"/>
  <c r="D121" i="6"/>
  <c r="D73" i="6"/>
  <c r="D13" i="6"/>
  <c r="D673" i="6"/>
  <c r="D637" i="6"/>
  <c r="D541" i="6"/>
  <c r="D505" i="6"/>
  <c r="D469" i="6"/>
  <c r="D409" i="6"/>
  <c r="D373" i="6"/>
  <c r="D337" i="6"/>
  <c r="D289" i="6"/>
  <c r="D265" i="6"/>
  <c r="D169" i="6"/>
  <c r="D133" i="6"/>
  <c r="D97" i="6"/>
  <c r="D49" i="6"/>
  <c r="D25" i="6"/>
  <c r="D298" i="6"/>
  <c r="D286" i="6"/>
  <c r="D214" i="6"/>
  <c r="D142" i="6"/>
  <c r="D70" i="6"/>
  <c r="D313" i="6"/>
  <c r="D9" i="6"/>
  <c r="D241" i="6"/>
  <c r="D20" i="6"/>
  <c r="D709" i="6"/>
  <c r="D577" i="6"/>
  <c r="D217" i="6"/>
  <c r="D739" i="6"/>
  <c r="D727" i="6"/>
  <c r="D715" i="6"/>
  <c r="D703" i="6"/>
  <c r="D691" i="6"/>
  <c r="D679" i="6"/>
  <c r="D667" i="6"/>
  <c r="D655" i="6"/>
  <c r="D643" i="6"/>
  <c r="D631" i="6"/>
  <c r="D451" i="6"/>
  <c r="D439" i="6"/>
  <c r="D415" i="6"/>
  <c r="D403" i="6"/>
  <c r="D391" i="6"/>
  <c r="D379" i="6"/>
  <c r="D367" i="6"/>
  <c r="D343" i="6"/>
  <c r="D331" i="6"/>
  <c r="D319" i="6"/>
  <c r="D307" i="6"/>
  <c r="D295" i="6"/>
  <c r="D283" i="6"/>
  <c r="D271" i="6"/>
  <c r="D259" i="6"/>
  <c r="D247" i="6"/>
  <c r="D235" i="6"/>
  <c r="D223" i="6"/>
  <c r="D211" i="6"/>
  <c r="D199" i="6"/>
  <c r="D685" i="6"/>
  <c r="D553" i="6"/>
  <c r="D193" i="6"/>
  <c r="D697" i="6"/>
  <c r="D565" i="6"/>
  <c r="D181" i="6"/>
  <c r="D625" i="6"/>
  <c r="D205" i="6"/>
  <c r="D721" i="6"/>
  <c r="D589" i="6"/>
  <c r="D229" i="6"/>
  <c r="D713" i="6"/>
  <c r="D605" i="6"/>
  <c r="D497" i="6"/>
  <c r="D401" i="6"/>
  <c r="D281" i="6"/>
  <c r="D185" i="6"/>
  <c r="D736" i="6"/>
  <c r="D724" i="6"/>
  <c r="D712" i="6"/>
  <c r="D700" i="6"/>
  <c r="D688" i="6"/>
  <c r="D676" i="6"/>
  <c r="D664" i="6"/>
  <c r="D652" i="6"/>
  <c r="D640" i="6"/>
  <c r="D628" i="6"/>
  <c r="D616" i="6"/>
  <c r="D604" i="6"/>
  <c r="D592" i="6"/>
  <c r="D580" i="6"/>
  <c r="D568" i="6"/>
  <c r="D556" i="6"/>
  <c r="D544" i="6"/>
  <c r="D532" i="6"/>
  <c r="D520" i="6"/>
  <c r="D508" i="6"/>
  <c r="D496" i="6"/>
  <c r="D484" i="6"/>
  <c r="D472" i="6"/>
  <c r="D460" i="6"/>
  <c r="D448" i="6"/>
  <c r="D436" i="6"/>
  <c r="D424" i="6"/>
  <c r="D412" i="6"/>
  <c r="D400" i="6"/>
  <c r="D388" i="6"/>
  <c r="D376" i="6"/>
  <c r="D364" i="6"/>
  <c r="D352" i="6"/>
  <c r="D340" i="6"/>
  <c r="D328" i="6"/>
  <c r="D316" i="6"/>
  <c r="D304" i="6"/>
  <c r="D292" i="6"/>
  <c r="D280" i="6"/>
  <c r="D268" i="6"/>
  <c r="D256" i="6"/>
  <c r="D244" i="6"/>
  <c r="D232" i="6"/>
  <c r="D220" i="6"/>
  <c r="D208" i="6"/>
  <c r="D196" i="6"/>
  <c r="D184" i="6"/>
  <c r="D172" i="6"/>
  <c r="D160" i="6"/>
  <c r="D148" i="6"/>
  <c r="D136" i="6"/>
  <c r="D124" i="6"/>
  <c r="D112" i="6"/>
  <c r="D100" i="6"/>
  <c r="D88" i="6"/>
  <c r="D76" i="6"/>
  <c r="D64" i="6"/>
  <c r="D52" i="6"/>
  <c r="D40" i="6"/>
  <c r="D28" i="6"/>
  <c r="D16" i="6"/>
  <c r="D701" i="6"/>
  <c r="D593" i="6"/>
  <c r="D485" i="6"/>
  <c r="D377" i="6"/>
  <c r="D269" i="6"/>
  <c r="D173" i="6"/>
  <c r="D629" i="6"/>
  <c r="D509" i="6"/>
  <c r="D389" i="6"/>
  <c r="D293" i="6"/>
  <c r="D161" i="6"/>
  <c r="D722" i="6"/>
  <c r="D710" i="6"/>
  <c r="D698" i="6"/>
  <c r="D686" i="6"/>
  <c r="D674" i="6"/>
  <c r="D662" i="6"/>
  <c r="D650" i="6"/>
  <c r="D737" i="6"/>
  <c r="D581" i="6"/>
  <c r="D449" i="6"/>
  <c r="D305" i="6"/>
  <c r="D197" i="6"/>
  <c r="D113" i="6"/>
  <c r="D689" i="6"/>
  <c r="D101" i="6"/>
  <c r="D641" i="6"/>
  <c r="D533" i="6"/>
  <c r="D425" i="6"/>
  <c r="D329" i="6"/>
  <c r="D209" i="6"/>
  <c r="D665" i="6"/>
  <c r="D557" i="6"/>
  <c r="D461" i="6"/>
  <c r="D353" i="6"/>
  <c r="D257" i="6"/>
  <c r="D149" i="6"/>
  <c r="D274" i="6"/>
  <c r="D262" i="6"/>
  <c r="D250" i="6"/>
  <c r="D238" i="6"/>
  <c r="D226" i="6"/>
  <c r="D202" i="6"/>
  <c r="D190" i="6"/>
  <c r="D178" i="6"/>
  <c r="D166" i="6"/>
  <c r="D154" i="6"/>
  <c r="D130" i="6"/>
  <c r="D118" i="6"/>
  <c r="D106" i="6"/>
  <c r="D94" i="6"/>
  <c r="D82" i="6"/>
  <c r="D58" i="6"/>
  <c r="D46" i="6"/>
  <c r="D653" i="6"/>
  <c r="D545" i="6"/>
  <c r="D413" i="6"/>
  <c r="D317" i="6"/>
  <c r="D221" i="6"/>
  <c r="D609" i="6"/>
  <c r="D537" i="6"/>
  <c r="D525" i="6"/>
  <c r="D441" i="6"/>
  <c r="D405" i="6"/>
  <c r="D677" i="6"/>
  <c r="D569" i="6"/>
  <c r="D473" i="6"/>
  <c r="D365" i="6"/>
  <c r="D245" i="6"/>
  <c r="D137" i="6"/>
  <c r="D284" i="6"/>
  <c r="D176" i="6"/>
  <c r="D164" i="6"/>
  <c r="D152" i="6"/>
  <c r="D140" i="6"/>
  <c r="D128" i="6"/>
  <c r="D116" i="6"/>
  <c r="D104" i="6"/>
  <c r="D92" i="6"/>
  <c r="D80" i="6"/>
  <c r="D68" i="6"/>
  <c r="D8" i="6"/>
  <c r="D725" i="6"/>
  <c r="D617" i="6"/>
  <c r="D521" i="6"/>
  <c r="D437" i="6"/>
  <c r="D341" i="6"/>
  <c r="D233" i="6"/>
  <c r="D125" i="6"/>
  <c r="D619" i="6"/>
  <c r="D607" i="6"/>
  <c r="D595" i="6"/>
  <c r="D583" i="6"/>
  <c r="D571" i="6"/>
  <c r="D559" i="6"/>
  <c r="D547" i="6"/>
  <c r="D535" i="6"/>
  <c r="D523" i="6"/>
  <c r="D511" i="6"/>
  <c r="D499" i="6"/>
  <c r="D487" i="6"/>
  <c r="D475" i="6"/>
  <c r="D463" i="6"/>
  <c r="D427" i="6"/>
  <c r="D355" i="6"/>
  <c r="D187" i="6"/>
  <c r="D175" i="6"/>
  <c r="D163" i="6"/>
  <c r="D151" i="6"/>
  <c r="D139" i="6"/>
  <c r="D127" i="6"/>
  <c r="D115" i="6"/>
  <c r="D103" i="6"/>
  <c r="D91" i="6"/>
  <c r="D79" i="6"/>
  <c r="D67" i="6"/>
  <c r="D55" i="6"/>
  <c r="D43" i="6"/>
  <c r="D31" i="6"/>
  <c r="D19" i="6"/>
  <c r="D7" i="6"/>
  <c r="D744" i="6"/>
  <c r="D672" i="6"/>
  <c r="D564" i="6"/>
  <c r="D480" i="6"/>
  <c r="D384" i="6"/>
  <c r="D288" i="6"/>
  <c r="D192" i="6"/>
  <c r="D84" i="6"/>
  <c r="D434" i="6"/>
  <c r="D338" i="6"/>
  <c r="D326" i="6"/>
  <c r="D314" i="6"/>
  <c r="D302" i="6"/>
  <c r="D290" i="6"/>
  <c r="D278" i="6"/>
  <c r="D266" i="6"/>
  <c r="D254" i="6"/>
  <c r="D242" i="6"/>
  <c r="D230" i="6"/>
  <c r="D218" i="6"/>
  <c r="D206" i="6"/>
  <c r="D194" i="6"/>
  <c r="D182" i="6"/>
  <c r="D170" i="6"/>
  <c r="D158" i="6"/>
  <c r="D146" i="6"/>
  <c r="D134" i="6"/>
  <c r="D122" i="6"/>
  <c r="D110" i="6"/>
  <c r="D98" i="6"/>
  <c r="D86" i="6"/>
  <c r="D74" i="6"/>
  <c r="D62" i="6"/>
  <c r="D50" i="6"/>
  <c r="D38" i="6"/>
  <c r="D26" i="6"/>
  <c r="D14" i="6"/>
  <c r="D696" i="6"/>
  <c r="D588" i="6"/>
  <c r="D492" i="6"/>
  <c r="D372" i="6"/>
  <c r="D264" i="6"/>
  <c r="D132" i="6"/>
  <c r="D743" i="6"/>
  <c r="D731" i="6"/>
  <c r="D719" i="6"/>
  <c r="D707" i="6"/>
  <c r="D695" i="6"/>
  <c r="D683" i="6"/>
  <c r="D671" i="6"/>
  <c r="D659" i="6"/>
  <c r="D647" i="6"/>
  <c r="D635" i="6"/>
  <c r="D623" i="6"/>
  <c r="D611" i="6"/>
  <c r="D599" i="6"/>
  <c r="D587" i="6"/>
  <c r="D575" i="6"/>
  <c r="D563" i="6"/>
  <c r="D551" i="6"/>
  <c r="D539" i="6"/>
  <c r="D527" i="6"/>
  <c r="D515" i="6"/>
  <c r="D503" i="6"/>
  <c r="D491" i="6"/>
  <c r="D479" i="6"/>
  <c r="D467" i="6"/>
  <c r="D455" i="6"/>
  <c r="D443" i="6"/>
  <c r="D431" i="6"/>
  <c r="D419" i="6"/>
  <c r="D407" i="6"/>
  <c r="D395" i="6"/>
  <c r="D383" i="6"/>
  <c r="D371" i="6"/>
  <c r="D359" i="6"/>
  <c r="D347" i="6"/>
  <c r="D335" i="6"/>
  <c r="D323" i="6"/>
  <c r="D311" i="6"/>
  <c r="D299" i="6"/>
  <c r="D287" i="6"/>
  <c r="D275" i="6"/>
  <c r="D263" i="6"/>
  <c r="D251" i="6"/>
  <c r="D239" i="6"/>
  <c r="D227" i="6"/>
  <c r="D215" i="6"/>
  <c r="D203" i="6"/>
  <c r="D191" i="6"/>
  <c r="D179" i="6"/>
  <c r="D167" i="6"/>
  <c r="D155" i="6"/>
  <c r="D143" i="6"/>
  <c r="D131" i="6"/>
  <c r="D119" i="6"/>
  <c r="D107" i="6"/>
  <c r="D95" i="6"/>
  <c r="D83" i="6"/>
  <c r="D71" i="6"/>
  <c r="D59" i="6"/>
  <c r="D47" i="6"/>
  <c r="D35" i="6"/>
  <c r="D23" i="6"/>
  <c r="D11" i="6"/>
  <c r="D636" i="6"/>
  <c r="D468" i="6"/>
  <c r="D312" i="6"/>
  <c r="D168" i="6"/>
  <c r="D10" i="6"/>
  <c r="D708" i="6"/>
  <c r="D612" i="6"/>
  <c r="D528" i="6"/>
  <c r="D432" i="6"/>
  <c r="D324" i="6"/>
  <c r="D216" i="6"/>
  <c r="D96" i="6"/>
  <c r="D21" i="6"/>
  <c r="D648" i="6"/>
  <c r="D540" i="6"/>
  <c r="D396" i="6"/>
  <c r="D228" i="6"/>
  <c r="D34" i="6"/>
  <c r="D732" i="6"/>
  <c r="D624" i="6"/>
  <c r="D516" i="6"/>
  <c r="D420" i="6"/>
  <c r="D348" i="6"/>
  <c r="D276" i="6"/>
  <c r="D204" i="6"/>
  <c r="D144" i="6"/>
  <c r="D72" i="6"/>
  <c r="D48" i="6"/>
  <c r="D24" i="6"/>
  <c r="D660" i="6"/>
  <c r="D552" i="6"/>
  <c r="D444" i="6"/>
  <c r="D300" i="6"/>
  <c r="D156" i="6"/>
  <c r="D89" i="6"/>
  <c r="D77" i="6"/>
  <c r="D65" i="6"/>
  <c r="D53" i="6"/>
  <c r="D41" i="6"/>
  <c r="D29" i="6"/>
  <c r="D17" i="6"/>
  <c r="D22" i="6"/>
  <c r="D720" i="6"/>
  <c r="D600" i="6"/>
  <c r="D504" i="6"/>
  <c r="D408" i="6"/>
  <c r="D336" i="6"/>
  <c r="D252" i="6"/>
  <c r="D180" i="6"/>
  <c r="D108" i="6"/>
  <c r="D60" i="6"/>
  <c r="D36" i="6"/>
  <c r="D12" i="6"/>
  <c r="D684" i="6"/>
  <c r="D576" i="6"/>
  <c r="D456" i="6"/>
  <c r="D360" i="6"/>
  <c r="D240" i="6"/>
  <c r="D120" i="6"/>
  <c r="D747" i="6"/>
  <c r="D735" i="6"/>
  <c r="D723" i="6"/>
  <c r="D711" i="6"/>
  <c r="D699" i="6"/>
  <c r="D687" i="6"/>
  <c r="D675" i="6"/>
  <c r="D663" i="6"/>
  <c r="D651" i="6"/>
  <c r="D639" i="6"/>
  <c r="D627" i="6"/>
  <c r="D615" i="6"/>
  <c r="D603" i="6"/>
  <c r="D591" i="6"/>
  <c r="D579" i="6"/>
  <c r="D567" i="6"/>
  <c r="D555" i="6"/>
  <c r="D543" i="6"/>
  <c r="D531" i="6"/>
  <c r="D519" i="6"/>
  <c r="D507" i="6"/>
  <c r="D495" i="6"/>
  <c r="D483" i="6"/>
  <c r="D471" i="6"/>
  <c r="D459" i="6"/>
  <c r="D447" i="6"/>
  <c r="D435" i="6"/>
  <c r="D423" i="6"/>
  <c r="D411" i="6"/>
  <c r="D399" i="6"/>
  <c r="D387" i="6"/>
  <c r="D375" i="6"/>
  <c r="D363" i="6"/>
  <c r="D351" i="6"/>
  <c r="D339" i="6"/>
  <c r="D327" i="6"/>
  <c r="D315" i="6"/>
  <c r="D303" i="6"/>
  <c r="D291" i="6"/>
  <c r="D279" i="6"/>
  <c r="D267" i="6"/>
  <c r="D255" i="6"/>
  <c r="D243" i="6"/>
  <c r="D231" i="6"/>
  <c r="D219" i="6"/>
  <c r="D207" i="6"/>
  <c r="D195" i="6"/>
  <c r="D183" i="6"/>
  <c r="D171" i="6"/>
  <c r="D159" i="6"/>
  <c r="D147" i="6"/>
  <c r="D135" i="6"/>
  <c r="D123" i="6"/>
  <c r="D111" i="6"/>
  <c r="D99" i="6"/>
  <c r="D87" i="6"/>
  <c r="D75" i="6"/>
  <c r="D63" i="6"/>
  <c r="D51" i="6"/>
  <c r="D39" i="6"/>
  <c r="D27" i="6"/>
  <c r="D15" i="6"/>
  <c r="D5" i="6"/>
  <c r="V4" i="6"/>
  <c r="Z5" i="6"/>
  <c r="AA3" i="6"/>
  <c r="X4" i="6"/>
  <c r="W4" i="6" l="1"/>
  <c r="V5" i="6"/>
  <c r="Y4" i="6"/>
  <c r="X5" i="6"/>
  <c r="Z6" i="6"/>
  <c r="AA5" i="6"/>
  <c r="W5" i="6" l="1"/>
  <c r="V6" i="6"/>
  <c r="Z7" i="6"/>
  <c r="AA6" i="6"/>
  <c r="Y5" i="6"/>
  <c r="X6" i="6"/>
  <c r="V7" i="6" l="1"/>
  <c r="W6" i="6"/>
  <c r="X7" i="6"/>
  <c r="Y6" i="6"/>
  <c r="Z8" i="6"/>
  <c r="AA7" i="6"/>
  <c r="W7" i="6" l="1"/>
  <c r="V8" i="6"/>
  <c r="Z9" i="6"/>
  <c r="AA8" i="6"/>
  <c r="X8" i="6"/>
  <c r="Y7" i="6"/>
  <c r="V9" i="6" l="1"/>
  <c r="W8" i="6"/>
  <c r="Z10" i="6"/>
  <c r="AA9" i="6"/>
  <c r="Y8" i="6"/>
  <c r="X9" i="6"/>
  <c r="W9" i="6" l="1"/>
  <c r="V10" i="6"/>
  <c r="Z11" i="6"/>
  <c r="AA10" i="6"/>
  <c r="X10" i="6"/>
  <c r="Y9" i="6"/>
  <c r="W10" i="6" l="1"/>
  <c r="V11" i="6"/>
  <c r="X11" i="6"/>
  <c r="Y10" i="6"/>
  <c r="Z12" i="6"/>
  <c r="AA11" i="6"/>
  <c r="V12" i="6" l="1"/>
  <c r="W11" i="6"/>
  <c r="Z13" i="6"/>
  <c r="AA12" i="6"/>
  <c r="X12" i="6"/>
  <c r="Y11" i="6"/>
  <c r="V13" i="6" l="1"/>
  <c r="W12" i="6"/>
  <c r="X13" i="6"/>
  <c r="Y12" i="6"/>
  <c r="Z14" i="6"/>
  <c r="AA13" i="6"/>
  <c r="V14" i="6" l="1"/>
  <c r="W13" i="6"/>
  <c r="X14" i="6"/>
  <c r="Y13" i="6"/>
  <c r="Z15" i="6"/>
  <c r="AA14" i="6"/>
  <c r="W14" i="6" l="1"/>
  <c r="V15" i="6"/>
  <c r="Z16" i="6"/>
  <c r="AA15" i="6"/>
  <c r="X15" i="6"/>
  <c r="Y14" i="6"/>
  <c r="V16" i="6" l="1"/>
  <c r="W15" i="6"/>
  <c r="X16" i="6"/>
  <c r="Y15" i="6"/>
  <c r="Z17" i="6"/>
  <c r="AA16" i="6"/>
  <c r="V17" i="6" l="1"/>
  <c r="W16" i="6"/>
  <c r="Z18" i="6"/>
  <c r="AA17" i="6"/>
  <c r="X17" i="6"/>
  <c r="Y16" i="6"/>
  <c r="V18" i="6" l="1"/>
  <c r="W17" i="6"/>
  <c r="Z19" i="6"/>
  <c r="AA18" i="6"/>
  <c r="X18" i="6"/>
  <c r="Y17" i="6"/>
  <c r="V19" i="6" l="1"/>
  <c r="W18" i="6"/>
  <c r="Z20" i="6"/>
  <c r="AA19" i="6"/>
  <c r="X19" i="6"/>
  <c r="Y18" i="6"/>
  <c r="W19" i="6" l="1"/>
  <c r="V20" i="6"/>
  <c r="X20" i="6"/>
  <c r="Y19" i="6"/>
  <c r="Z21" i="6"/>
  <c r="AA20" i="6"/>
  <c r="V21" i="6" l="1"/>
  <c r="W20" i="6"/>
  <c r="Y20" i="6"/>
  <c r="X21" i="6"/>
  <c r="Z22" i="6"/>
  <c r="AA21" i="6"/>
  <c r="V22" i="6" l="1"/>
  <c r="W21" i="6"/>
  <c r="Y21" i="6"/>
  <c r="X22" i="6"/>
  <c r="Z23" i="6"/>
  <c r="AA22" i="6"/>
  <c r="V23" i="6" l="1"/>
  <c r="W22" i="6"/>
  <c r="Y22" i="6"/>
  <c r="X23" i="6"/>
  <c r="Z24" i="6"/>
  <c r="AA23" i="6"/>
  <c r="W23" i="6" l="1"/>
  <c r="V24" i="6"/>
  <c r="Z25" i="6"/>
  <c r="AA24" i="6"/>
  <c r="Y23" i="6"/>
  <c r="X24" i="6"/>
  <c r="V25" i="6" l="1"/>
  <c r="W24" i="6"/>
  <c r="Y24" i="6"/>
  <c r="X25" i="6"/>
  <c r="Z26" i="6"/>
  <c r="AA25" i="6"/>
  <c r="V26" i="6" l="1"/>
  <c r="W25" i="6"/>
  <c r="Z27" i="6"/>
  <c r="AA26" i="6"/>
  <c r="Y25" i="6"/>
  <c r="X26" i="6"/>
  <c r="W26" i="6" l="1"/>
  <c r="V27" i="6"/>
  <c r="Y26" i="6"/>
  <c r="X27" i="6"/>
  <c r="Z28" i="6"/>
  <c r="AA27" i="6"/>
  <c r="V28" i="6" l="1"/>
  <c r="W27" i="6"/>
  <c r="Y27" i="6"/>
  <c r="X28" i="6"/>
  <c r="Z29" i="6"/>
  <c r="AA28" i="6"/>
  <c r="V29" i="6" l="1"/>
  <c r="W28" i="6"/>
  <c r="Z30" i="6"/>
  <c r="AA29" i="6"/>
  <c r="Y28" i="6"/>
  <c r="X29" i="6"/>
  <c r="V30" i="6" l="1"/>
  <c r="W29" i="6"/>
  <c r="Y29" i="6"/>
  <c r="X30" i="6"/>
  <c r="Z31" i="6"/>
  <c r="AA30" i="6"/>
  <c r="W30" i="6" l="1"/>
  <c r="V31" i="6"/>
  <c r="Z32" i="6"/>
  <c r="AA31" i="6"/>
  <c r="Y30" i="6"/>
  <c r="X31" i="6"/>
  <c r="V32" i="6" l="1"/>
  <c r="W31" i="6"/>
  <c r="Z33" i="6"/>
  <c r="AA32" i="6"/>
  <c r="Y31" i="6"/>
  <c r="X32" i="6"/>
  <c r="V33" i="6" l="1"/>
  <c r="W32" i="6"/>
  <c r="Z34" i="6"/>
  <c r="AA33" i="6"/>
  <c r="Y32" i="6"/>
  <c r="X33" i="6"/>
  <c r="V34" i="6" l="1"/>
  <c r="W33" i="6"/>
  <c r="Y33" i="6"/>
  <c r="X34" i="6"/>
  <c r="Z35" i="6"/>
  <c r="AA34" i="6"/>
  <c r="V35" i="6" l="1"/>
  <c r="W34" i="6"/>
  <c r="Z36" i="6"/>
  <c r="AA35" i="6"/>
  <c r="Y34" i="6"/>
  <c r="X35" i="6"/>
  <c r="V36" i="6" l="1"/>
  <c r="W35" i="6"/>
  <c r="Y35" i="6"/>
  <c r="X36" i="6"/>
  <c r="Z37" i="6"/>
  <c r="AA36" i="6"/>
  <c r="V37" i="6" l="1"/>
  <c r="W36" i="6"/>
  <c r="Z38" i="6"/>
  <c r="AA37" i="6"/>
  <c r="Y36" i="6"/>
  <c r="X37" i="6"/>
  <c r="V38" i="6" l="1"/>
  <c r="W37" i="6"/>
  <c r="Z39" i="6"/>
  <c r="AA38" i="6"/>
  <c r="Y37" i="6"/>
  <c r="X38" i="6"/>
  <c r="V39" i="6" l="1"/>
  <c r="W38" i="6"/>
  <c r="Y38" i="6"/>
  <c r="X39" i="6"/>
  <c r="Z40" i="6"/>
  <c r="AA39" i="6"/>
  <c r="V40" i="6" l="1"/>
  <c r="W39" i="6"/>
  <c r="Z41" i="6"/>
  <c r="AA40" i="6"/>
  <c r="Y39" i="6"/>
  <c r="X40" i="6"/>
  <c r="V41" i="6" l="1"/>
  <c r="W40" i="6"/>
  <c r="Y40" i="6"/>
  <c r="X41" i="6"/>
  <c r="Z42" i="6"/>
  <c r="AA41" i="6"/>
  <c r="V42" i="6" l="1"/>
  <c r="W41" i="6"/>
  <c r="Z43" i="6"/>
  <c r="AA42" i="6"/>
  <c r="Y41" i="6"/>
  <c r="X42" i="6"/>
  <c r="V43" i="6" l="1"/>
  <c r="W42" i="6"/>
  <c r="Y42" i="6"/>
  <c r="X43" i="6"/>
  <c r="Z44" i="6"/>
  <c r="AA43" i="6"/>
  <c r="V44" i="6" l="1"/>
  <c r="W43" i="6"/>
  <c r="Y43" i="6"/>
  <c r="X44" i="6"/>
  <c r="Z45" i="6"/>
  <c r="AA44" i="6"/>
  <c r="V45" i="6" l="1"/>
  <c r="W44" i="6"/>
  <c r="Z46" i="6"/>
  <c r="AA45" i="6"/>
  <c r="Y44" i="6"/>
  <c r="X45" i="6"/>
  <c r="V46" i="6" l="1"/>
  <c r="W45" i="6"/>
  <c r="Z47" i="6"/>
  <c r="AA46" i="6"/>
  <c r="Y45" i="6"/>
  <c r="X46" i="6"/>
  <c r="V47" i="6" l="1"/>
  <c r="W46" i="6"/>
  <c r="Y46" i="6"/>
  <c r="X47" i="6"/>
  <c r="Z48" i="6"/>
  <c r="AA47" i="6"/>
  <c r="V48" i="6" l="1"/>
  <c r="W47" i="6"/>
  <c r="Z49" i="6"/>
  <c r="AA48" i="6"/>
  <c r="Y47" i="6"/>
  <c r="X48" i="6"/>
  <c r="V49" i="6" l="1"/>
  <c r="W48" i="6"/>
  <c r="Y48" i="6"/>
  <c r="X49" i="6"/>
  <c r="Z50" i="6"/>
  <c r="AA49" i="6"/>
  <c r="W49" i="6" l="1"/>
  <c r="V50" i="6"/>
  <c r="Z51" i="6"/>
  <c r="AA50" i="6"/>
  <c r="Y49" i="6"/>
  <c r="X50" i="6"/>
  <c r="V51" i="6" l="1"/>
  <c r="W50" i="6"/>
  <c r="Y50" i="6"/>
  <c r="X51" i="6"/>
  <c r="Z52" i="6"/>
  <c r="AA51" i="6"/>
  <c r="V52" i="6" l="1"/>
  <c r="W51" i="6"/>
  <c r="Y51" i="6"/>
  <c r="X52" i="6"/>
  <c r="Z53" i="6"/>
  <c r="AA52" i="6"/>
  <c r="V53" i="6" l="1"/>
  <c r="W52" i="6"/>
  <c r="Z54" i="6"/>
  <c r="AA53" i="6"/>
  <c r="Y52" i="6"/>
  <c r="X53" i="6"/>
  <c r="V54" i="6" l="1"/>
  <c r="W53" i="6"/>
  <c r="Y53" i="6"/>
  <c r="X54" i="6"/>
  <c r="Z55" i="6"/>
  <c r="AA54" i="6"/>
  <c r="V55" i="6" l="1"/>
  <c r="W54" i="6"/>
  <c r="Z56" i="6"/>
  <c r="AA55" i="6"/>
  <c r="Y54" i="6"/>
  <c r="X55" i="6"/>
  <c r="V56" i="6" l="1"/>
  <c r="W55" i="6"/>
  <c r="Y55" i="6"/>
  <c r="X56" i="6"/>
  <c r="Z57" i="6"/>
  <c r="AA56" i="6"/>
  <c r="V57" i="6" l="1"/>
  <c r="W56" i="6"/>
  <c r="Z58" i="6"/>
  <c r="AA57" i="6"/>
  <c r="Y56" i="6"/>
  <c r="X57" i="6"/>
  <c r="V58" i="6" l="1"/>
  <c r="W57" i="6"/>
  <c r="Y57" i="6"/>
  <c r="X58" i="6"/>
  <c r="Z59" i="6"/>
  <c r="AA58" i="6"/>
  <c r="W58" i="6" l="1"/>
  <c r="V59" i="6"/>
  <c r="Z60" i="6"/>
  <c r="AA59" i="6"/>
  <c r="Y58" i="6"/>
  <c r="X59" i="6"/>
  <c r="V60" i="6" l="1"/>
  <c r="W59" i="6"/>
  <c r="Y59" i="6"/>
  <c r="X60" i="6"/>
  <c r="Z61" i="6"/>
  <c r="AA60" i="6"/>
  <c r="V61" i="6" l="1"/>
  <c r="W60" i="6"/>
  <c r="Z62" i="6"/>
  <c r="AA61" i="6"/>
  <c r="Y60" i="6"/>
  <c r="X61" i="6"/>
  <c r="V62" i="6" l="1"/>
  <c r="W61" i="6"/>
  <c r="Y61" i="6"/>
  <c r="X62" i="6"/>
  <c r="Z63" i="6"/>
  <c r="AA62" i="6"/>
  <c r="V63" i="6" l="1"/>
  <c r="W62" i="6"/>
  <c r="Z64" i="6"/>
  <c r="AA63" i="6"/>
  <c r="Y62" i="6"/>
  <c r="X63" i="6"/>
  <c r="V64" i="6" l="1"/>
  <c r="W63" i="6"/>
  <c r="Y63" i="6"/>
  <c r="X64" i="6"/>
  <c r="Z65" i="6"/>
  <c r="AA64" i="6"/>
  <c r="W64" i="6" l="1"/>
  <c r="V65" i="6"/>
  <c r="Z66" i="6"/>
  <c r="AA65" i="6"/>
  <c r="Y64" i="6"/>
  <c r="X65" i="6"/>
  <c r="W65" i="6" l="1"/>
  <c r="V66" i="6"/>
  <c r="Y65" i="6"/>
  <c r="X66" i="6"/>
  <c r="Z67" i="6"/>
  <c r="AA66" i="6"/>
  <c r="V67" i="6" l="1"/>
  <c r="W66" i="6"/>
  <c r="Z68" i="6"/>
  <c r="AA67" i="6"/>
  <c r="Y66" i="6"/>
  <c r="X67" i="6"/>
  <c r="V68" i="6" l="1"/>
  <c r="W67" i="6"/>
  <c r="Y67" i="6"/>
  <c r="X68" i="6"/>
  <c r="Z69" i="6"/>
  <c r="AA68" i="6"/>
  <c r="V69" i="6" l="1"/>
  <c r="W68" i="6"/>
  <c r="Z70" i="6"/>
  <c r="AA69" i="6"/>
  <c r="Y68" i="6"/>
  <c r="X69" i="6"/>
  <c r="W69" i="6" l="1"/>
  <c r="V70" i="6"/>
  <c r="Y69" i="6"/>
  <c r="X70" i="6"/>
  <c r="Z71" i="6"/>
  <c r="AA70" i="6"/>
  <c r="W70" i="6" l="1"/>
  <c r="V71" i="6"/>
  <c r="Z72" i="6"/>
  <c r="AA71" i="6"/>
  <c r="Y70" i="6"/>
  <c r="X71" i="6"/>
  <c r="W71" i="6" l="1"/>
  <c r="V72" i="6"/>
  <c r="Y71" i="6"/>
  <c r="X72" i="6"/>
  <c r="Z73" i="6"/>
  <c r="AA72" i="6"/>
  <c r="V73" i="6" l="1"/>
  <c r="W72" i="6"/>
  <c r="Z74" i="6"/>
  <c r="AA73" i="6"/>
  <c r="Y72" i="6"/>
  <c r="X73" i="6"/>
  <c r="V74" i="6" l="1"/>
  <c r="W73" i="6"/>
  <c r="Y73" i="6"/>
  <c r="X74" i="6"/>
  <c r="Z75" i="6"/>
  <c r="AA74" i="6"/>
  <c r="V75" i="6" l="1"/>
  <c r="W74" i="6"/>
  <c r="Z76" i="6"/>
  <c r="AA75" i="6"/>
  <c r="Y74" i="6"/>
  <c r="X75" i="6"/>
  <c r="V76" i="6" l="1"/>
  <c r="W75" i="6"/>
  <c r="Y75" i="6"/>
  <c r="X76" i="6"/>
  <c r="Z77" i="6"/>
  <c r="AA76" i="6"/>
  <c r="V77" i="6" l="1"/>
  <c r="W76" i="6"/>
  <c r="Z78" i="6"/>
  <c r="AA77" i="6"/>
  <c r="Y76" i="6"/>
  <c r="X77" i="6"/>
  <c r="V78" i="6" l="1"/>
  <c r="W77" i="6"/>
  <c r="Y77" i="6"/>
  <c r="X78" i="6"/>
  <c r="Z79" i="6"/>
  <c r="AA78" i="6"/>
  <c r="V79" i="6" l="1"/>
  <c r="W78" i="6"/>
  <c r="Z80" i="6"/>
  <c r="AA79" i="6"/>
  <c r="Y78" i="6"/>
  <c r="X79" i="6"/>
  <c r="V80" i="6" l="1"/>
  <c r="W79" i="6"/>
  <c r="Y79" i="6"/>
  <c r="X80" i="6"/>
  <c r="Z81" i="6"/>
  <c r="AA80" i="6"/>
  <c r="V81" i="6" l="1"/>
  <c r="W80" i="6"/>
  <c r="Z82" i="6"/>
  <c r="AA81" i="6"/>
  <c r="Y80" i="6"/>
  <c r="X81" i="6"/>
  <c r="V82" i="6" l="1"/>
  <c r="W81" i="6"/>
  <c r="Y81" i="6"/>
  <c r="X82" i="6"/>
  <c r="Z83" i="6"/>
  <c r="AA82" i="6"/>
  <c r="V83" i="6" l="1"/>
  <c r="W82" i="6"/>
  <c r="Z84" i="6"/>
  <c r="AA83" i="6"/>
  <c r="Y82" i="6"/>
  <c r="X83" i="6"/>
  <c r="V84" i="6" l="1"/>
  <c r="W83" i="6"/>
  <c r="Y83" i="6"/>
  <c r="X84" i="6"/>
  <c r="Z85" i="6"/>
  <c r="AA84" i="6"/>
  <c r="W84" i="6" l="1"/>
  <c r="V85" i="6"/>
  <c r="Z86" i="6"/>
  <c r="AA85" i="6"/>
  <c r="Y84" i="6"/>
  <c r="X85" i="6"/>
  <c r="V86" i="6" l="1"/>
  <c r="W85" i="6"/>
  <c r="Y85" i="6"/>
  <c r="X86" i="6"/>
  <c r="Z87" i="6"/>
  <c r="AA86" i="6"/>
  <c r="V87" i="6" l="1"/>
  <c r="W86" i="6"/>
  <c r="Y86" i="6"/>
  <c r="X87" i="6"/>
  <c r="Z88" i="6"/>
  <c r="AA87" i="6"/>
  <c r="V88" i="6" l="1"/>
  <c r="W87" i="6"/>
  <c r="Z89" i="6"/>
  <c r="AA88" i="6"/>
  <c r="Y87" i="6"/>
  <c r="X88" i="6"/>
  <c r="V89" i="6" l="1"/>
  <c r="W88" i="6"/>
  <c r="Y88" i="6"/>
  <c r="X89" i="6"/>
  <c r="Z90" i="6"/>
  <c r="AA89" i="6"/>
  <c r="V90" i="6" l="1"/>
  <c r="W89" i="6"/>
  <c r="Y89" i="6"/>
  <c r="X90" i="6"/>
  <c r="Z91" i="6"/>
  <c r="AA90" i="6"/>
  <c r="V91" i="6" l="1"/>
  <c r="W90" i="6"/>
  <c r="Z92" i="6"/>
  <c r="AA91" i="6"/>
  <c r="Y90" i="6"/>
  <c r="X91" i="6"/>
  <c r="V92" i="6" l="1"/>
  <c r="W91" i="6"/>
  <c r="Y91" i="6"/>
  <c r="X92" i="6"/>
  <c r="Z93" i="6"/>
  <c r="AA92" i="6"/>
  <c r="W92" i="6" l="1"/>
  <c r="V93" i="6"/>
  <c r="Y92" i="6"/>
  <c r="X93" i="6"/>
  <c r="Z94" i="6"/>
  <c r="AA93" i="6"/>
  <c r="V94" i="6" l="1"/>
  <c r="W93" i="6"/>
  <c r="Y93" i="6"/>
  <c r="X94" i="6"/>
  <c r="Z95" i="6"/>
  <c r="AA94" i="6"/>
  <c r="V95" i="6" l="1"/>
  <c r="W94" i="6"/>
  <c r="Z96" i="6"/>
  <c r="AA95" i="6"/>
  <c r="Y94" i="6"/>
  <c r="X95" i="6"/>
  <c r="V96" i="6" l="1"/>
  <c r="W95" i="6"/>
  <c r="Y95" i="6"/>
  <c r="X96" i="6"/>
  <c r="Z97" i="6"/>
  <c r="AA96" i="6"/>
  <c r="V97" i="6" l="1"/>
  <c r="W96" i="6"/>
  <c r="Y96" i="6"/>
  <c r="X97" i="6"/>
  <c r="Z98" i="6"/>
  <c r="AA97" i="6"/>
  <c r="V98" i="6" l="1"/>
  <c r="W97" i="6"/>
  <c r="Z99" i="6"/>
  <c r="AA98" i="6"/>
  <c r="Y97" i="6"/>
  <c r="X98" i="6"/>
  <c r="V99" i="6" l="1"/>
  <c r="W98" i="6"/>
  <c r="Y98" i="6"/>
  <c r="X99" i="6"/>
  <c r="Z100" i="6"/>
  <c r="AA99" i="6"/>
  <c r="V100" i="6" l="1"/>
  <c r="W99" i="6"/>
  <c r="Z101" i="6"/>
  <c r="AA100" i="6"/>
  <c r="Y99" i="6"/>
  <c r="X100" i="6"/>
  <c r="V101" i="6" l="1"/>
  <c r="W100" i="6"/>
  <c r="Y100" i="6"/>
  <c r="X101" i="6"/>
  <c r="Z102" i="6"/>
  <c r="AA101" i="6"/>
  <c r="V102" i="6" l="1"/>
  <c r="W101" i="6"/>
  <c r="Z103" i="6"/>
  <c r="AA102" i="6"/>
  <c r="Y101" i="6"/>
  <c r="X102" i="6"/>
  <c r="W102" i="6" l="1"/>
  <c r="V103" i="6"/>
  <c r="Y102" i="6"/>
  <c r="X103" i="6"/>
  <c r="Z104" i="6"/>
  <c r="AA103" i="6"/>
  <c r="V104" i="6" l="1"/>
  <c r="W103" i="6"/>
  <c r="Z105" i="6"/>
  <c r="AA104" i="6"/>
  <c r="Y103" i="6"/>
  <c r="X104" i="6"/>
  <c r="W104" i="6" l="1"/>
  <c r="V105" i="6"/>
  <c r="Y104" i="6"/>
  <c r="X105" i="6"/>
  <c r="Z106" i="6"/>
  <c r="AA105" i="6"/>
  <c r="V106" i="6" l="1"/>
  <c r="W105" i="6"/>
  <c r="Z107" i="6"/>
  <c r="AA106" i="6"/>
  <c r="Y105" i="6"/>
  <c r="X106" i="6"/>
  <c r="V107" i="6" l="1"/>
  <c r="W106" i="6"/>
  <c r="Y106" i="6"/>
  <c r="X107" i="6"/>
  <c r="Z108" i="6"/>
  <c r="AA107" i="6"/>
  <c r="V108" i="6" l="1"/>
  <c r="W107" i="6"/>
  <c r="Y107" i="6"/>
  <c r="X108" i="6"/>
  <c r="Z109" i="6"/>
  <c r="AA108" i="6"/>
  <c r="V109" i="6" l="1"/>
  <c r="W108" i="6"/>
  <c r="Y108" i="6"/>
  <c r="X109" i="6"/>
  <c r="Z110" i="6"/>
  <c r="AA109" i="6"/>
  <c r="W109" i="6" l="1"/>
  <c r="V110" i="6"/>
  <c r="Z111" i="6"/>
  <c r="AA110" i="6"/>
  <c r="Y109" i="6"/>
  <c r="X110" i="6"/>
  <c r="V111" i="6" l="1"/>
  <c r="W110" i="6"/>
  <c r="Y110" i="6"/>
  <c r="X111" i="6"/>
  <c r="Z112" i="6"/>
  <c r="AA111" i="6"/>
  <c r="V112" i="6" l="1"/>
  <c r="W111" i="6"/>
  <c r="Z113" i="6"/>
  <c r="AA112" i="6"/>
  <c r="Y111" i="6"/>
  <c r="X112" i="6"/>
  <c r="V113" i="6" l="1"/>
  <c r="W112" i="6"/>
  <c r="Y112" i="6"/>
  <c r="X113" i="6"/>
  <c r="Z114" i="6"/>
  <c r="AA113" i="6"/>
  <c r="W113" i="6" l="1"/>
  <c r="V114" i="6"/>
  <c r="Z115" i="6"/>
  <c r="AA114" i="6"/>
  <c r="Y113" i="6"/>
  <c r="X114" i="6"/>
  <c r="V115" i="6" l="1"/>
  <c r="W114" i="6"/>
  <c r="Y114" i="6"/>
  <c r="X115" i="6"/>
  <c r="Z116" i="6"/>
  <c r="AA115" i="6"/>
  <c r="W115" i="6" l="1"/>
  <c r="V116" i="6"/>
  <c r="Z117" i="6"/>
  <c r="AA116" i="6"/>
  <c r="Y115" i="6"/>
  <c r="X116" i="6"/>
  <c r="W116" i="6" l="1"/>
  <c r="V117" i="6"/>
  <c r="Y116" i="6"/>
  <c r="X117" i="6"/>
  <c r="Z118" i="6"/>
  <c r="AA117" i="6"/>
  <c r="V118" i="6" l="1"/>
  <c r="W117" i="6"/>
  <c r="Z119" i="6"/>
  <c r="AA118" i="6"/>
  <c r="Y117" i="6"/>
  <c r="X118" i="6"/>
  <c r="V119" i="6" l="1"/>
  <c r="W118" i="6"/>
  <c r="Z120" i="6"/>
  <c r="AA119" i="6"/>
  <c r="Y118" i="6"/>
  <c r="X119" i="6"/>
  <c r="V120" i="6" l="1"/>
  <c r="W119" i="6"/>
  <c r="Z121" i="6"/>
  <c r="AA120" i="6"/>
  <c r="Y119" i="6"/>
  <c r="X120" i="6"/>
  <c r="V121" i="6" l="1"/>
  <c r="W120" i="6"/>
  <c r="Y120" i="6"/>
  <c r="X121" i="6"/>
  <c r="Z122" i="6"/>
  <c r="AA121" i="6"/>
  <c r="V122" i="6" l="1"/>
  <c r="W121" i="6"/>
  <c r="Z123" i="6"/>
  <c r="AA122" i="6"/>
  <c r="Y121" i="6"/>
  <c r="X122" i="6"/>
  <c r="V123" i="6" l="1"/>
  <c r="W122" i="6"/>
  <c r="Y122" i="6"/>
  <c r="X123" i="6"/>
  <c r="Z124" i="6"/>
  <c r="AA123" i="6"/>
  <c r="W123" i="6" l="1"/>
  <c r="V124" i="6"/>
  <c r="Z125" i="6"/>
  <c r="AA124" i="6"/>
  <c r="Y123" i="6"/>
  <c r="X124" i="6"/>
  <c r="V125" i="6" l="1"/>
  <c r="W124" i="6"/>
  <c r="Y124" i="6"/>
  <c r="X125" i="6"/>
  <c r="Z126" i="6"/>
  <c r="AA125" i="6"/>
  <c r="V126" i="6" l="1"/>
  <c r="W125" i="6"/>
  <c r="Z127" i="6"/>
  <c r="AA126" i="6"/>
  <c r="Y125" i="6"/>
  <c r="X126" i="6"/>
  <c r="V127" i="6" l="1"/>
  <c r="W126" i="6"/>
  <c r="Y126" i="6"/>
  <c r="X127" i="6"/>
  <c r="Z128" i="6"/>
  <c r="AA127" i="6"/>
  <c r="V128" i="6" l="1"/>
  <c r="W127" i="6"/>
  <c r="Z129" i="6"/>
  <c r="AA128" i="6"/>
  <c r="Y127" i="6"/>
  <c r="X128" i="6"/>
  <c r="V129" i="6" l="1"/>
  <c r="W128" i="6"/>
  <c r="Y128" i="6"/>
  <c r="X129" i="6"/>
  <c r="Z130" i="6"/>
  <c r="AA129" i="6"/>
  <c r="W129" i="6" l="1"/>
  <c r="V130" i="6"/>
  <c r="Z131" i="6"/>
  <c r="AA130" i="6"/>
  <c r="Y129" i="6"/>
  <c r="X130" i="6"/>
  <c r="V131" i="6" l="1"/>
  <c r="W130" i="6"/>
  <c r="Y130" i="6"/>
  <c r="X131" i="6"/>
  <c r="Z132" i="6"/>
  <c r="AA131" i="6"/>
  <c r="W131" i="6" l="1"/>
  <c r="V132" i="6"/>
  <c r="Z133" i="6"/>
  <c r="AA132" i="6"/>
  <c r="Y131" i="6"/>
  <c r="X132" i="6"/>
  <c r="V133" i="6" l="1"/>
  <c r="W132" i="6"/>
  <c r="Z134" i="6"/>
  <c r="AA133" i="6"/>
  <c r="Y132" i="6"/>
  <c r="X133" i="6"/>
  <c r="V134" i="6" l="1"/>
  <c r="W133" i="6"/>
  <c r="Y133" i="6"/>
  <c r="X134" i="6"/>
  <c r="Z135" i="6"/>
  <c r="AA134" i="6"/>
  <c r="W134" i="6" l="1"/>
  <c r="V135" i="6"/>
  <c r="Z136" i="6"/>
  <c r="AA135" i="6"/>
  <c r="Y134" i="6"/>
  <c r="X135" i="6"/>
  <c r="V136" i="6" l="1"/>
  <c r="W135" i="6"/>
  <c r="Y135" i="6"/>
  <c r="X136" i="6"/>
  <c r="Z137" i="6"/>
  <c r="AA136" i="6"/>
  <c r="V137" i="6" l="1"/>
  <c r="W136" i="6"/>
  <c r="Z138" i="6"/>
  <c r="AA137" i="6"/>
  <c r="Y136" i="6"/>
  <c r="X137" i="6"/>
  <c r="V138" i="6" l="1"/>
  <c r="W137" i="6"/>
  <c r="Y137" i="6"/>
  <c r="X138" i="6"/>
  <c r="Z139" i="6"/>
  <c r="AA138" i="6"/>
  <c r="W138" i="6" l="1"/>
  <c r="V139" i="6"/>
  <c r="Z140" i="6"/>
  <c r="AA139" i="6"/>
  <c r="Y138" i="6"/>
  <c r="X139" i="6"/>
  <c r="W139" i="6" l="1"/>
  <c r="V140" i="6"/>
  <c r="Y139" i="6"/>
  <c r="X140" i="6"/>
  <c r="Z141" i="6"/>
  <c r="AA140" i="6"/>
  <c r="V141" i="6" l="1"/>
  <c r="W140" i="6"/>
  <c r="Y140" i="6"/>
  <c r="X141" i="6"/>
  <c r="Z142" i="6"/>
  <c r="AA141" i="6"/>
  <c r="V142" i="6" l="1"/>
  <c r="W141" i="6"/>
  <c r="Z143" i="6"/>
  <c r="AA142" i="6"/>
  <c r="Y141" i="6"/>
  <c r="X142" i="6"/>
  <c r="V143" i="6" l="1"/>
  <c r="W142" i="6"/>
  <c r="Y142" i="6"/>
  <c r="X143" i="6"/>
  <c r="Z144" i="6"/>
  <c r="AA143" i="6"/>
  <c r="V144" i="6" l="1"/>
  <c r="W143" i="6"/>
  <c r="Y143" i="6"/>
  <c r="X144" i="6"/>
  <c r="Z145" i="6"/>
  <c r="AA144" i="6"/>
  <c r="W144" i="6" l="1"/>
  <c r="V145" i="6"/>
  <c r="Y144" i="6"/>
  <c r="X145" i="6"/>
  <c r="Z146" i="6"/>
  <c r="AA145" i="6"/>
  <c r="V146" i="6" l="1"/>
  <c r="W145" i="6"/>
  <c r="Z147" i="6"/>
  <c r="AA146" i="6"/>
  <c r="Y145" i="6"/>
  <c r="X146" i="6"/>
  <c r="V147" i="6" l="1"/>
  <c r="W146" i="6"/>
  <c r="Z148" i="6"/>
  <c r="AA147" i="6"/>
  <c r="Y146" i="6"/>
  <c r="X147" i="6"/>
  <c r="V148" i="6" l="1"/>
  <c r="W147" i="6"/>
  <c r="Z149" i="6"/>
  <c r="AA148" i="6"/>
  <c r="Y147" i="6"/>
  <c r="X148" i="6"/>
  <c r="V149" i="6" l="1"/>
  <c r="W148" i="6"/>
  <c r="Y148" i="6"/>
  <c r="X149" i="6"/>
  <c r="Z150" i="6"/>
  <c r="AA149" i="6"/>
  <c r="V150" i="6" l="1"/>
  <c r="W149" i="6"/>
  <c r="Z151" i="6"/>
  <c r="AA150" i="6"/>
  <c r="Y149" i="6"/>
  <c r="X150" i="6"/>
  <c r="V151" i="6" l="1"/>
  <c r="W150" i="6"/>
  <c r="Z152" i="6"/>
  <c r="AA151" i="6"/>
  <c r="Y150" i="6"/>
  <c r="X151" i="6"/>
  <c r="V152" i="6" l="1"/>
  <c r="W151" i="6"/>
  <c r="Y151" i="6"/>
  <c r="X152" i="6"/>
  <c r="Z153" i="6"/>
  <c r="AA152" i="6"/>
  <c r="V153" i="6" l="1"/>
  <c r="W152" i="6"/>
  <c r="Z154" i="6"/>
  <c r="AA153" i="6"/>
  <c r="Y152" i="6"/>
  <c r="X153" i="6"/>
  <c r="W153" i="6" l="1"/>
  <c r="V154" i="6"/>
  <c r="Z155" i="6"/>
  <c r="AA154" i="6"/>
  <c r="Y153" i="6"/>
  <c r="X154" i="6"/>
  <c r="V155" i="6" l="1"/>
  <c r="W154" i="6"/>
  <c r="Z156" i="6"/>
  <c r="AA155" i="6"/>
  <c r="Y154" i="6"/>
  <c r="X155" i="6"/>
  <c r="W155" i="6" l="1"/>
  <c r="V156" i="6"/>
  <c r="Y155" i="6"/>
  <c r="X156" i="6"/>
  <c r="Z157" i="6"/>
  <c r="AA156" i="6"/>
  <c r="V157" i="6" l="1"/>
  <c r="W156" i="6"/>
  <c r="Z158" i="6"/>
  <c r="AA157" i="6"/>
  <c r="Y156" i="6"/>
  <c r="X157" i="6"/>
  <c r="V158" i="6" l="1"/>
  <c r="W157" i="6"/>
  <c r="Y157" i="6"/>
  <c r="X158" i="6"/>
  <c r="Z159" i="6"/>
  <c r="AA158" i="6"/>
  <c r="V159" i="6" l="1"/>
  <c r="W158" i="6"/>
  <c r="Z160" i="6"/>
  <c r="AA159" i="6"/>
  <c r="Y158" i="6"/>
  <c r="X159" i="6"/>
  <c r="V160" i="6" l="1"/>
  <c r="W159" i="6"/>
  <c r="Y159" i="6"/>
  <c r="X160" i="6"/>
  <c r="Z161" i="6"/>
  <c r="AA160" i="6"/>
  <c r="W160" i="6" l="1"/>
  <c r="V161" i="6"/>
  <c r="Z162" i="6"/>
  <c r="AA161" i="6"/>
  <c r="Y160" i="6"/>
  <c r="X161" i="6"/>
  <c r="V162" i="6" l="1"/>
  <c r="W161" i="6"/>
  <c r="Z163" i="6"/>
  <c r="AA162" i="6"/>
  <c r="Y161" i="6"/>
  <c r="X162" i="6"/>
  <c r="V163" i="6" l="1"/>
  <c r="W162" i="6"/>
  <c r="Y162" i="6"/>
  <c r="X163" i="6"/>
  <c r="Z164" i="6"/>
  <c r="AA163" i="6"/>
  <c r="V164" i="6" l="1"/>
  <c r="W163" i="6"/>
  <c r="Z165" i="6"/>
  <c r="AA164" i="6"/>
  <c r="Y163" i="6"/>
  <c r="X164" i="6"/>
  <c r="V165" i="6" l="1"/>
  <c r="W164" i="6"/>
  <c r="Y164" i="6"/>
  <c r="X165" i="6"/>
  <c r="Z166" i="6"/>
  <c r="AA165" i="6"/>
  <c r="V166" i="6" l="1"/>
  <c r="W165" i="6"/>
  <c r="Y165" i="6"/>
  <c r="X166" i="6"/>
  <c r="Z167" i="6"/>
  <c r="AA166" i="6"/>
  <c r="V167" i="6" l="1"/>
  <c r="W166" i="6"/>
  <c r="Z168" i="6"/>
  <c r="AA167" i="6"/>
  <c r="Y166" i="6"/>
  <c r="X167" i="6"/>
  <c r="V168" i="6" l="1"/>
  <c r="W167" i="6"/>
  <c r="Y167" i="6"/>
  <c r="X168" i="6"/>
  <c r="Z169" i="6"/>
  <c r="AA168" i="6"/>
  <c r="V169" i="6" l="1"/>
  <c r="W168" i="6"/>
  <c r="Z170" i="6"/>
  <c r="AA169" i="6"/>
  <c r="Y168" i="6"/>
  <c r="X169" i="6"/>
  <c r="V170" i="6" l="1"/>
  <c r="W169" i="6"/>
  <c r="Y169" i="6"/>
  <c r="X170" i="6"/>
  <c r="Z171" i="6"/>
  <c r="AA170" i="6"/>
  <c r="W170" i="6" l="1"/>
  <c r="V171" i="6"/>
  <c r="Y170" i="6"/>
  <c r="X171" i="6"/>
  <c r="Z172" i="6"/>
  <c r="AA171" i="6"/>
  <c r="V172" i="6" l="1"/>
  <c r="W171" i="6"/>
  <c r="Z173" i="6"/>
  <c r="AA172" i="6"/>
  <c r="Y171" i="6"/>
  <c r="X172" i="6"/>
  <c r="W172" i="6" l="1"/>
  <c r="V173" i="6"/>
  <c r="Y172" i="6"/>
  <c r="X173" i="6"/>
  <c r="Z174" i="6"/>
  <c r="AA173" i="6"/>
  <c r="V174" i="6" l="1"/>
  <c r="W173" i="6"/>
  <c r="Z175" i="6"/>
  <c r="AA174" i="6"/>
  <c r="Y173" i="6"/>
  <c r="X174" i="6"/>
  <c r="V175" i="6" l="1"/>
  <c r="W174" i="6"/>
  <c r="Y174" i="6"/>
  <c r="X175" i="6"/>
  <c r="Z176" i="6"/>
  <c r="AA175" i="6"/>
  <c r="V176" i="6" l="1"/>
  <c r="W175" i="6"/>
  <c r="Z177" i="6"/>
  <c r="AA176" i="6"/>
  <c r="Y175" i="6"/>
  <c r="X176" i="6"/>
  <c r="V177" i="6" l="1"/>
  <c r="W176" i="6"/>
  <c r="Y176" i="6"/>
  <c r="X177" i="6"/>
  <c r="Z178" i="6"/>
  <c r="AA177" i="6"/>
  <c r="V178" i="6" l="1"/>
  <c r="W177" i="6"/>
  <c r="Y177" i="6"/>
  <c r="X178" i="6"/>
  <c r="Z179" i="6"/>
  <c r="AA178" i="6"/>
  <c r="V179" i="6" l="1"/>
  <c r="W178" i="6"/>
  <c r="Z180" i="6"/>
  <c r="AA179" i="6"/>
  <c r="Y178" i="6"/>
  <c r="X179" i="6"/>
  <c r="V180" i="6" l="1"/>
  <c r="W179" i="6"/>
  <c r="Y179" i="6"/>
  <c r="X180" i="6"/>
  <c r="Z181" i="6"/>
  <c r="AA180" i="6"/>
  <c r="V181" i="6" l="1"/>
  <c r="W180" i="6"/>
  <c r="Z182" i="6"/>
  <c r="AA181" i="6"/>
  <c r="Y180" i="6"/>
  <c r="X181" i="6"/>
  <c r="V182" i="6" l="1"/>
  <c r="W181" i="6"/>
  <c r="Z183" i="6"/>
  <c r="AA182" i="6"/>
  <c r="Y181" i="6"/>
  <c r="X182" i="6"/>
  <c r="V183" i="6" l="1"/>
  <c r="W182" i="6"/>
  <c r="Y182" i="6"/>
  <c r="X183" i="6"/>
  <c r="Z184" i="6"/>
  <c r="AA183" i="6"/>
  <c r="V184" i="6" l="1"/>
  <c r="W183" i="6"/>
  <c r="Z185" i="6"/>
  <c r="AA184" i="6"/>
  <c r="Y183" i="6"/>
  <c r="X184" i="6"/>
  <c r="V185" i="6" l="1"/>
  <c r="W184" i="6"/>
  <c r="Y184" i="6"/>
  <c r="X185" i="6"/>
  <c r="Z186" i="6"/>
  <c r="AA185" i="6"/>
  <c r="V186" i="6" l="1"/>
  <c r="W185" i="6"/>
  <c r="Y185" i="6"/>
  <c r="X186" i="6"/>
  <c r="Z187" i="6"/>
  <c r="AA186" i="6"/>
  <c r="V187" i="6" l="1"/>
  <c r="W186" i="6"/>
  <c r="Y186" i="6"/>
  <c r="X187" i="6"/>
  <c r="Z188" i="6"/>
  <c r="AA187" i="6"/>
  <c r="V188" i="6" l="1"/>
  <c r="W187" i="6"/>
  <c r="Z189" i="6"/>
  <c r="AA188" i="6"/>
  <c r="Y187" i="6"/>
  <c r="X188" i="6"/>
  <c r="W188" i="6" l="1"/>
  <c r="V189" i="6"/>
  <c r="Y188" i="6"/>
  <c r="X189" i="6"/>
  <c r="Z190" i="6"/>
  <c r="AA189" i="6"/>
  <c r="V190" i="6" l="1"/>
  <c r="W189" i="6"/>
  <c r="Z191" i="6"/>
  <c r="AA190" i="6"/>
  <c r="Y189" i="6"/>
  <c r="X190" i="6"/>
  <c r="V191" i="6" l="1"/>
  <c r="W190" i="6"/>
  <c r="Y190" i="6"/>
  <c r="X191" i="6"/>
  <c r="Z192" i="6"/>
  <c r="AA191" i="6"/>
  <c r="V192" i="6" l="1"/>
  <c r="W191" i="6"/>
  <c r="Z193" i="6"/>
  <c r="AA192" i="6"/>
  <c r="Y191" i="6"/>
  <c r="X192" i="6"/>
  <c r="W192" i="6" l="1"/>
  <c r="V193" i="6"/>
  <c r="Y192" i="6"/>
  <c r="X193" i="6"/>
  <c r="Z194" i="6"/>
  <c r="AA193" i="6"/>
  <c r="V194" i="6" l="1"/>
  <c r="W193" i="6"/>
  <c r="Z195" i="6"/>
  <c r="AA194" i="6"/>
  <c r="Y193" i="6"/>
  <c r="X194" i="6"/>
  <c r="V195" i="6" l="1"/>
  <c r="W194" i="6"/>
  <c r="Y194" i="6"/>
  <c r="X195" i="6"/>
  <c r="Z196" i="6"/>
  <c r="AA195" i="6"/>
  <c r="V196" i="6" l="1"/>
  <c r="W195" i="6"/>
  <c r="Z197" i="6"/>
  <c r="AA196" i="6"/>
  <c r="Y195" i="6"/>
  <c r="X196" i="6"/>
  <c r="V197" i="6" l="1"/>
  <c r="W196" i="6"/>
  <c r="Z198" i="6"/>
  <c r="AA197" i="6"/>
  <c r="Y196" i="6"/>
  <c r="X197" i="6"/>
  <c r="W197" i="6" l="1"/>
  <c r="V198" i="6"/>
  <c r="Z199" i="6"/>
  <c r="AA198" i="6"/>
  <c r="Y197" i="6"/>
  <c r="X198" i="6"/>
  <c r="V199" i="6" l="1"/>
  <c r="W198" i="6"/>
  <c r="Y198" i="6"/>
  <c r="X199" i="6"/>
  <c r="Z200" i="6"/>
  <c r="AA199" i="6"/>
  <c r="W199" i="6" l="1"/>
  <c r="V200" i="6"/>
  <c r="Y199" i="6"/>
  <c r="X200" i="6"/>
  <c r="Z201" i="6"/>
  <c r="AA200" i="6"/>
  <c r="V201" i="6" l="1"/>
  <c r="W200" i="6"/>
  <c r="Z202" i="6"/>
  <c r="AA201" i="6"/>
  <c r="Y200" i="6"/>
  <c r="X201" i="6"/>
  <c r="V202" i="6" l="1"/>
  <c r="W201" i="6"/>
  <c r="Y201" i="6"/>
  <c r="X202" i="6"/>
  <c r="Z203" i="6"/>
  <c r="AA202" i="6"/>
  <c r="V203" i="6" l="1"/>
  <c r="W202" i="6"/>
  <c r="Z204" i="6"/>
  <c r="AA203" i="6"/>
  <c r="Y202" i="6"/>
  <c r="X203" i="6"/>
  <c r="V204" i="6" l="1"/>
  <c r="W203" i="6"/>
  <c r="Y203" i="6"/>
  <c r="X204" i="6"/>
  <c r="Z205" i="6"/>
  <c r="AA204" i="6"/>
  <c r="W204" i="6" l="1"/>
  <c r="V205" i="6"/>
  <c r="Z206" i="6"/>
  <c r="AA205" i="6"/>
  <c r="Y204" i="6"/>
  <c r="X205" i="6"/>
  <c r="W205" i="6" l="1"/>
  <c r="V206" i="6"/>
  <c r="Z207" i="6"/>
  <c r="AA206" i="6"/>
  <c r="Y205" i="6"/>
  <c r="X206" i="6"/>
  <c r="W206" i="6" l="1"/>
  <c r="V207" i="6"/>
  <c r="Y206" i="6"/>
  <c r="X207" i="6"/>
  <c r="Z208" i="6"/>
  <c r="AA207" i="6"/>
  <c r="W207" i="6" l="1"/>
  <c r="V208" i="6"/>
  <c r="Z209" i="6"/>
  <c r="AA208" i="6"/>
  <c r="Y207" i="6"/>
  <c r="X208" i="6"/>
  <c r="V209" i="6" l="1"/>
  <c r="W208" i="6"/>
  <c r="Y208" i="6"/>
  <c r="X209" i="6"/>
  <c r="Z210" i="6"/>
  <c r="AA209" i="6"/>
  <c r="V210" i="6" l="1"/>
  <c r="W209" i="6"/>
  <c r="Z211" i="6"/>
  <c r="AA210" i="6"/>
  <c r="Y209" i="6"/>
  <c r="X210" i="6"/>
  <c r="V211" i="6" l="1"/>
  <c r="W210" i="6"/>
  <c r="Y210" i="6"/>
  <c r="X211" i="6"/>
  <c r="Z212" i="6"/>
  <c r="AA211" i="6"/>
  <c r="V212" i="6" l="1"/>
  <c r="W211" i="6"/>
  <c r="Z213" i="6"/>
  <c r="AA212" i="6"/>
  <c r="Y211" i="6"/>
  <c r="X212" i="6"/>
  <c r="W212" i="6" l="1"/>
  <c r="V213" i="6"/>
  <c r="Y212" i="6"/>
  <c r="X213" i="6"/>
  <c r="Z214" i="6"/>
  <c r="AA213" i="6"/>
  <c r="V214" i="6" l="1"/>
  <c r="W213" i="6"/>
  <c r="Y213" i="6"/>
  <c r="X214" i="6"/>
  <c r="Z215" i="6"/>
  <c r="AA214" i="6"/>
  <c r="V215" i="6" l="1"/>
  <c r="W214" i="6"/>
  <c r="Y214" i="6"/>
  <c r="X215" i="6"/>
  <c r="Z216" i="6"/>
  <c r="AA215" i="6"/>
  <c r="V216" i="6" l="1"/>
  <c r="W215" i="6"/>
  <c r="Z217" i="6"/>
  <c r="AA216" i="6"/>
  <c r="Y215" i="6"/>
  <c r="X216" i="6"/>
  <c r="V217" i="6" l="1"/>
  <c r="W216" i="6"/>
  <c r="Z218" i="6"/>
  <c r="AA217" i="6"/>
  <c r="Y216" i="6"/>
  <c r="X217" i="6"/>
  <c r="V218" i="6" l="1"/>
  <c r="W217" i="6"/>
  <c r="Y217" i="6"/>
  <c r="X218" i="6"/>
  <c r="Z219" i="6"/>
  <c r="AA218" i="6"/>
  <c r="W218" i="6" l="1"/>
  <c r="V219" i="6"/>
  <c r="Y218" i="6"/>
  <c r="X219" i="6"/>
  <c r="Z220" i="6"/>
  <c r="AA219" i="6"/>
  <c r="V220" i="6" l="1"/>
  <c r="W219" i="6"/>
  <c r="Z221" i="6"/>
  <c r="AA220" i="6"/>
  <c r="Y219" i="6"/>
  <c r="X220" i="6"/>
  <c r="V221" i="6" l="1"/>
  <c r="W220" i="6"/>
  <c r="Y220" i="6"/>
  <c r="X221" i="6"/>
  <c r="Z222" i="6"/>
  <c r="AA221" i="6"/>
  <c r="V222" i="6" l="1"/>
  <c r="W221" i="6"/>
  <c r="Z223" i="6"/>
  <c r="AA222" i="6"/>
  <c r="Y221" i="6"/>
  <c r="X222" i="6"/>
  <c r="V223" i="6" l="1"/>
  <c r="W222" i="6"/>
  <c r="Y222" i="6"/>
  <c r="X223" i="6"/>
  <c r="Z224" i="6"/>
  <c r="AA223" i="6"/>
  <c r="V224" i="6" l="1"/>
  <c r="W223" i="6"/>
  <c r="Z225" i="6"/>
  <c r="AA224" i="6"/>
  <c r="Y223" i="6"/>
  <c r="X224" i="6"/>
  <c r="V225" i="6" l="1"/>
  <c r="W224" i="6"/>
  <c r="Y224" i="6"/>
  <c r="X225" i="6"/>
  <c r="Z226" i="6"/>
  <c r="AA225" i="6"/>
  <c r="V226" i="6" l="1"/>
  <c r="W225" i="6"/>
  <c r="Z227" i="6"/>
  <c r="AA226" i="6"/>
  <c r="Y225" i="6"/>
  <c r="X226" i="6"/>
  <c r="W226" i="6" l="1"/>
  <c r="V227" i="6"/>
  <c r="Y226" i="6"/>
  <c r="X227" i="6"/>
  <c r="Z228" i="6"/>
  <c r="AA227" i="6"/>
  <c r="V228" i="6" l="1"/>
  <c r="W227" i="6"/>
  <c r="Z229" i="6"/>
  <c r="AA228" i="6"/>
  <c r="Y227" i="6"/>
  <c r="X228" i="6"/>
  <c r="V229" i="6" l="1"/>
  <c r="W228" i="6"/>
  <c r="Y228" i="6"/>
  <c r="X229" i="6"/>
  <c r="Z230" i="6"/>
  <c r="AA229" i="6"/>
  <c r="V230" i="6" l="1"/>
  <c r="W229" i="6"/>
  <c r="Z231" i="6"/>
  <c r="AA230" i="6"/>
  <c r="Y229" i="6"/>
  <c r="X230" i="6"/>
  <c r="W230" i="6" l="1"/>
  <c r="V231" i="6"/>
  <c r="Y230" i="6"/>
  <c r="X231" i="6"/>
  <c r="Z232" i="6"/>
  <c r="AA231" i="6"/>
  <c r="V232" i="6" l="1"/>
  <c r="W231" i="6"/>
  <c r="Z233" i="6"/>
  <c r="AA232" i="6"/>
  <c r="Y231" i="6"/>
  <c r="X232" i="6"/>
  <c r="V233" i="6" l="1"/>
  <c r="W232" i="6"/>
  <c r="Y232" i="6"/>
  <c r="X233" i="6"/>
  <c r="Z234" i="6"/>
  <c r="AA233" i="6"/>
  <c r="V234" i="6" l="1"/>
  <c r="W233" i="6"/>
  <c r="Z235" i="6"/>
  <c r="AA234" i="6"/>
  <c r="Y233" i="6"/>
  <c r="X234" i="6"/>
  <c r="V235" i="6" l="1"/>
  <c r="W234" i="6"/>
  <c r="Y234" i="6"/>
  <c r="X235" i="6"/>
  <c r="Z236" i="6"/>
  <c r="AA235" i="6"/>
  <c r="V236" i="6" l="1"/>
  <c r="W235" i="6"/>
  <c r="Z237" i="6"/>
  <c r="AA236" i="6"/>
  <c r="Y235" i="6"/>
  <c r="X236" i="6"/>
  <c r="V237" i="6" l="1"/>
  <c r="W236" i="6"/>
  <c r="Y236" i="6"/>
  <c r="X237" i="6"/>
  <c r="Z238" i="6"/>
  <c r="AA237" i="6"/>
  <c r="W237" i="6" l="1"/>
  <c r="V238" i="6"/>
  <c r="Z239" i="6"/>
  <c r="AA238" i="6"/>
  <c r="Y237" i="6"/>
  <c r="X238" i="6"/>
  <c r="V239" i="6" l="1"/>
  <c r="W238" i="6"/>
  <c r="Y238" i="6"/>
  <c r="X239" i="6"/>
  <c r="Z240" i="6"/>
  <c r="AA239" i="6"/>
  <c r="V240" i="6" l="1"/>
  <c r="W239" i="6"/>
  <c r="Z241" i="6"/>
  <c r="AA240" i="6"/>
  <c r="Y239" i="6"/>
  <c r="X240" i="6"/>
  <c r="V241" i="6" l="1"/>
  <c r="W240" i="6"/>
  <c r="Y240" i="6"/>
  <c r="X241" i="6"/>
  <c r="Z242" i="6"/>
  <c r="AA241" i="6"/>
  <c r="W241" i="6" l="1"/>
  <c r="V242" i="6"/>
  <c r="Z243" i="6"/>
  <c r="AA242" i="6"/>
  <c r="Y241" i="6"/>
  <c r="X242" i="6"/>
  <c r="V243" i="6" l="1"/>
  <c r="W242" i="6"/>
  <c r="Y242" i="6"/>
  <c r="X243" i="6"/>
  <c r="Z244" i="6"/>
  <c r="AA243" i="6"/>
  <c r="V244" i="6" l="1"/>
  <c r="W243" i="6"/>
  <c r="Z245" i="6"/>
  <c r="AA244" i="6"/>
  <c r="Y243" i="6"/>
  <c r="X244" i="6"/>
  <c r="V245" i="6" l="1"/>
  <c r="W244" i="6"/>
  <c r="Y244" i="6"/>
  <c r="X245" i="6"/>
  <c r="Z246" i="6"/>
  <c r="AA245" i="6"/>
  <c r="V246" i="6" l="1"/>
  <c r="W245" i="6"/>
  <c r="Z247" i="6"/>
  <c r="AA246" i="6"/>
  <c r="Y245" i="6"/>
  <c r="X246" i="6"/>
  <c r="V247" i="6" l="1"/>
  <c r="W246" i="6"/>
  <c r="Y246" i="6"/>
  <c r="X247" i="6"/>
  <c r="Z248" i="6"/>
  <c r="AA247" i="6"/>
  <c r="V248" i="6" l="1"/>
  <c r="W247" i="6"/>
  <c r="Z249" i="6"/>
  <c r="AA248" i="6"/>
  <c r="Y247" i="6"/>
  <c r="X248" i="6"/>
  <c r="V249" i="6" l="1"/>
  <c r="W248" i="6"/>
  <c r="Y248" i="6"/>
  <c r="X249" i="6"/>
  <c r="Z250" i="6"/>
  <c r="AA249" i="6"/>
  <c r="V250" i="6" l="1"/>
  <c r="W249" i="6"/>
  <c r="Z251" i="6"/>
  <c r="AA250" i="6"/>
  <c r="Y249" i="6"/>
  <c r="X250" i="6"/>
  <c r="V251" i="6" l="1"/>
  <c r="W250" i="6"/>
  <c r="Z252" i="6"/>
  <c r="AA251" i="6"/>
  <c r="Y250" i="6"/>
  <c r="X251" i="6"/>
  <c r="W251" i="6" l="1"/>
  <c r="V252" i="6"/>
  <c r="Y251" i="6"/>
  <c r="X252" i="6"/>
  <c r="Z253" i="6"/>
  <c r="AA252" i="6"/>
  <c r="V253" i="6" l="1"/>
  <c r="W252" i="6"/>
  <c r="Z254" i="6"/>
  <c r="AA253" i="6"/>
  <c r="Y252" i="6"/>
  <c r="X253" i="6"/>
  <c r="V254" i="6" l="1"/>
  <c r="W253" i="6"/>
  <c r="Y253" i="6"/>
  <c r="X254" i="6"/>
  <c r="Z255" i="6"/>
  <c r="AA254" i="6"/>
  <c r="V255" i="6" l="1"/>
  <c r="W254" i="6"/>
  <c r="Z256" i="6"/>
  <c r="AA255" i="6"/>
  <c r="Y254" i="6"/>
  <c r="X255" i="6"/>
  <c r="V256" i="6" l="1"/>
  <c r="W255" i="6"/>
  <c r="Z257" i="6"/>
  <c r="AA256" i="6"/>
  <c r="Y255" i="6"/>
  <c r="X256" i="6"/>
  <c r="V257" i="6" l="1"/>
  <c r="W256" i="6"/>
  <c r="Z258" i="6"/>
  <c r="AA257" i="6"/>
  <c r="Y256" i="6"/>
  <c r="X257" i="6"/>
  <c r="V258" i="6" l="1"/>
  <c r="W257" i="6"/>
  <c r="Z259" i="6"/>
  <c r="AA258" i="6"/>
  <c r="Y257" i="6"/>
  <c r="X258" i="6"/>
  <c r="V259" i="6" l="1"/>
  <c r="W258" i="6"/>
  <c r="Z260" i="6"/>
  <c r="AA259" i="6"/>
  <c r="Y258" i="6"/>
  <c r="X259" i="6"/>
  <c r="V260" i="6" l="1"/>
  <c r="W259" i="6"/>
  <c r="Y259" i="6"/>
  <c r="X260" i="6"/>
  <c r="Z261" i="6"/>
  <c r="AA260" i="6"/>
  <c r="V261" i="6" l="1"/>
  <c r="W260" i="6"/>
  <c r="Z262" i="6"/>
  <c r="AA261" i="6"/>
  <c r="Y260" i="6"/>
  <c r="X261" i="6"/>
  <c r="V262" i="6" l="1"/>
  <c r="W261" i="6"/>
  <c r="Y261" i="6"/>
  <c r="X262" i="6"/>
  <c r="Z263" i="6"/>
  <c r="AA262" i="6"/>
  <c r="V263" i="6" l="1"/>
  <c r="W262" i="6"/>
  <c r="Z264" i="6"/>
  <c r="AA263" i="6"/>
  <c r="Y262" i="6"/>
  <c r="X263" i="6"/>
  <c r="V264" i="6" l="1"/>
  <c r="W263" i="6"/>
  <c r="Z265" i="6"/>
  <c r="AA264" i="6"/>
  <c r="Y263" i="6"/>
  <c r="X264" i="6"/>
  <c r="V265" i="6" l="1"/>
  <c r="W264" i="6"/>
  <c r="Y264" i="6"/>
  <c r="X265" i="6"/>
  <c r="Z266" i="6"/>
  <c r="AA265" i="6"/>
  <c r="V266" i="6" l="1"/>
  <c r="W265" i="6"/>
  <c r="Z267" i="6"/>
  <c r="AA266" i="6"/>
  <c r="Y265" i="6"/>
  <c r="X266" i="6"/>
  <c r="V267" i="6" l="1"/>
  <c r="W266" i="6"/>
  <c r="Y266" i="6"/>
  <c r="X267" i="6"/>
  <c r="Z268" i="6"/>
  <c r="AA267" i="6"/>
  <c r="V268" i="6" l="1"/>
  <c r="W267" i="6"/>
  <c r="Z269" i="6"/>
  <c r="AA268" i="6"/>
  <c r="Y267" i="6"/>
  <c r="X268" i="6"/>
  <c r="V269" i="6" l="1"/>
  <c r="W268" i="6"/>
  <c r="Y268" i="6"/>
  <c r="X269" i="6"/>
  <c r="Z270" i="6"/>
  <c r="AA269" i="6"/>
  <c r="V270" i="6" l="1"/>
  <c r="W269" i="6"/>
  <c r="Z271" i="6"/>
  <c r="AA270" i="6"/>
  <c r="Y269" i="6"/>
  <c r="X270" i="6"/>
  <c r="V271" i="6" l="1"/>
  <c r="W270" i="6"/>
  <c r="Y270" i="6"/>
  <c r="X271" i="6"/>
  <c r="Z272" i="6"/>
  <c r="AA271" i="6"/>
  <c r="V272" i="6" l="1"/>
  <c r="W271" i="6"/>
  <c r="Z273" i="6"/>
  <c r="AA272" i="6"/>
  <c r="Y271" i="6"/>
  <c r="X272" i="6"/>
  <c r="W272" i="6" l="1"/>
  <c r="V273" i="6"/>
  <c r="Y272" i="6"/>
  <c r="X273" i="6"/>
  <c r="Z274" i="6"/>
  <c r="AA273" i="6"/>
  <c r="V274" i="6" l="1"/>
  <c r="W273" i="6"/>
  <c r="Z275" i="6"/>
  <c r="AA274" i="6"/>
  <c r="Y273" i="6"/>
  <c r="X274" i="6"/>
  <c r="V275" i="6" l="1"/>
  <c r="W274" i="6"/>
  <c r="Y274" i="6"/>
  <c r="X275" i="6"/>
  <c r="Z276" i="6"/>
  <c r="AA275" i="6"/>
  <c r="V276" i="6" l="1"/>
  <c r="W275" i="6"/>
  <c r="Z277" i="6"/>
  <c r="AA276" i="6"/>
  <c r="Y275" i="6"/>
  <c r="X276" i="6"/>
  <c r="V277" i="6" l="1"/>
  <c r="W276" i="6"/>
  <c r="Y276" i="6"/>
  <c r="X277" i="6"/>
  <c r="Z278" i="6"/>
  <c r="AA277" i="6"/>
  <c r="V278" i="6" l="1"/>
  <c r="W277" i="6"/>
  <c r="Z279" i="6"/>
  <c r="AA278" i="6"/>
  <c r="Y277" i="6"/>
  <c r="X278" i="6"/>
  <c r="V279" i="6" l="1"/>
  <c r="W278" i="6"/>
  <c r="Y278" i="6"/>
  <c r="X279" i="6"/>
  <c r="Z280" i="6"/>
  <c r="AA279" i="6"/>
  <c r="V280" i="6" l="1"/>
  <c r="W279" i="6"/>
  <c r="Z281" i="6"/>
  <c r="AA280" i="6"/>
  <c r="Y279" i="6"/>
  <c r="X280" i="6"/>
  <c r="W280" i="6" l="1"/>
  <c r="V281" i="6"/>
  <c r="Y280" i="6"/>
  <c r="X281" i="6"/>
  <c r="Z282" i="6"/>
  <c r="AA281" i="6"/>
  <c r="V282" i="6" l="1"/>
  <c r="W281" i="6"/>
  <c r="Y281" i="6"/>
  <c r="X282" i="6"/>
  <c r="Z283" i="6"/>
  <c r="AA282" i="6"/>
  <c r="W282" i="6" l="1"/>
  <c r="V283" i="6"/>
  <c r="Y282" i="6"/>
  <c r="X283" i="6"/>
  <c r="Z284" i="6"/>
  <c r="AA283" i="6"/>
  <c r="V284" i="6" l="1"/>
  <c r="W283" i="6"/>
  <c r="Z285" i="6"/>
  <c r="AA284" i="6"/>
  <c r="Y283" i="6"/>
  <c r="X284" i="6"/>
  <c r="V285" i="6" l="1"/>
  <c r="W284" i="6"/>
  <c r="Y284" i="6"/>
  <c r="X285" i="6"/>
  <c r="Z286" i="6"/>
  <c r="AA285" i="6"/>
  <c r="V286" i="6" l="1"/>
  <c r="W285" i="6"/>
  <c r="Z287" i="6"/>
  <c r="AA286" i="6"/>
  <c r="Y285" i="6"/>
  <c r="X286" i="6"/>
  <c r="V287" i="6" l="1"/>
  <c r="W286" i="6"/>
  <c r="Y286" i="6"/>
  <c r="X287" i="6"/>
  <c r="Z288" i="6"/>
  <c r="AA287" i="6"/>
  <c r="V288" i="6" l="1"/>
  <c r="W287" i="6"/>
  <c r="Y287" i="6"/>
  <c r="X288" i="6"/>
  <c r="Z289" i="6"/>
  <c r="AA288" i="6"/>
  <c r="V289" i="6" l="1"/>
  <c r="W288" i="6"/>
  <c r="Z290" i="6"/>
  <c r="AA289" i="6"/>
  <c r="Y288" i="6"/>
  <c r="X289" i="6"/>
  <c r="V290" i="6" l="1"/>
  <c r="W289" i="6"/>
  <c r="Y289" i="6"/>
  <c r="X290" i="6"/>
  <c r="Z291" i="6"/>
  <c r="AA290" i="6"/>
  <c r="W290" i="6" l="1"/>
  <c r="V291" i="6"/>
  <c r="Z292" i="6"/>
  <c r="AA291" i="6"/>
  <c r="Y290" i="6"/>
  <c r="X291" i="6"/>
  <c r="W291" i="6" l="1"/>
  <c r="V292" i="6"/>
  <c r="Y291" i="6"/>
  <c r="X292" i="6"/>
  <c r="Z293" i="6"/>
  <c r="AA292" i="6"/>
  <c r="V293" i="6" l="1"/>
  <c r="W292" i="6"/>
  <c r="Y292" i="6"/>
  <c r="X293" i="6"/>
  <c r="Z294" i="6"/>
  <c r="AA293" i="6"/>
  <c r="V294" i="6" l="1"/>
  <c r="W293" i="6"/>
  <c r="Z295" i="6"/>
  <c r="AA294" i="6"/>
  <c r="Y293" i="6"/>
  <c r="X294" i="6"/>
  <c r="V295" i="6" l="1"/>
  <c r="W294" i="6"/>
  <c r="Y294" i="6"/>
  <c r="X295" i="6"/>
  <c r="Z296" i="6"/>
  <c r="AA295" i="6"/>
  <c r="W295" i="6" l="1"/>
  <c r="V296" i="6"/>
  <c r="Z297" i="6"/>
  <c r="AA296" i="6"/>
  <c r="Y295" i="6"/>
  <c r="X296" i="6"/>
  <c r="V297" i="6" l="1"/>
  <c r="W296" i="6"/>
  <c r="Y296" i="6"/>
  <c r="X297" i="6"/>
  <c r="Z298" i="6"/>
  <c r="AA297" i="6"/>
  <c r="V298" i="6" l="1"/>
  <c r="W297" i="6"/>
  <c r="Z299" i="6"/>
  <c r="AA298" i="6"/>
  <c r="Y297" i="6"/>
  <c r="X298" i="6"/>
  <c r="V299" i="6" l="1"/>
  <c r="W298" i="6"/>
  <c r="Y298" i="6"/>
  <c r="X299" i="6"/>
  <c r="Z300" i="6"/>
  <c r="AA299" i="6"/>
  <c r="V300" i="6" l="1"/>
  <c r="W299" i="6"/>
  <c r="Y299" i="6"/>
  <c r="X300" i="6"/>
  <c r="Z301" i="6"/>
  <c r="AA300" i="6"/>
  <c r="V301" i="6" l="1"/>
  <c r="W300" i="6"/>
  <c r="Z302" i="6"/>
  <c r="AA301" i="6"/>
  <c r="Y300" i="6"/>
  <c r="X301" i="6"/>
  <c r="W301" i="6" l="1"/>
  <c r="V302" i="6"/>
  <c r="Y301" i="6"/>
  <c r="X302" i="6"/>
  <c r="Z303" i="6"/>
  <c r="AA302" i="6"/>
  <c r="V303" i="6" l="1"/>
  <c r="W302" i="6"/>
  <c r="Z304" i="6"/>
  <c r="AA303" i="6"/>
  <c r="Y302" i="6"/>
  <c r="X303" i="6"/>
  <c r="V304" i="6" l="1"/>
  <c r="W303" i="6"/>
  <c r="Y303" i="6"/>
  <c r="X304" i="6"/>
  <c r="Z305" i="6"/>
  <c r="AA304" i="6"/>
  <c r="V305" i="6" l="1"/>
  <c r="W304" i="6"/>
  <c r="Z306" i="6"/>
  <c r="AA305" i="6"/>
  <c r="Y304" i="6"/>
  <c r="X305" i="6"/>
  <c r="W305" i="6" l="1"/>
  <c r="V306" i="6"/>
  <c r="Y305" i="6"/>
  <c r="X306" i="6"/>
  <c r="Z307" i="6"/>
  <c r="AA306" i="6"/>
  <c r="V307" i="6" l="1"/>
  <c r="W306" i="6"/>
  <c r="Y306" i="6"/>
  <c r="X307" i="6"/>
  <c r="Z308" i="6"/>
  <c r="AA307" i="6"/>
  <c r="W307" i="6" l="1"/>
  <c r="V308" i="6"/>
  <c r="Z309" i="6"/>
  <c r="AA308" i="6"/>
  <c r="Y307" i="6"/>
  <c r="X308" i="6"/>
  <c r="V309" i="6" l="1"/>
  <c r="W308" i="6"/>
  <c r="Y308" i="6"/>
  <c r="X309" i="6"/>
  <c r="Z310" i="6"/>
  <c r="AA309" i="6"/>
  <c r="V310" i="6" l="1"/>
  <c r="W309" i="6"/>
  <c r="Y309" i="6"/>
  <c r="X310" i="6"/>
  <c r="Z311" i="6"/>
  <c r="AA310" i="6"/>
  <c r="V311" i="6" l="1"/>
  <c r="W310" i="6"/>
  <c r="Z312" i="6"/>
  <c r="AA311" i="6"/>
  <c r="Y310" i="6"/>
  <c r="X311" i="6"/>
  <c r="V312" i="6" l="1"/>
  <c r="W311" i="6"/>
  <c r="Y311" i="6"/>
  <c r="X312" i="6"/>
  <c r="Z313" i="6"/>
  <c r="AA312" i="6"/>
  <c r="V313" i="6" l="1"/>
  <c r="W312" i="6"/>
  <c r="Z314" i="6"/>
  <c r="AA313" i="6"/>
  <c r="Y312" i="6"/>
  <c r="X313" i="6"/>
  <c r="V314" i="6" l="1"/>
  <c r="W313" i="6"/>
  <c r="Y313" i="6"/>
  <c r="X314" i="6"/>
  <c r="Z315" i="6"/>
  <c r="AA314" i="6"/>
  <c r="V315" i="6" l="1"/>
  <c r="W314" i="6"/>
  <c r="Z316" i="6"/>
  <c r="AA315" i="6"/>
  <c r="Y314" i="6"/>
  <c r="X315" i="6"/>
  <c r="V316" i="6" l="1"/>
  <c r="W315" i="6"/>
  <c r="Y315" i="6"/>
  <c r="X316" i="6"/>
  <c r="Z317" i="6"/>
  <c r="AA316" i="6"/>
  <c r="V317" i="6" l="1"/>
  <c r="W316" i="6"/>
  <c r="Z318" i="6"/>
  <c r="AA317" i="6"/>
  <c r="Y316" i="6"/>
  <c r="X317" i="6"/>
  <c r="V318" i="6" l="1"/>
  <c r="W317" i="6"/>
  <c r="Y317" i="6"/>
  <c r="X318" i="6"/>
  <c r="Z319" i="6"/>
  <c r="AA318" i="6"/>
  <c r="V319" i="6" l="1"/>
  <c r="W318" i="6"/>
  <c r="Z320" i="6"/>
  <c r="AA319" i="6"/>
  <c r="Y318" i="6"/>
  <c r="X319" i="6"/>
  <c r="W319" i="6" l="1"/>
  <c r="V320" i="6"/>
  <c r="Y319" i="6"/>
  <c r="X320" i="6"/>
  <c r="Z321" i="6"/>
  <c r="AA320" i="6"/>
  <c r="V321" i="6" l="1"/>
  <c r="W320" i="6"/>
  <c r="Z322" i="6"/>
  <c r="AA321" i="6"/>
  <c r="Y320" i="6"/>
  <c r="X321" i="6"/>
  <c r="V322" i="6" l="1"/>
  <c r="W321" i="6"/>
  <c r="Y321" i="6"/>
  <c r="X322" i="6"/>
  <c r="Z323" i="6"/>
  <c r="AA322" i="6"/>
  <c r="V323" i="6" l="1"/>
  <c r="W322" i="6"/>
  <c r="Z324" i="6"/>
  <c r="AA323" i="6"/>
  <c r="Y322" i="6"/>
  <c r="X323" i="6"/>
  <c r="V324" i="6" l="1"/>
  <c r="W323" i="6"/>
  <c r="Y323" i="6"/>
  <c r="X324" i="6"/>
  <c r="Z325" i="6"/>
  <c r="AA324" i="6"/>
  <c r="V325" i="6" l="1"/>
  <c r="W324" i="6"/>
  <c r="Z326" i="6"/>
  <c r="AA325" i="6"/>
  <c r="Y324" i="6"/>
  <c r="X325" i="6"/>
  <c r="V326" i="6" l="1"/>
  <c r="W325" i="6"/>
  <c r="Y325" i="6"/>
  <c r="X326" i="6"/>
  <c r="Z327" i="6"/>
  <c r="AA326" i="6"/>
  <c r="V327" i="6" l="1"/>
  <c r="W326" i="6"/>
  <c r="Z328" i="6"/>
  <c r="AA327" i="6"/>
  <c r="Y326" i="6"/>
  <c r="X327" i="6"/>
  <c r="W327" i="6" l="1"/>
  <c r="V328" i="6"/>
  <c r="Z329" i="6"/>
  <c r="AA328" i="6"/>
  <c r="Y327" i="6"/>
  <c r="X328" i="6"/>
  <c r="V329" i="6" l="1"/>
  <c r="W328" i="6"/>
  <c r="Y328" i="6"/>
  <c r="X329" i="6"/>
  <c r="Z330" i="6"/>
  <c r="AA329" i="6"/>
  <c r="V330" i="6" l="1"/>
  <c r="W329" i="6"/>
  <c r="Y329" i="6"/>
  <c r="X330" i="6"/>
  <c r="Z331" i="6"/>
  <c r="AA330" i="6"/>
  <c r="V331" i="6" l="1"/>
  <c r="W330" i="6"/>
  <c r="Z332" i="6"/>
  <c r="AA331" i="6"/>
  <c r="Y330" i="6"/>
  <c r="X331" i="6"/>
  <c r="V332" i="6" l="1"/>
  <c r="W331" i="6"/>
  <c r="Y331" i="6"/>
  <c r="X332" i="6"/>
  <c r="Z333" i="6"/>
  <c r="AA332" i="6"/>
  <c r="V333" i="6" l="1"/>
  <c r="W332" i="6"/>
  <c r="Z334" i="6"/>
  <c r="AA333" i="6"/>
  <c r="Y332" i="6"/>
  <c r="X333" i="6"/>
  <c r="V334" i="6" l="1"/>
  <c r="W333" i="6"/>
  <c r="Y333" i="6"/>
  <c r="X334" i="6"/>
  <c r="Z335" i="6"/>
  <c r="AA334" i="6"/>
  <c r="V335" i="6" l="1"/>
  <c r="W334" i="6"/>
  <c r="Z336" i="6"/>
  <c r="AA335" i="6"/>
  <c r="Y334" i="6"/>
  <c r="X335" i="6"/>
  <c r="V336" i="6" l="1"/>
  <c r="W335" i="6"/>
  <c r="Y335" i="6"/>
  <c r="X336" i="6"/>
  <c r="Z337" i="6"/>
  <c r="AA336" i="6"/>
  <c r="V337" i="6" l="1"/>
  <c r="W336" i="6"/>
  <c r="Y336" i="6"/>
  <c r="X337" i="6"/>
  <c r="Z338" i="6"/>
  <c r="AA337" i="6"/>
  <c r="V338" i="6" l="1"/>
  <c r="W337" i="6"/>
  <c r="Z339" i="6"/>
  <c r="AA338" i="6"/>
  <c r="Y337" i="6"/>
  <c r="X338" i="6"/>
  <c r="V339" i="6" l="1"/>
  <c r="W338" i="6"/>
  <c r="Y338" i="6"/>
  <c r="X339" i="6"/>
  <c r="Z340" i="6"/>
  <c r="AA339" i="6"/>
  <c r="V340" i="6" l="1"/>
  <c r="W339" i="6"/>
  <c r="Z341" i="6"/>
  <c r="AA340" i="6"/>
  <c r="Y339" i="6"/>
  <c r="X340" i="6"/>
  <c r="V341" i="6" l="1"/>
  <c r="W340" i="6"/>
  <c r="Y340" i="6"/>
  <c r="X341" i="6"/>
  <c r="Z342" i="6"/>
  <c r="AA341" i="6"/>
  <c r="V342" i="6" l="1"/>
  <c r="W341" i="6"/>
  <c r="Z343" i="6"/>
  <c r="AA342" i="6"/>
  <c r="Y341" i="6"/>
  <c r="X342" i="6"/>
  <c r="V343" i="6" l="1"/>
  <c r="W342" i="6"/>
  <c r="Y342" i="6"/>
  <c r="X343" i="6"/>
  <c r="Z344" i="6"/>
  <c r="AA343" i="6"/>
  <c r="W343" i="6" l="1"/>
  <c r="V344" i="6"/>
  <c r="Y343" i="6"/>
  <c r="X344" i="6"/>
  <c r="Z345" i="6"/>
  <c r="AA344" i="6"/>
  <c r="V345" i="6" l="1"/>
  <c r="W344" i="6"/>
  <c r="Z346" i="6"/>
  <c r="AA345" i="6"/>
  <c r="Y344" i="6"/>
  <c r="X345" i="6"/>
  <c r="V346" i="6" l="1"/>
  <c r="W345" i="6"/>
  <c r="Y345" i="6"/>
  <c r="X346" i="6"/>
  <c r="Z347" i="6"/>
  <c r="AA346" i="6"/>
  <c r="V347" i="6" l="1"/>
  <c r="W346" i="6"/>
  <c r="Z348" i="6"/>
  <c r="AA347" i="6"/>
  <c r="Y346" i="6"/>
  <c r="X347" i="6"/>
  <c r="V348" i="6" l="1"/>
  <c r="W347" i="6"/>
  <c r="Y347" i="6"/>
  <c r="X348" i="6"/>
  <c r="Z349" i="6"/>
  <c r="AA348" i="6"/>
  <c r="V349" i="6" l="1"/>
  <c r="W348" i="6"/>
  <c r="Z350" i="6"/>
  <c r="AA349" i="6"/>
  <c r="Y348" i="6"/>
  <c r="X349" i="6"/>
  <c r="W349" i="6" l="1"/>
  <c r="V350" i="6"/>
  <c r="Y349" i="6"/>
  <c r="X350" i="6"/>
  <c r="Z351" i="6"/>
  <c r="AA350" i="6"/>
  <c r="V351" i="6" l="1"/>
  <c r="W350" i="6"/>
  <c r="Z352" i="6"/>
  <c r="AA351" i="6"/>
  <c r="Y350" i="6"/>
  <c r="X351" i="6"/>
  <c r="W351" i="6" l="1"/>
  <c r="V352" i="6"/>
  <c r="Y351" i="6"/>
  <c r="X352" i="6"/>
  <c r="Z353" i="6"/>
  <c r="AA352" i="6"/>
  <c r="V353" i="6" l="1"/>
  <c r="W352" i="6"/>
  <c r="Y352" i="6"/>
  <c r="X353" i="6"/>
  <c r="Z354" i="6"/>
  <c r="AA353" i="6"/>
  <c r="V354" i="6" l="1"/>
  <c r="W353" i="6"/>
  <c r="Y353" i="6"/>
  <c r="X354" i="6"/>
  <c r="Z355" i="6"/>
  <c r="AA354" i="6"/>
  <c r="V355" i="6" l="1"/>
  <c r="W354" i="6"/>
  <c r="Z356" i="6"/>
  <c r="AA355" i="6"/>
  <c r="Y354" i="6"/>
  <c r="X355" i="6"/>
  <c r="V356" i="6" l="1"/>
  <c r="W355" i="6"/>
  <c r="Y355" i="6"/>
  <c r="X356" i="6"/>
  <c r="Z357" i="6"/>
  <c r="AA356" i="6"/>
  <c r="V357" i="6" l="1"/>
  <c r="W356" i="6"/>
  <c r="Y356" i="6"/>
  <c r="X357" i="6"/>
  <c r="Z358" i="6"/>
  <c r="AA357" i="6"/>
  <c r="V358" i="6" l="1"/>
  <c r="W357" i="6"/>
  <c r="Z359" i="6"/>
  <c r="AA358" i="6"/>
  <c r="Y357" i="6"/>
  <c r="X358" i="6"/>
  <c r="W358" i="6" l="1"/>
  <c r="V359" i="6"/>
  <c r="Y358" i="6"/>
  <c r="X359" i="6"/>
  <c r="Z360" i="6"/>
  <c r="AA359" i="6"/>
  <c r="W359" i="6" l="1"/>
  <c r="V360" i="6"/>
  <c r="Z361" i="6"/>
  <c r="AA360" i="6"/>
  <c r="Y359" i="6"/>
  <c r="X360" i="6"/>
  <c r="W360" i="6" l="1"/>
  <c r="V361" i="6"/>
  <c r="Y360" i="6"/>
  <c r="X361" i="6"/>
  <c r="Z362" i="6"/>
  <c r="AA361" i="6"/>
  <c r="V362" i="6" l="1"/>
  <c r="W361" i="6"/>
  <c r="Z363" i="6"/>
  <c r="AA362" i="6"/>
  <c r="Y361" i="6"/>
  <c r="X362" i="6"/>
  <c r="W362" i="6" l="1"/>
  <c r="V363" i="6"/>
  <c r="Z364" i="6"/>
  <c r="AA363" i="6"/>
  <c r="Y362" i="6"/>
  <c r="X363" i="6"/>
  <c r="V364" i="6" l="1"/>
  <c r="W363" i="6"/>
  <c r="Y363" i="6"/>
  <c r="X364" i="6"/>
  <c r="Z365" i="6"/>
  <c r="AA364" i="6"/>
  <c r="V365" i="6" l="1"/>
  <c r="W364" i="6"/>
  <c r="Z366" i="6"/>
  <c r="AA365" i="6"/>
  <c r="Y364" i="6"/>
  <c r="X365" i="6"/>
  <c r="V366" i="6" l="1"/>
  <c r="W365" i="6"/>
  <c r="Y365" i="6"/>
  <c r="X366" i="6"/>
  <c r="Z367" i="6"/>
  <c r="AA366" i="6"/>
  <c r="V367" i="6" l="1"/>
  <c r="W366" i="6"/>
  <c r="Z368" i="6"/>
  <c r="AA367" i="6"/>
  <c r="Y366" i="6"/>
  <c r="X367" i="6"/>
  <c r="W367" i="6" l="1"/>
  <c r="V368" i="6"/>
  <c r="Y367" i="6"/>
  <c r="X368" i="6"/>
  <c r="Z369" i="6"/>
  <c r="AA368" i="6"/>
  <c r="W368" i="6" l="1"/>
  <c r="V369" i="6"/>
  <c r="Z370" i="6"/>
  <c r="AA369" i="6"/>
  <c r="Y368" i="6"/>
  <c r="X369" i="6"/>
  <c r="W369" i="6" l="1"/>
  <c r="V370" i="6"/>
  <c r="Y369" i="6"/>
  <c r="X370" i="6"/>
  <c r="Z371" i="6"/>
  <c r="AA370" i="6"/>
  <c r="V371" i="6" l="1"/>
  <c r="W370" i="6"/>
  <c r="Z372" i="6"/>
  <c r="AA371" i="6"/>
  <c r="Y370" i="6"/>
  <c r="X371" i="6"/>
  <c r="V372" i="6" l="1"/>
  <c r="W371" i="6"/>
  <c r="Y371" i="6"/>
  <c r="X372" i="6"/>
  <c r="Z373" i="6"/>
  <c r="AA372" i="6"/>
  <c r="W372" i="6" l="1"/>
  <c r="V373" i="6"/>
  <c r="Z374" i="6"/>
  <c r="AA373" i="6"/>
  <c r="Y372" i="6"/>
  <c r="X373" i="6"/>
  <c r="V374" i="6" l="1"/>
  <c r="W373" i="6"/>
  <c r="Y373" i="6"/>
  <c r="X374" i="6"/>
  <c r="Z375" i="6"/>
  <c r="AA374" i="6"/>
  <c r="W374" i="6" l="1"/>
  <c r="V375" i="6"/>
  <c r="Z376" i="6"/>
  <c r="AA375" i="6"/>
  <c r="Y374" i="6"/>
  <c r="X375" i="6"/>
  <c r="V376" i="6" l="1"/>
  <c r="W375" i="6"/>
  <c r="Y375" i="6"/>
  <c r="X376" i="6"/>
  <c r="Z377" i="6"/>
  <c r="AA376" i="6"/>
  <c r="V377" i="6" l="1"/>
  <c r="W376" i="6"/>
  <c r="Z378" i="6"/>
  <c r="AA377" i="6"/>
  <c r="Y376" i="6"/>
  <c r="X377" i="6"/>
  <c r="W377" i="6" l="1"/>
  <c r="V378" i="6"/>
  <c r="Y377" i="6"/>
  <c r="X378" i="6"/>
  <c r="Z379" i="6"/>
  <c r="AA378" i="6"/>
  <c r="V379" i="6" l="1"/>
  <c r="W378" i="6"/>
  <c r="Z380" i="6"/>
  <c r="AA379" i="6"/>
  <c r="Y378" i="6"/>
  <c r="X379" i="6"/>
  <c r="V380" i="6" l="1"/>
  <c r="W379" i="6"/>
  <c r="Y379" i="6"/>
  <c r="X380" i="6"/>
  <c r="Z381" i="6"/>
  <c r="AA380" i="6"/>
  <c r="V381" i="6" l="1"/>
  <c r="W380" i="6"/>
  <c r="Z382" i="6"/>
  <c r="AA381" i="6"/>
  <c r="Y380" i="6"/>
  <c r="X381" i="6"/>
  <c r="V382" i="6" l="1"/>
  <c r="W381" i="6"/>
  <c r="Y381" i="6"/>
  <c r="X382" i="6"/>
  <c r="Z383" i="6"/>
  <c r="AA382" i="6"/>
  <c r="W382" i="6" l="1"/>
  <c r="V383" i="6"/>
  <c r="Z384" i="6"/>
  <c r="AA383" i="6"/>
  <c r="Y382" i="6"/>
  <c r="X383" i="6"/>
  <c r="V384" i="6" l="1"/>
  <c r="W383" i="6"/>
  <c r="Y383" i="6"/>
  <c r="X384" i="6"/>
  <c r="Z385" i="6"/>
  <c r="AA384" i="6"/>
  <c r="V385" i="6" l="1"/>
  <c r="W384" i="6"/>
  <c r="Z386" i="6"/>
  <c r="AA385" i="6"/>
  <c r="Y384" i="6"/>
  <c r="X385" i="6"/>
  <c r="W385" i="6" l="1"/>
  <c r="V386" i="6"/>
  <c r="Y385" i="6"/>
  <c r="X386" i="6"/>
  <c r="Z387" i="6"/>
  <c r="AA386" i="6"/>
  <c r="V387" i="6" l="1"/>
  <c r="W386" i="6"/>
  <c r="Z388" i="6"/>
  <c r="AA387" i="6"/>
  <c r="Y386" i="6"/>
  <c r="X387" i="6"/>
  <c r="V388" i="6" l="1"/>
  <c r="W387" i="6"/>
  <c r="Y387" i="6"/>
  <c r="X388" i="6"/>
  <c r="Z389" i="6"/>
  <c r="AA388" i="6"/>
  <c r="V389" i="6" l="1"/>
  <c r="W388" i="6"/>
  <c r="Z390" i="6"/>
  <c r="AA389" i="6"/>
  <c r="Y388" i="6"/>
  <c r="X389" i="6"/>
  <c r="W389" i="6" l="1"/>
  <c r="V390" i="6"/>
  <c r="Y389" i="6"/>
  <c r="X390" i="6"/>
  <c r="Z391" i="6"/>
  <c r="AA390" i="6"/>
  <c r="V391" i="6" l="1"/>
  <c r="W390" i="6"/>
  <c r="Z392" i="6"/>
  <c r="AA391" i="6"/>
  <c r="Y390" i="6"/>
  <c r="X391" i="6"/>
  <c r="V392" i="6" l="1"/>
  <c r="W391" i="6"/>
  <c r="Y391" i="6"/>
  <c r="X392" i="6"/>
  <c r="Z393" i="6"/>
  <c r="AA392" i="6"/>
  <c r="V393" i="6" l="1"/>
  <c r="W392" i="6"/>
  <c r="Z394" i="6"/>
  <c r="AA393" i="6"/>
  <c r="Y392" i="6"/>
  <c r="X393" i="6"/>
  <c r="V394" i="6" l="1"/>
  <c r="W393" i="6"/>
  <c r="Y393" i="6"/>
  <c r="X394" i="6"/>
  <c r="Z395" i="6"/>
  <c r="AA394" i="6"/>
  <c r="V395" i="6" l="1"/>
  <c r="W394" i="6"/>
  <c r="Z396" i="6"/>
  <c r="AA395" i="6"/>
  <c r="Y394" i="6"/>
  <c r="X395" i="6"/>
  <c r="V396" i="6" l="1"/>
  <c r="W395" i="6"/>
  <c r="Y395" i="6"/>
  <c r="X396" i="6"/>
  <c r="Z397" i="6"/>
  <c r="AA396" i="6"/>
  <c r="V397" i="6" l="1"/>
  <c r="W396" i="6"/>
  <c r="Z398" i="6"/>
  <c r="AA397" i="6"/>
  <c r="Y396" i="6"/>
  <c r="X397" i="6"/>
  <c r="V398" i="6" l="1"/>
  <c r="W397" i="6"/>
  <c r="Y397" i="6"/>
  <c r="X398" i="6"/>
  <c r="Z399" i="6"/>
  <c r="AA398" i="6"/>
  <c r="V399" i="6" l="1"/>
  <c r="W398" i="6"/>
  <c r="Z400" i="6"/>
  <c r="AA399" i="6"/>
  <c r="Y398" i="6"/>
  <c r="X399" i="6"/>
  <c r="V400" i="6" l="1"/>
  <c r="W399" i="6"/>
  <c r="Y399" i="6"/>
  <c r="X400" i="6"/>
  <c r="Z401" i="6"/>
  <c r="AA400" i="6"/>
  <c r="V401" i="6" l="1"/>
  <c r="W400" i="6"/>
  <c r="Z402" i="6"/>
  <c r="AA401" i="6"/>
  <c r="Y400" i="6"/>
  <c r="X401" i="6"/>
  <c r="V402" i="6" l="1"/>
  <c r="W401" i="6"/>
  <c r="Y401" i="6"/>
  <c r="X402" i="6"/>
  <c r="Z403" i="6"/>
  <c r="AA402" i="6"/>
  <c r="V403" i="6" l="1"/>
  <c r="W402" i="6"/>
  <c r="Z404" i="6"/>
  <c r="AA403" i="6"/>
  <c r="Y402" i="6"/>
  <c r="X403" i="6"/>
  <c r="W403" i="6" l="1"/>
  <c r="V404" i="6"/>
  <c r="Y403" i="6"/>
  <c r="X404" i="6"/>
  <c r="Z405" i="6"/>
  <c r="AA404" i="6"/>
  <c r="V405" i="6" l="1"/>
  <c r="W404" i="6"/>
  <c r="Z406" i="6"/>
  <c r="AA405" i="6"/>
  <c r="Y404" i="6"/>
  <c r="X405" i="6"/>
  <c r="V406" i="6" l="1"/>
  <c r="W405" i="6"/>
  <c r="Y405" i="6"/>
  <c r="X406" i="6"/>
  <c r="Z407" i="6"/>
  <c r="AA406" i="6"/>
  <c r="V407" i="6" l="1"/>
  <c r="W406" i="6"/>
  <c r="Z408" i="6"/>
  <c r="AA407" i="6"/>
  <c r="Y406" i="6"/>
  <c r="X407" i="6"/>
  <c r="V408" i="6" l="1"/>
  <c r="W407" i="6"/>
  <c r="Y407" i="6"/>
  <c r="X408" i="6"/>
  <c r="Z409" i="6"/>
  <c r="AA408" i="6"/>
  <c r="V409" i="6" l="1"/>
  <c r="W408" i="6"/>
  <c r="Z410" i="6"/>
  <c r="AA409" i="6"/>
  <c r="Y408" i="6"/>
  <c r="X409" i="6"/>
  <c r="W409" i="6" l="1"/>
  <c r="V410" i="6"/>
  <c r="Y409" i="6"/>
  <c r="X410" i="6"/>
  <c r="Z411" i="6"/>
  <c r="AA410" i="6"/>
  <c r="V411" i="6" l="1"/>
  <c r="W410" i="6"/>
  <c r="Z412" i="6"/>
  <c r="AA411" i="6"/>
  <c r="Y410" i="6"/>
  <c r="X411" i="6"/>
  <c r="V412" i="6" l="1"/>
  <c r="W411" i="6"/>
  <c r="Y411" i="6"/>
  <c r="X412" i="6"/>
  <c r="Z413" i="6"/>
  <c r="AA412" i="6"/>
  <c r="V413" i="6" l="1"/>
  <c r="W412" i="6"/>
  <c r="Z414" i="6"/>
  <c r="AA413" i="6"/>
  <c r="Y412" i="6"/>
  <c r="X413" i="6"/>
  <c r="V414" i="6" l="1"/>
  <c r="W413" i="6"/>
  <c r="Y413" i="6"/>
  <c r="X414" i="6"/>
  <c r="Z415" i="6"/>
  <c r="AA414" i="6"/>
  <c r="V415" i="6" l="1"/>
  <c r="W414" i="6"/>
  <c r="Z416" i="6"/>
  <c r="AA415" i="6"/>
  <c r="Y414" i="6"/>
  <c r="X415" i="6"/>
  <c r="W415" i="6" l="1"/>
  <c r="V416" i="6"/>
  <c r="Y415" i="6"/>
  <c r="X416" i="6"/>
  <c r="Z417" i="6"/>
  <c r="AA416" i="6"/>
  <c r="V417" i="6" l="1"/>
  <c r="W416" i="6"/>
  <c r="Y416" i="6"/>
  <c r="X417" i="6"/>
  <c r="Z418" i="6"/>
  <c r="AA417" i="6"/>
  <c r="V418" i="6" l="1"/>
  <c r="W417" i="6"/>
  <c r="Z419" i="6"/>
  <c r="AA418" i="6"/>
  <c r="Y417" i="6"/>
  <c r="X418" i="6"/>
  <c r="V419" i="6" l="1"/>
  <c r="W418" i="6"/>
  <c r="Y418" i="6"/>
  <c r="X419" i="6"/>
  <c r="Z420" i="6"/>
  <c r="AA419" i="6"/>
  <c r="V420" i="6" l="1"/>
  <c r="W419" i="6"/>
  <c r="Z421" i="6"/>
  <c r="AA420" i="6"/>
  <c r="Y419" i="6"/>
  <c r="X420" i="6"/>
  <c r="W420" i="6" l="1"/>
  <c r="V421" i="6"/>
  <c r="Y420" i="6"/>
  <c r="X421" i="6"/>
  <c r="Z422" i="6"/>
  <c r="AA421" i="6"/>
  <c r="V422" i="6" l="1"/>
  <c r="W421" i="6"/>
  <c r="Z423" i="6"/>
  <c r="AA422" i="6"/>
  <c r="Y421" i="6"/>
  <c r="X422" i="6"/>
  <c r="W422" i="6" l="1"/>
  <c r="V423" i="6"/>
  <c r="Y422" i="6"/>
  <c r="X423" i="6"/>
  <c r="Z424" i="6"/>
  <c r="AA423" i="6"/>
  <c r="V424" i="6" l="1"/>
  <c r="W423" i="6"/>
  <c r="Z425" i="6"/>
  <c r="AA424" i="6"/>
  <c r="Y423" i="6"/>
  <c r="X424" i="6"/>
  <c r="V425" i="6" l="1"/>
  <c r="W424" i="6"/>
  <c r="Y424" i="6"/>
  <c r="X425" i="6"/>
  <c r="Z426" i="6"/>
  <c r="AA425" i="6"/>
  <c r="V426" i="6" l="1"/>
  <c r="W425" i="6"/>
  <c r="Y425" i="6"/>
  <c r="X426" i="6"/>
  <c r="Z427" i="6"/>
  <c r="AA426" i="6"/>
  <c r="W426" i="6" l="1"/>
  <c r="V427" i="6"/>
  <c r="Z428" i="6"/>
  <c r="AA427" i="6"/>
  <c r="Y426" i="6"/>
  <c r="X427" i="6"/>
  <c r="V428" i="6" l="1"/>
  <c r="W427" i="6"/>
  <c r="Y427" i="6"/>
  <c r="X428" i="6"/>
  <c r="Z429" i="6"/>
  <c r="AA428" i="6"/>
  <c r="V429" i="6" l="1"/>
  <c r="W428" i="6"/>
  <c r="Y428" i="6"/>
  <c r="X429" i="6"/>
  <c r="Z430" i="6"/>
  <c r="AA429" i="6"/>
  <c r="V430" i="6" l="1"/>
  <c r="W429" i="6"/>
  <c r="Z431" i="6"/>
  <c r="AA430" i="6"/>
  <c r="Y429" i="6"/>
  <c r="X430" i="6"/>
  <c r="V431" i="6" l="1"/>
  <c r="W430" i="6"/>
  <c r="Y430" i="6"/>
  <c r="X431" i="6"/>
  <c r="Z432" i="6"/>
  <c r="AA431" i="6"/>
  <c r="V432" i="6" l="1"/>
  <c r="W431" i="6"/>
  <c r="Y431" i="6"/>
  <c r="X432" i="6"/>
  <c r="Z433" i="6"/>
  <c r="AA432" i="6"/>
  <c r="V433" i="6" l="1"/>
  <c r="W432" i="6"/>
  <c r="Z434" i="6"/>
  <c r="AA433" i="6"/>
  <c r="Y432" i="6"/>
  <c r="X433" i="6"/>
  <c r="V434" i="6" l="1"/>
  <c r="W433" i="6"/>
  <c r="Y433" i="6"/>
  <c r="X434" i="6"/>
  <c r="Z435" i="6"/>
  <c r="AA434" i="6"/>
  <c r="V435" i="6" l="1"/>
  <c r="W434" i="6"/>
  <c r="Z436" i="6"/>
  <c r="AA435" i="6"/>
  <c r="Y434" i="6"/>
  <c r="X435" i="6"/>
  <c r="V436" i="6" l="1"/>
  <c r="W435" i="6"/>
  <c r="Y435" i="6"/>
  <c r="X436" i="6"/>
  <c r="Z437" i="6"/>
  <c r="AA436" i="6"/>
  <c r="V437" i="6" l="1"/>
  <c r="W436" i="6"/>
  <c r="Y436" i="6"/>
  <c r="X437" i="6"/>
  <c r="Z438" i="6"/>
  <c r="AA437" i="6"/>
  <c r="V438" i="6" l="1"/>
  <c r="W437" i="6"/>
  <c r="Z439" i="6"/>
  <c r="AA438" i="6"/>
  <c r="Y437" i="6"/>
  <c r="X438" i="6"/>
  <c r="V439" i="6" l="1"/>
  <c r="W438" i="6"/>
  <c r="Y438" i="6"/>
  <c r="X439" i="6"/>
  <c r="Z440" i="6"/>
  <c r="AA439" i="6"/>
  <c r="V440" i="6" l="1"/>
  <c r="W439" i="6"/>
  <c r="Z441" i="6"/>
  <c r="AA440" i="6"/>
  <c r="Y439" i="6"/>
  <c r="X440" i="6"/>
  <c r="V441" i="6" l="1"/>
  <c r="W440" i="6"/>
  <c r="Y440" i="6"/>
  <c r="X441" i="6"/>
  <c r="Z442" i="6"/>
  <c r="AA441" i="6"/>
  <c r="V442" i="6" l="1"/>
  <c r="W441" i="6"/>
  <c r="Y441" i="6"/>
  <c r="X442" i="6"/>
  <c r="Z443" i="6"/>
  <c r="AA442" i="6"/>
  <c r="V443" i="6" l="1"/>
  <c r="W442" i="6"/>
  <c r="Z444" i="6"/>
  <c r="AA443" i="6"/>
  <c r="Y442" i="6"/>
  <c r="X443" i="6"/>
  <c r="V444" i="6" l="1"/>
  <c r="W443" i="6"/>
  <c r="Y443" i="6"/>
  <c r="X444" i="6"/>
  <c r="Z445" i="6"/>
  <c r="AA444" i="6"/>
  <c r="V445" i="6" l="1"/>
  <c r="W444" i="6"/>
  <c r="Z446" i="6"/>
  <c r="AA445" i="6"/>
  <c r="Y444" i="6"/>
  <c r="X445" i="6"/>
  <c r="V446" i="6" l="1"/>
  <c r="W445" i="6"/>
  <c r="Y445" i="6"/>
  <c r="X446" i="6"/>
  <c r="Z447" i="6"/>
  <c r="AA446" i="6"/>
  <c r="V447" i="6" l="1"/>
  <c r="W446" i="6"/>
  <c r="Y446" i="6"/>
  <c r="X447" i="6"/>
  <c r="Z448" i="6"/>
  <c r="AA447" i="6"/>
  <c r="V448" i="6" l="1"/>
  <c r="W447" i="6"/>
  <c r="Z449" i="6"/>
  <c r="AA448" i="6"/>
  <c r="Y447" i="6"/>
  <c r="X448" i="6"/>
  <c r="V449" i="6" l="1"/>
  <c r="W448" i="6"/>
  <c r="Y448" i="6"/>
  <c r="X449" i="6"/>
  <c r="Z450" i="6"/>
  <c r="AA449" i="6"/>
  <c r="W449" i="6" l="1"/>
  <c r="V450" i="6"/>
  <c r="Z451" i="6"/>
  <c r="AA450" i="6"/>
  <c r="Y449" i="6"/>
  <c r="X450" i="6"/>
  <c r="V451" i="6" l="1"/>
  <c r="W450" i="6"/>
  <c r="Y450" i="6"/>
  <c r="X451" i="6"/>
  <c r="Z452" i="6"/>
  <c r="AA451" i="6"/>
  <c r="V452" i="6" l="1"/>
  <c r="W451" i="6"/>
  <c r="Z453" i="6"/>
  <c r="AA452" i="6"/>
  <c r="Y451" i="6"/>
  <c r="X452" i="6"/>
  <c r="V453" i="6" l="1"/>
  <c r="W452" i="6"/>
  <c r="Y452" i="6"/>
  <c r="X453" i="6"/>
  <c r="Z454" i="6"/>
  <c r="AA453" i="6"/>
  <c r="V454" i="6" l="1"/>
  <c r="W453" i="6"/>
  <c r="Z455" i="6"/>
  <c r="AA454" i="6"/>
  <c r="Y453" i="6"/>
  <c r="X454" i="6"/>
  <c r="V455" i="6" l="1"/>
  <c r="W454" i="6"/>
  <c r="Y454" i="6"/>
  <c r="X455" i="6"/>
  <c r="Z456" i="6"/>
  <c r="AA455" i="6"/>
  <c r="V456" i="6" l="1"/>
  <c r="W455" i="6"/>
  <c r="Y455" i="6"/>
  <c r="X456" i="6"/>
  <c r="Z457" i="6"/>
  <c r="AA456" i="6"/>
  <c r="V457" i="6" l="1"/>
  <c r="W456" i="6"/>
  <c r="Z458" i="6"/>
  <c r="AA457" i="6"/>
  <c r="Y456" i="6"/>
  <c r="X457" i="6"/>
  <c r="W457" i="6" l="1"/>
  <c r="V458" i="6"/>
  <c r="Y457" i="6"/>
  <c r="X458" i="6"/>
  <c r="Z459" i="6"/>
  <c r="AA458" i="6"/>
  <c r="V459" i="6" l="1"/>
  <c r="W458" i="6"/>
  <c r="Z460" i="6"/>
  <c r="AA459" i="6"/>
  <c r="Y458" i="6"/>
  <c r="X459" i="6"/>
  <c r="V460" i="6" l="1"/>
  <c r="W459" i="6"/>
  <c r="Y459" i="6"/>
  <c r="X460" i="6"/>
  <c r="Z461" i="6"/>
  <c r="AA460" i="6"/>
  <c r="V461" i="6" l="1"/>
  <c r="W460" i="6"/>
  <c r="Z462" i="6"/>
  <c r="AA461" i="6"/>
  <c r="Y460" i="6"/>
  <c r="X461" i="6"/>
  <c r="V462" i="6" l="1"/>
  <c r="W461" i="6"/>
  <c r="Y461" i="6"/>
  <c r="X462" i="6"/>
  <c r="Z463" i="6"/>
  <c r="AA462" i="6"/>
  <c r="V463" i="6" l="1"/>
  <c r="W462" i="6"/>
  <c r="Z464" i="6"/>
  <c r="AA463" i="6"/>
  <c r="Y462" i="6"/>
  <c r="X463" i="6"/>
  <c r="W463" i="6" l="1"/>
  <c r="V464" i="6"/>
  <c r="Y463" i="6"/>
  <c r="X464" i="6"/>
  <c r="Z465" i="6"/>
  <c r="AA464" i="6"/>
  <c r="V465" i="6" l="1"/>
  <c r="W464" i="6"/>
  <c r="Z466" i="6"/>
  <c r="AA465" i="6"/>
  <c r="Y464" i="6"/>
  <c r="X465" i="6"/>
  <c r="V466" i="6" l="1"/>
  <c r="W465" i="6"/>
  <c r="Y465" i="6"/>
  <c r="X466" i="6"/>
  <c r="Z467" i="6"/>
  <c r="AA466" i="6"/>
  <c r="V467" i="6" l="1"/>
  <c r="W466" i="6"/>
  <c r="Z468" i="6"/>
  <c r="AA467" i="6"/>
  <c r="Y466" i="6"/>
  <c r="X467" i="6"/>
  <c r="W467" i="6" l="1"/>
  <c r="V468" i="6"/>
  <c r="Y467" i="6"/>
  <c r="X468" i="6"/>
  <c r="Z469" i="6"/>
  <c r="AA468" i="6"/>
  <c r="V469" i="6" l="1"/>
  <c r="W468" i="6"/>
  <c r="Z470" i="6"/>
  <c r="AA469" i="6"/>
  <c r="Y468" i="6"/>
  <c r="X469" i="6"/>
  <c r="V470" i="6" l="1"/>
  <c r="W469" i="6"/>
  <c r="Y469" i="6"/>
  <c r="X470" i="6"/>
  <c r="Z471" i="6"/>
  <c r="AA470" i="6"/>
  <c r="V471" i="6" l="1"/>
  <c r="W470" i="6"/>
  <c r="Z472" i="6"/>
  <c r="AA471" i="6"/>
  <c r="Y470" i="6"/>
  <c r="X471" i="6"/>
  <c r="V472" i="6" l="1"/>
  <c r="W471" i="6"/>
  <c r="Y471" i="6"/>
  <c r="X472" i="6"/>
  <c r="Z473" i="6"/>
  <c r="AA472" i="6"/>
  <c r="V473" i="6" l="1"/>
  <c r="W472" i="6"/>
  <c r="Z474" i="6"/>
  <c r="AA473" i="6"/>
  <c r="Y472" i="6"/>
  <c r="X473" i="6"/>
  <c r="V474" i="6" l="1"/>
  <c r="W473" i="6"/>
  <c r="Y473" i="6"/>
  <c r="X474" i="6"/>
  <c r="Z475" i="6"/>
  <c r="AA474" i="6"/>
  <c r="V475" i="6" l="1"/>
  <c r="W474" i="6"/>
  <c r="Z476" i="6"/>
  <c r="AA475" i="6"/>
  <c r="Y474" i="6"/>
  <c r="X475" i="6"/>
  <c r="W475" i="6" l="1"/>
  <c r="V476" i="6"/>
  <c r="Y475" i="6"/>
  <c r="X476" i="6"/>
  <c r="Z477" i="6"/>
  <c r="AA476" i="6"/>
  <c r="V477" i="6" l="1"/>
  <c r="W476" i="6"/>
  <c r="Y476" i="6"/>
  <c r="X477" i="6"/>
  <c r="Z478" i="6"/>
  <c r="AA477" i="6"/>
  <c r="V478" i="6" l="1"/>
  <c r="W477" i="6"/>
  <c r="Z479" i="6"/>
  <c r="AA478" i="6"/>
  <c r="Y477" i="6"/>
  <c r="X478" i="6"/>
  <c r="V479" i="6" l="1"/>
  <c r="W478" i="6"/>
  <c r="Y478" i="6"/>
  <c r="X479" i="6"/>
  <c r="Z480" i="6"/>
  <c r="AA479" i="6"/>
  <c r="W479" i="6" l="1"/>
  <c r="V480" i="6"/>
  <c r="Z481" i="6"/>
  <c r="AA480" i="6"/>
  <c r="Y479" i="6"/>
  <c r="X480" i="6"/>
  <c r="V481" i="6" l="1"/>
  <c r="W480" i="6"/>
  <c r="Y480" i="6"/>
  <c r="X481" i="6"/>
  <c r="Z482" i="6"/>
  <c r="AA481" i="6"/>
  <c r="V482" i="6" l="1"/>
  <c r="W481" i="6"/>
  <c r="Y481" i="6"/>
  <c r="X482" i="6"/>
  <c r="Z483" i="6"/>
  <c r="AA482" i="6"/>
  <c r="V483" i="6" l="1"/>
  <c r="W482" i="6"/>
  <c r="Z484" i="6"/>
  <c r="AA483" i="6"/>
  <c r="Y482" i="6"/>
  <c r="X483" i="6"/>
  <c r="W483" i="6" l="1"/>
  <c r="V484" i="6"/>
  <c r="Y483" i="6"/>
  <c r="X484" i="6"/>
  <c r="Z485" i="6"/>
  <c r="AA484" i="6"/>
  <c r="V485" i="6" l="1"/>
  <c r="W484" i="6"/>
  <c r="Z486" i="6"/>
  <c r="AA485" i="6"/>
  <c r="Y484" i="6"/>
  <c r="X485" i="6"/>
  <c r="W485" i="6" l="1"/>
  <c r="V486" i="6"/>
  <c r="Y485" i="6"/>
  <c r="X486" i="6"/>
  <c r="Z487" i="6"/>
  <c r="AA486" i="6"/>
  <c r="V487" i="6" l="1"/>
  <c r="W486" i="6"/>
  <c r="Z488" i="6"/>
  <c r="AA487" i="6"/>
  <c r="Y486" i="6"/>
  <c r="X487" i="6"/>
  <c r="V488" i="6" l="1"/>
  <c r="W487" i="6"/>
  <c r="Y487" i="6"/>
  <c r="X488" i="6"/>
  <c r="Z489" i="6"/>
  <c r="AA488" i="6"/>
  <c r="V489" i="6" l="1"/>
  <c r="W488" i="6"/>
  <c r="Z490" i="6"/>
  <c r="AA489" i="6"/>
  <c r="Y488" i="6"/>
  <c r="X489" i="6"/>
  <c r="V490" i="6" l="1"/>
  <c r="W489" i="6"/>
  <c r="Y489" i="6"/>
  <c r="X490" i="6"/>
  <c r="Z491" i="6"/>
  <c r="AA490" i="6"/>
  <c r="V491" i="6" l="1"/>
  <c r="W490" i="6"/>
  <c r="Z492" i="6"/>
  <c r="AA491" i="6"/>
  <c r="Y490" i="6"/>
  <c r="X491" i="6"/>
  <c r="V492" i="6" l="1"/>
  <c r="W491" i="6"/>
  <c r="Y491" i="6"/>
  <c r="X492" i="6"/>
  <c r="Z493" i="6"/>
  <c r="AA492" i="6"/>
  <c r="V493" i="6" l="1"/>
  <c r="W492" i="6"/>
  <c r="Z494" i="6"/>
  <c r="AA493" i="6"/>
  <c r="Y492" i="6"/>
  <c r="X493" i="6"/>
  <c r="V494" i="6" l="1"/>
  <c r="W493" i="6"/>
  <c r="Y493" i="6"/>
  <c r="X494" i="6"/>
  <c r="Z495" i="6"/>
  <c r="AA494" i="6"/>
  <c r="V495" i="6" l="1"/>
  <c r="W494" i="6"/>
  <c r="Y494" i="6"/>
  <c r="X495" i="6"/>
  <c r="Z496" i="6"/>
  <c r="AA495" i="6"/>
  <c r="V496" i="6" l="1"/>
  <c r="W495" i="6"/>
  <c r="Z497" i="6"/>
  <c r="AA496" i="6"/>
  <c r="Y495" i="6"/>
  <c r="X496" i="6"/>
  <c r="V497" i="6" l="1"/>
  <c r="W496" i="6"/>
  <c r="Y496" i="6"/>
  <c r="X497" i="6"/>
  <c r="Z498" i="6"/>
  <c r="AA497" i="6"/>
  <c r="V498" i="6" l="1"/>
  <c r="W497" i="6"/>
  <c r="Z499" i="6"/>
  <c r="AA498" i="6"/>
  <c r="Y497" i="6"/>
  <c r="X498" i="6"/>
  <c r="V499" i="6" l="1"/>
  <c r="W498" i="6"/>
  <c r="Y498" i="6"/>
  <c r="X499" i="6"/>
  <c r="Z500" i="6"/>
  <c r="AA499" i="6"/>
  <c r="V500" i="6" l="1"/>
  <c r="W499" i="6"/>
  <c r="Z501" i="6"/>
  <c r="AA500" i="6"/>
  <c r="Y499" i="6"/>
  <c r="X500" i="6"/>
  <c r="W500" i="6" l="1"/>
  <c r="V501" i="6"/>
  <c r="Y500" i="6"/>
  <c r="X501" i="6"/>
  <c r="Z502" i="6"/>
  <c r="AA501" i="6"/>
  <c r="V502" i="6" l="1"/>
  <c r="W501" i="6"/>
  <c r="Z503" i="6"/>
  <c r="AA502" i="6"/>
  <c r="Y501" i="6"/>
  <c r="X502" i="6"/>
  <c r="V503" i="6" l="1"/>
  <c r="W502" i="6"/>
  <c r="Y502" i="6"/>
  <c r="X503" i="6"/>
  <c r="Z504" i="6"/>
  <c r="AA503" i="6"/>
  <c r="W503" i="6" l="1"/>
  <c r="V504" i="6"/>
  <c r="Z505" i="6"/>
  <c r="AA504" i="6"/>
  <c r="Y503" i="6"/>
  <c r="X504" i="6"/>
  <c r="V505" i="6" l="1"/>
  <c r="W504" i="6"/>
  <c r="Y504" i="6"/>
  <c r="X505" i="6"/>
  <c r="Z506" i="6"/>
  <c r="AA505" i="6"/>
  <c r="V506" i="6" l="1"/>
  <c r="W505" i="6"/>
  <c r="Z507" i="6"/>
  <c r="AA506" i="6"/>
  <c r="Y505" i="6"/>
  <c r="X506" i="6"/>
  <c r="V507" i="6" l="1"/>
  <c r="W506" i="6"/>
  <c r="Y506" i="6"/>
  <c r="X507" i="6"/>
  <c r="Z508" i="6"/>
  <c r="AA507" i="6"/>
  <c r="W507" i="6" l="1"/>
  <c r="V508" i="6"/>
  <c r="Y507" i="6"/>
  <c r="X508" i="6"/>
  <c r="Z509" i="6"/>
  <c r="AA508" i="6"/>
  <c r="V509" i="6" l="1"/>
  <c r="W508" i="6"/>
  <c r="Z510" i="6"/>
  <c r="AA509" i="6"/>
  <c r="Y508" i="6"/>
  <c r="X509" i="6"/>
  <c r="V510" i="6" l="1"/>
  <c r="W509" i="6"/>
  <c r="Y509" i="6"/>
  <c r="X510" i="6"/>
  <c r="Z511" i="6"/>
  <c r="AA510" i="6"/>
  <c r="V511" i="6" l="1"/>
  <c r="W510" i="6"/>
  <c r="Z512" i="6"/>
  <c r="AA511" i="6"/>
  <c r="Y510" i="6"/>
  <c r="X511" i="6"/>
  <c r="W511" i="6" l="1"/>
  <c r="V512" i="6"/>
  <c r="Y511" i="6"/>
  <c r="X512" i="6"/>
  <c r="Z513" i="6"/>
  <c r="AA512" i="6"/>
  <c r="V513" i="6" l="1"/>
  <c r="W512" i="6"/>
  <c r="Z514" i="6"/>
  <c r="AA513" i="6"/>
  <c r="Y512" i="6"/>
  <c r="X513" i="6"/>
  <c r="V514" i="6" l="1"/>
  <c r="W513" i="6"/>
  <c r="Y513" i="6"/>
  <c r="X514" i="6"/>
  <c r="Z515" i="6"/>
  <c r="AA514" i="6"/>
  <c r="V515" i="6" l="1"/>
  <c r="W514" i="6"/>
  <c r="Z516" i="6"/>
  <c r="AA515" i="6"/>
  <c r="Y514" i="6"/>
  <c r="X515" i="6"/>
  <c r="V516" i="6" l="1"/>
  <c r="W515" i="6"/>
  <c r="Y515" i="6"/>
  <c r="X516" i="6"/>
  <c r="Z517" i="6"/>
  <c r="AA516" i="6"/>
  <c r="V517" i="6" l="1"/>
  <c r="W516" i="6"/>
  <c r="Z518" i="6"/>
  <c r="AA517" i="6"/>
  <c r="Y516" i="6"/>
  <c r="X517" i="6"/>
  <c r="V518" i="6" l="1"/>
  <c r="W517" i="6"/>
  <c r="Y517" i="6"/>
  <c r="X518" i="6"/>
  <c r="Z519" i="6"/>
  <c r="AA518" i="6"/>
  <c r="V519" i="6" l="1"/>
  <c r="W518" i="6"/>
  <c r="Z520" i="6"/>
  <c r="AA519" i="6"/>
  <c r="Y518" i="6"/>
  <c r="X519" i="6"/>
  <c r="V520" i="6" l="1"/>
  <c r="W519" i="6"/>
  <c r="Y519" i="6"/>
  <c r="X520" i="6"/>
  <c r="Z521" i="6"/>
  <c r="AA520" i="6"/>
  <c r="V521" i="6" l="1"/>
  <c r="W520" i="6"/>
  <c r="Y520" i="6"/>
  <c r="X521" i="6"/>
  <c r="Z522" i="6"/>
  <c r="AA521" i="6"/>
  <c r="V522" i="6" l="1"/>
  <c r="W521" i="6"/>
  <c r="Z523" i="6"/>
  <c r="AA522" i="6"/>
  <c r="Y521" i="6"/>
  <c r="X522" i="6"/>
  <c r="V523" i="6" l="1"/>
  <c r="W522" i="6"/>
  <c r="Y522" i="6"/>
  <c r="X523" i="6"/>
  <c r="Z524" i="6"/>
  <c r="AA523" i="6"/>
  <c r="V524" i="6" l="1"/>
  <c r="W523" i="6"/>
  <c r="Z525" i="6"/>
  <c r="AA524" i="6"/>
  <c r="Y523" i="6"/>
  <c r="X524" i="6"/>
  <c r="V525" i="6" l="1"/>
  <c r="W524" i="6"/>
  <c r="Y524" i="6"/>
  <c r="X525" i="6"/>
  <c r="Z526" i="6"/>
  <c r="AA525" i="6"/>
  <c r="V526" i="6" l="1"/>
  <c r="W525" i="6"/>
  <c r="Z527" i="6"/>
  <c r="AA526" i="6"/>
  <c r="Y525" i="6"/>
  <c r="X526" i="6"/>
  <c r="V527" i="6" l="1"/>
  <c r="W526" i="6"/>
  <c r="Y526" i="6"/>
  <c r="X527" i="6"/>
  <c r="Z528" i="6"/>
  <c r="AA527" i="6"/>
  <c r="V528" i="6" l="1"/>
  <c r="W527" i="6"/>
  <c r="Z529" i="6"/>
  <c r="AA528" i="6"/>
  <c r="Y527" i="6"/>
  <c r="X528" i="6"/>
  <c r="V529" i="6" l="1"/>
  <c r="W528" i="6"/>
  <c r="Y528" i="6"/>
  <c r="X529" i="6"/>
  <c r="Z530" i="6"/>
  <c r="AA529" i="6"/>
  <c r="V530" i="6" l="1"/>
  <c r="W529" i="6"/>
  <c r="Y529" i="6"/>
  <c r="X530" i="6"/>
  <c r="Z531" i="6"/>
  <c r="AA530" i="6"/>
  <c r="V531" i="6" l="1"/>
  <c r="W530" i="6"/>
  <c r="Z532" i="6"/>
  <c r="AA531" i="6"/>
  <c r="Y530" i="6"/>
  <c r="X531" i="6"/>
  <c r="V532" i="6" l="1"/>
  <c r="W531" i="6"/>
  <c r="Y531" i="6"/>
  <c r="X532" i="6"/>
  <c r="Z533" i="6"/>
  <c r="AA532" i="6"/>
  <c r="W532" i="6" l="1"/>
  <c r="V533" i="6"/>
  <c r="Y532" i="6"/>
  <c r="X533" i="6"/>
  <c r="Z534" i="6"/>
  <c r="AA533" i="6"/>
  <c r="V534" i="6" l="1"/>
  <c r="W533" i="6"/>
  <c r="Z535" i="6"/>
  <c r="AA534" i="6"/>
  <c r="Y533" i="6"/>
  <c r="X534" i="6"/>
  <c r="W534" i="6" l="1"/>
  <c r="V535" i="6"/>
  <c r="Y534" i="6"/>
  <c r="X535" i="6"/>
  <c r="Z536" i="6"/>
  <c r="AA535" i="6"/>
  <c r="V536" i="6" l="1"/>
  <c r="W535" i="6"/>
  <c r="Z537" i="6"/>
  <c r="AA536" i="6"/>
  <c r="Y535" i="6"/>
  <c r="X536" i="6"/>
  <c r="V537" i="6" l="1"/>
  <c r="W536" i="6"/>
  <c r="Y536" i="6"/>
  <c r="X537" i="6"/>
  <c r="Z538" i="6"/>
  <c r="AA537" i="6"/>
  <c r="V538" i="6" l="1"/>
  <c r="W537" i="6"/>
  <c r="Z539" i="6"/>
  <c r="AA538" i="6"/>
  <c r="Y537" i="6"/>
  <c r="X538" i="6"/>
  <c r="V539" i="6" l="1"/>
  <c r="W538" i="6"/>
  <c r="Y538" i="6"/>
  <c r="X539" i="6"/>
  <c r="Z540" i="6"/>
  <c r="AA539" i="6"/>
  <c r="V540" i="6" l="1"/>
  <c r="W539" i="6"/>
  <c r="Y539" i="6"/>
  <c r="X540" i="6"/>
  <c r="Z541" i="6"/>
  <c r="AA540" i="6"/>
  <c r="V541" i="6" l="1"/>
  <c r="W540" i="6"/>
  <c r="Y540" i="6"/>
  <c r="X541" i="6"/>
  <c r="Z542" i="6"/>
  <c r="AA541" i="6"/>
  <c r="W541" i="6" l="1"/>
  <c r="V542" i="6"/>
  <c r="Z543" i="6"/>
  <c r="AA542" i="6"/>
  <c r="Y541" i="6"/>
  <c r="X542" i="6"/>
  <c r="V543" i="6" l="1"/>
  <c r="W542" i="6"/>
  <c r="Y542" i="6"/>
  <c r="X543" i="6"/>
  <c r="Z544" i="6"/>
  <c r="AA543" i="6"/>
  <c r="V544" i="6" l="1"/>
  <c r="W543" i="6"/>
  <c r="Z545" i="6"/>
  <c r="AA544" i="6"/>
  <c r="Y543" i="6"/>
  <c r="X544" i="6"/>
  <c r="V545" i="6" l="1"/>
  <c r="W544" i="6"/>
  <c r="Y544" i="6"/>
  <c r="X545" i="6"/>
  <c r="Z546" i="6"/>
  <c r="AA545" i="6"/>
  <c r="V546" i="6" l="1"/>
  <c r="W545" i="6"/>
  <c r="Z547" i="6"/>
  <c r="AA546" i="6"/>
  <c r="Y545" i="6"/>
  <c r="X546" i="6"/>
  <c r="V547" i="6" l="1"/>
  <c r="W546" i="6"/>
  <c r="Y546" i="6"/>
  <c r="X547" i="6"/>
  <c r="Z548" i="6"/>
  <c r="AA547" i="6"/>
  <c r="V548" i="6" l="1"/>
  <c r="W547" i="6"/>
  <c r="Z549" i="6"/>
  <c r="AA548" i="6"/>
  <c r="Y547" i="6"/>
  <c r="X548" i="6"/>
  <c r="V549" i="6" l="1"/>
  <c r="W548" i="6"/>
  <c r="Y548" i="6"/>
  <c r="X549" i="6"/>
  <c r="Z550" i="6"/>
  <c r="AA549" i="6"/>
  <c r="W549" i="6" l="1"/>
  <c r="V550" i="6"/>
  <c r="Z551" i="6"/>
  <c r="AA550" i="6"/>
  <c r="Y549" i="6"/>
  <c r="X550" i="6"/>
  <c r="W550" i="6" l="1"/>
  <c r="V551" i="6"/>
  <c r="Y550" i="6"/>
  <c r="X551" i="6"/>
  <c r="Z552" i="6"/>
  <c r="AA551" i="6"/>
  <c r="V552" i="6" l="1"/>
  <c r="W551" i="6"/>
  <c r="Y551" i="6"/>
  <c r="X552" i="6"/>
  <c r="Z553" i="6"/>
  <c r="AA552" i="6"/>
  <c r="V553" i="6" l="1"/>
  <c r="W552" i="6"/>
  <c r="Z554" i="6"/>
  <c r="AA553" i="6"/>
  <c r="Y552" i="6"/>
  <c r="X553" i="6"/>
  <c r="V554" i="6" l="1"/>
  <c r="W553" i="6"/>
  <c r="Y553" i="6"/>
  <c r="X554" i="6"/>
  <c r="Z555" i="6"/>
  <c r="AA554" i="6"/>
  <c r="V555" i="6" l="1"/>
  <c r="W554" i="6"/>
  <c r="Z556" i="6"/>
  <c r="AA555" i="6"/>
  <c r="Y554" i="6"/>
  <c r="X555" i="6"/>
  <c r="W555" i="6" l="1"/>
  <c r="V556" i="6"/>
  <c r="Y555" i="6"/>
  <c r="X556" i="6"/>
  <c r="Z557" i="6"/>
  <c r="AA556" i="6"/>
  <c r="V557" i="6" l="1"/>
  <c r="W556" i="6"/>
  <c r="Z558" i="6"/>
  <c r="AA557" i="6"/>
  <c r="Y556" i="6"/>
  <c r="X557" i="6"/>
  <c r="V558" i="6" l="1"/>
  <c r="W557" i="6"/>
  <c r="Y557" i="6"/>
  <c r="X558" i="6"/>
  <c r="Z559" i="6"/>
  <c r="AA558" i="6"/>
  <c r="V559" i="6" l="1"/>
  <c r="W558" i="6"/>
  <c r="Z560" i="6"/>
  <c r="AA559" i="6"/>
  <c r="Y558" i="6"/>
  <c r="X559" i="6"/>
  <c r="V560" i="6" l="1"/>
  <c r="W559" i="6"/>
  <c r="Y559" i="6"/>
  <c r="X560" i="6"/>
  <c r="Z561" i="6"/>
  <c r="AA560" i="6"/>
  <c r="V561" i="6" l="1"/>
  <c r="W560" i="6"/>
  <c r="Z562" i="6"/>
  <c r="AA561" i="6"/>
  <c r="Y560" i="6"/>
  <c r="X561" i="6"/>
  <c r="V562" i="6" l="1"/>
  <c r="W561" i="6"/>
  <c r="Y561" i="6"/>
  <c r="X562" i="6"/>
  <c r="Z563" i="6"/>
  <c r="AA562" i="6"/>
  <c r="V563" i="6" l="1"/>
  <c r="W562" i="6"/>
  <c r="Z564" i="6"/>
  <c r="AA563" i="6"/>
  <c r="Y562" i="6"/>
  <c r="X563" i="6"/>
  <c r="W563" i="6" l="1"/>
  <c r="V564" i="6"/>
  <c r="Y563" i="6"/>
  <c r="X564" i="6"/>
  <c r="Z565" i="6"/>
  <c r="AA564" i="6"/>
  <c r="V565" i="6" l="1"/>
  <c r="W564" i="6"/>
  <c r="Z566" i="6"/>
  <c r="AA565" i="6"/>
  <c r="Y564" i="6"/>
  <c r="X565" i="6"/>
  <c r="V566" i="6" l="1"/>
  <c r="W565" i="6"/>
  <c r="Y565" i="6"/>
  <c r="X566" i="6"/>
  <c r="Z567" i="6"/>
  <c r="AA566" i="6"/>
  <c r="V567" i="6" l="1"/>
  <c r="W566" i="6"/>
  <c r="Z568" i="6"/>
  <c r="AA567" i="6"/>
  <c r="Y566" i="6"/>
  <c r="X567" i="6"/>
  <c r="V568" i="6" l="1"/>
  <c r="W567" i="6"/>
  <c r="Y567" i="6"/>
  <c r="X568" i="6"/>
  <c r="Z569" i="6"/>
  <c r="AA568" i="6"/>
  <c r="W568" i="6" l="1"/>
  <c r="V569" i="6"/>
  <c r="Z570" i="6"/>
  <c r="AA569" i="6"/>
  <c r="Y568" i="6"/>
  <c r="X569" i="6"/>
  <c r="V570" i="6" l="1"/>
  <c r="W569" i="6"/>
  <c r="Y569" i="6"/>
  <c r="X570" i="6"/>
  <c r="Z571" i="6"/>
  <c r="AA570" i="6"/>
  <c r="V571" i="6" l="1"/>
  <c r="W570" i="6"/>
  <c r="Z572" i="6"/>
  <c r="AA571" i="6"/>
  <c r="Y570" i="6"/>
  <c r="X571" i="6"/>
  <c r="W571" i="6" l="1"/>
  <c r="V572" i="6"/>
  <c r="Y571" i="6"/>
  <c r="X572" i="6"/>
  <c r="Z573" i="6"/>
  <c r="AA572" i="6"/>
  <c r="V573" i="6" l="1"/>
  <c r="W572" i="6"/>
  <c r="Z574" i="6"/>
  <c r="AA573" i="6"/>
  <c r="Y572" i="6"/>
  <c r="X573" i="6"/>
  <c r="V574" i="6" l="1"/>
  <c r="W573" i="6"/>
  <c r="Y573" i="6"/>
  <c r="X574" i="6"/>
  <c r="Z575" i="6"/>
  <c r="AA574" i="6"/>
  <c r="W574" i="6" l="1"/>
  <c r="V575" i="6"/>
  <c r="Z576" i="6"/>
  <c r="AA575" i="6"/>
  <c r="Y574" i="6"/>
  <c r="X575" i="6"/>
  <c r="V576" i="6" l="1"/>
  <c r="W575" i="6"/>
  <c r="Y575" i="6"/>
  <c r="X576" i="6"/>
  <c r="Z577" i="6"/>
  <c r="AA576" i="6"/>
  <c r="W576" i="6" l="1"/>
  <c r="V577" i="6"/>
  <c r="Z578" i="6"/>
  <c r="AA577" i="6"/>
  <c r="Y576" i="6"/>
  <c r="X577" i="6"/>
  <c r="W577" i="6" l="1"/>
  <c r="V578" i="6"/>
  <c r="Y577" i="6"/>
  <c r="X578" i="6"/>
  <c r="Z579" i="6"/>
  <c r="AA578" i="6"/>
  <c r="V579" i="6" l="1"/>
  <c r="W578" i="6"/>
  <c r="Z580" i="6"/>
  <c r="AA579" i="6"/>
  <c r="Y578" i="6"/>
  <c r="X579" i="6"/>
  <c r="V580" i="6" l="1"/>
  <c r="W579" i="6"/>
  <c r="Y579" i="6"/>
  <c r="X580" i="6"/>
  <c r="Z581" i="6"/>
  <c r="AA580" i="6"/>
  <c r="V581" i="6" l="1"/>
  <c r="W580" i="6"/>
  <c r="Z582" i="6"/>
  <c r="AA581" i="6"/>
  <c r="Y580" i="6"/>
  <c r="X581" i="6"/>
  <c r="V582" i="6" l="1"/>
  <c r="W581" i="6"/>
  <c r="Y581" i="6"/>
  <c r="X582" i="6"/>
  <c r="Z583" i="6"/>
  <c r="AA582" i="6"/>
  <c r="V583" i="6" l="1"/>
  <c r="W582" i="6"/>
  <c r="Z584" i="6"/>
  <c r="AA583" i="6"/>
  <c r="Y582" i="6"/>
  <c r="X583" i="6"/>
  <c r="W583" i="6" l="1"/>
  <c r="V584" i="6"/>
  <c r="Y583" i="6"/>
  <c r="X584" i="6"/>
  <c r="Z585" i="6"/>
  <c r="AA584" i="6"/>
  <c r="V585" i="6" l="1"/>
  <c r="W584" i="6"/>
  <c r="Z586" i="6"/>
  <c r="AA585" i="6"/>
  <c r="Y584" i="6"/>
  <c r="X585" i="6"/>
  <c r="W585" i="6" l="1"/>
  <c r="V586" i="6"/>
  <c r="Y585" i="6"/>
  <c r="X586" i="6"/>
  <c r="Z587" i="6"/>
  <c r="AA586" i="6"/>
  <c r="V587" i="6" l="1"/>
  <c r="W586" i="6"/>
  <c r="Z588" i="6"/>
  <c r="AA587" i="6"/>
  <c r="Y586" i="6"/>
  <c r="X587" i="6"/>
  <c r="W587" i="6" l="1"/>
  <c r="V588" i="6"/>
  <c r="Y587" i="6"/>
  <c r="X588" i="6"/>
  <c r="Z589" i="6"/>
  <c r="AA588" i="6"/>
  <c r="W588" i="6" l="1"/>
  <c r="V589" i="6"/>
  <c r="Z590" i="6"/>
  <c r="AA589" i="6"/>
  <c r="Y588" i="6"/>
  <c r="X589" i="6"/>
  <c r="V590" i="6" l="1"/>
  <c r="W589" i="6"/>
  <c r="Y589" i="6"/>
  <c r="X590" i="6"/>
  <c r="Z591" i="6"/>
  <c r="AA590" i="6"/>
  <c r="V591" i="6" l="1"/>
  <c r="W590" i="6"/>
  <c r="Z592" i="6"/>
  <c r="AA591" i="6"/>
  <c r="Y590" i="6"/>
  <c r="X591" i="6"/>
  <c r="W591" i="6" l="1"/>
  <c r="V592" i="6"/>
  <c r="Y591" i="6"/>
  <c r="X592" i="6"/>
  <c r="Z593" i="6"/>
  <c r="AA592" i="6"/>
  <c r="V593" i="6" l="1"/>
  <c r="W592" i="6"/>
  <c r="Z594" i="6"/>
  <c r="AA593" i="6"/>
  <c r="Y592" i="6"/>
  <c r="X593" i="6"/>
  <c r="V594" i="6" l="1"/>
  <c r="W593" i="6"/>
  <c r="Y593" i="6"/>
  <c r="X594" i="6"/>
  <c r="Z595" i="6"/>
  <c r="AA594" i="6"/>
  <c r="V595" i="6" l="1"/>
  <c r="W594" i="6"/>
  <c r="Z596" i="6"/>
  <c r="AA595" i="6"/>
  <c r="Y594" i="6"/>
  <c r="X595" i="6"/>
  <c r="V596" i="6" l="1"/>
  <c r="W595" i="6"/>
  <c r="Y595" i="6"/>
  <c r="X596" i="6"/>
  <c r="Z597" i="6"/>
  <c r="AA596" i="6"/>
  <c r="V597" i="6" l="1"/>
  <c r="W596" i="6"/>
  <c r="Z598" i="6"/>
  <c r="AA597" i="6"/>
  <c r="Y596" i="6"/>
  <c r="X597" i="6"/>
  <c r="W597" i="6" l="1"/>
  <c r="V598" i="6"/>
  <c r="Y597" i="6"/>
  <c r="X598" i="6"/>
  <c r="Z599" i="6"/>
  <c r="AA598" i="6"/>
  <c r="W598" i="6" l="1"/>
  <c r="V599" i="6"/>
  <c r="Z600" i="6"/>
  <c r="AA599" i="6"/>
  <c r="Y598" i="6"/>
  <c r="X599" i="6"/>
  <c r="V600" i="6" l="1"/>
  <c r="W599" i="6"/>
  <c r="Y599" i="6"/>
  <c r="X600" i="6"/>
  <c r="Z601" i="6"/>
  <c r="AA600" i="6"/>
  <c r="W600" i="6" l="1"/>
  <c r="V601" i="6"/>
  <c r="Z602" i="6"/>
  <c r="AA601" i="6"/>
  <c r="Y600" i="6"/>
  <c r="X601" i="6"/>
  <c r="W601" i="6" l="1"/>
  <c r="V602" i="6"/>
  <c r="Y601" i="6"/>
  <c r="X602" i="6"/>
  <c r="Z603" i="6"/>
  <c r="AA602" i="6"/>
  <c r="W602" i="6" l="1"/>
  <c r="V603" i="6"/>
  <c r="Z604" i="6"/>
  <c r="AA603" i="6"/>
  <c r="Y602" i="6"/>
  <c r="X603" i="6"/>
  <c r="W603" i="6" l="1"/>
  <c r="V604" i="6"/>
  <c r="Y603" i="6"/>
  <c r="X604" i="6"/>
  <c r="Z605" i="6"/>
  <c r="AA604" i="6"/>
  <c r="W604" i="6" l="1"/>
  <c r="V605" i="6"/>
  <c r="Z606" i="6"/>
  <c r="AA605" i="6"/>
  <c r="Y604" i="6"/>
  <c r="X605" i="6"/>
  <c r="W605" i="6" l="1"/>
  <c r="V606" i="6"/>
  <c r="Y605" i="6"/>
  <c r="X606" i="6"/>
  <c r="Z607" i="6"/>
  <c r="AA606" i="6"/>
  <c r="V607" i="6" l="1"/>
  <c r="W606" i="6"/>
  <c r="Z608" i="6"/>
  <c r="AA607" i="6"/>
  <c r="Y606" i="6"/>
  <c r="X607" i="6"/>
  <c r="W607" i="6" l="1"/>
  <c r="V608" i="6"/>
  <c r="Y607" i="6"/>
  <c r="X608" i="6"/>
  <c r="Z609" i="6"/>
  <c r="AA608" i="6"/>
  <c r="V609" i="6" l="1"/>
  <c r="W608" i="6"/>
  <c r="Y608" i="6"/>
  <c r="X609" i="6"/>
  <c r="Z610" i="6"/>
  <c r="AA609" i="6"/>
  <c r="V610" i="6" l="1"/>
  <c r="W609" i="6"/>
  <c r="Y609" i="6"/>
  <c r="X610" i="6"/>
  <c r="Z611" i="6"/>
  <c r="AA610" i="6"/>
  <c r="V611" i="6" l="1"/>
  <c r="W610" i="6"/>
  <c r="Z612" i="6"/>
  <c r="AA611" i="6"/>
  <c r="Y610" i="6"/>
  <c r="X611" i="6"/>
  <c r="V612" i="6" l="1"/>
  <c r="W611" i="6"/>
  <c r="Z613" i="6"/>
  <c r="AA612" i="6"/>
  <c r="Y611" i="6"/>
  <c r="X612" i="6"/>
  <c r="V613" i="6" l="1"/>
  <c r="W612" i="6"/>
  <c r="Y612" i="6"/>
  <c r="X613" i="6"/>
  <c r="Z614" i="6"/>
  <c r="AA613" i="6"/>
  <c r="V614" i="6" l="1"/>
  <c r="W613" i="6"/>
  <c r="Z615" i="6"/>
  <c r="AA614" i="6"/>
  <c r="Y613" i="6"/>
  <c r="X614" i="6"/>
  <c r="W614" i="6" l="1"/>
  <c r="V615" i="6"/>
  <c r="Y614" i="6"/>
  <c r="X615" i="6"/>
  <c r="Z616" i="6"/>
  <c r="AA615" i="6"/>
  <c r="W615" i="6" l="1"/>
  <c r="V616" i="6"/>
  <c r="Z617" i="6"/>
  <c r="AA616" i="6"/>
  <c r="Y615" i="6"/>
  <c r="X616" i="6"/>
  <c r="V617" i="6" l="1"/>
  <c r="W616" i="6"/>
  <c r="Y616" i="6"/>
  <c r="X617" i="6"/>
  <c r="Z618" i="6"/>
  <c r="AA617" i="6"/>
  <c r="V618" i="6" l="1"/>
  <c r="W617" i="6"/>
  <c r="Z619" i="6"/>
  <c r="AA618" i="6"/>
  <c r="Y617" i="6"/>
  <c r="X618" i="6"/>
  <c r="W618" i="6" l="1"/>
  <c r="V619" i="6"/>
  <c r="Y618" i="6"/>
  <c r="X619" i="6"/>
  <c r="Z620" i="6"/>
  <c r="AA619" i="6"/>
  <c r="W619" i="6" l="1"/>
  <c r="V620" i="6"/>
  <c r="Y619" i="6"/>
  <c r="X620" i="6"/>
  <c r="Z621" i="6"/>
  <c r="AA620" i="6"/>
  <c r="W620" i="6" l="1"/>
  <c r="V621" i="6"/>
  <c r="Z622" i="6"/>
  <c r="AA621" i="6"/>
  <c r="Y620" i="6"/>
  <c r="X621" i="6"/>
  <c r="V622" i="6" l="1"/>
  <c r="W621" i="6"/>
  <c r="Y621" i="6"/>
  <c r="X622" i="6"/>
  <c r="Z623" i="6"/>
  <c r="AA622" i="6"/>
  <c r="V623" i="6" l="1"/>
  <c r="W622" i="6"/>
  <c r="Z624" i="6"/>
  <c r="AA623" i="6"/>
  <c r="Y622" i="6"/>
  <c r="X623" i="6"/>
  <c r="V624" i="6" l="1"/>
  <c r="W623" i="6"/>
  <c r="Y623" i="6"/>
  <c r="X624" i="6"/>
  <c r="Z625" i="6"/>
  <c r="AA624" i="6"/>
  <c r="V625" i="6" l="1"/>
  <c r="W624" i="6"/>
  <c r="Z626" i="6"/>
  <c r="AA625" i="6"/>
  <c r="Y624" i="6"/>
  <c r="X625" i="6"/>
  <c r="V626" i="6" l="1"/>
  <c r="W625" i="6"/>
  <c r="Y625" i="6"/>
  <c r="X626" i="6"/>
  <c r="Z627" i="6"/>
  <c r="AA626" i="6"/>
  <c r="V627" i="6" l="1"/>
  <c r="W626" i="6"/>
  <c r="Z628" i="6"/>
  <c r="AA627" i="6"/>
  <c r="Y626" i="6"/>
  <c r="X627" i="6"/>
  <c r="V628" i="6" l="1"/>
  <c r="W627" i="6"/>
  <c r="Z629" i="6"/>
  <c r="AA628" i="6"/>
  <c r="Y627" i="6"/>
  <c r="X628" i="6"/>
  <c r="V629" i="6" l="1"/>
  <c r="W628" i="6"/>
  <c r="Y628" i="6"/>
  <c r="X629" i="6"/>
  <c r="Z630" i="6"/>
  <c r="AA629" i="6"/>
  <c r="V630" i="6" l="1"/>
  <c r="W629" i="6"/>
  <c r="Z631" i="6"/>
  <c r="AA630" i="6"/>
  <c r="Y629" i="6"/>
  <c r="X630" i="6"/>
  <c r="V631" i="6" l="1"/>
  <c r="W630" i="6"/>
  <c r="Y630" i="6"/>
  <c r="X631" i="6"/>
  <c r="Z632" i="6"/>
  <c r="AA631" i="6"/>
  <c r="W631" i="6" l="1"/>
  <c r="V632" i="6"/>
  <c r="Z633" i="6"/>
  <c r="AA632" i="6"/>
  <c r="Y631" i="6"/>
  <c r="X632" i="6"/>
  <c r="V633" i="6" l="1"/>
  <c r="W632" i="6"/>
  <c r="Y632" i="6"/>
  <c r="X633" i="6"/>
  <c r="Z634" i="6"/>
  <c r="AA633" i="6"/>
  <c r="W633" i="6" l="1"/>
  <c r="V634" i="6"/>
  <c r="Z635" i="6"/>
  <c r="AA634" i="6"/>
  <c r="Y633" i="6"/>
  <c r="X634" i="6"/>
  <c r="V635" i="6" l="1"/>
  <c r="W634" i="6"/>
  <c r="Y634" i="6"/>
  <c r="X635" i="6"/>
  <c r="Z636" i="6"/>
  <c r="AA635" i="6"/>
  <c r="V636" i="6" l="1"/>
  <c r="W635" i="6"/>
  <c r="Z637" i="6"/>
  <c r="AA636" i="6"/>
  <c r="Y635" i="6"/>
  <c r="X636" i="6"/>
  <c r="V637" i="6" l="1"/>
  <c r="W636" i="6"/>
  <c r="Y636" i="6"/>
  <c r="X637" i="6"/>
  <c r="Z638" i="6"/>
  <c r="AA637" i="6"/>
  <c r="V638" i="6" l="1"/>
  <c r="W637" i="6"/>
  <c r="Z639" i="6"/>
  <c r="AA638" i="6"/>
  <c r="Y637" i="6"/>
  <c r="X638" i="6"/>
  <c r="V639" i="6" l="1"/>
  <c r="W638" i="6"/>
  <c r="Y638" i="6"/>
  <c r="X639" i="6"/>
  <c r="Z640" i="6"/>
  <c r="AA639" i="6"/>
  <c r="V640" i="6" l="1"/>
  <c r="W639" i="6"/>
  <c r="Z641" i="6"/>
  <c r="AA640" i="6"/>
  <c r="Y639" i="6"/>
  <c r="X640" i="6"/>
  <c r="V641" i="6" l="1"/>
  <c r="W640" i="6"/>
  <c r="Y640" i="6"/>
  <c r="X641" i="6"/>
  <c r="Z642" i="6"/>
  <c r="AA641" i="6"/>
  <c r="V642" i="6" l="1"/>
  <c r="W641" i="6"/>
  <c r="Z643" i="6"/>
  <c r="AA642" i="6"/>
  <c r="Y641" i="6"/>
  <c r="X642" i="6"/>
  <c r="V643" i="6" l="1"/>
  <c r="W642" i="6"/>
  <c r="Y642" i="6"/>
  <c r="X643" i="6"/>
  <c r="Z644" i="6"/>
  <c r="AA643" i="6"/>
  <c r="V644" i="6" l="1"/>
  <c r="W643" i="6"/>
  <c r="Z645" i="6"/>
  <c r="AA644" i="6"/>
  <c r="Y643" i="6"/>
  <c r="X644" i="6"/>
  <c r="V645" i="6" l="1"/>
  <c r="W644" i="6"/>
  <c r="Y644" i="6"/>
  <c r="X645" i="6"/>
  <c r="Z646" i="6"/>
  <c r="AA645" i="6"/>
  <c r="W645" i="6" l="1"/>
  <c r="V646" i="6"/>
  <c r="Z647" i="6"/>
  <c r="AA646" i="6"/>
  <c r="Y645" i="6"/>
  <c r="X646" i="6"/>
  <c r="V647" i="6" l="1"/>
  <c r="W646" i="6"/>
  <c r="Y646" i="6"/>
  <c r="X647" i="6"/>
  <c r="Z648" i="6"/>
  <c r="AA647" i="6"/>
  <c r="V648" i="6" l="1"/>
  <c r="W647" i="6"/>
  <c r="Z649" i="6"/>
  <c r="AA648" i="6"/>
  <c r="Y647" i="6"/>
  <c r="X648" i="6"/>
  <c r="V649" i="6" l="1"/>
  <c r="W648" i="6"/>
  <c r="Y648" i="6"/>
  <c r="X649" i="6"/>
  <c r="Z650" i="6"/>
  <c r="AA649" i="6"/>
  <c r="V650" i="6" l="1"/>
  <c r="W649" i="6"/>
  <c r="Z651" i="6"/>
  <c r="AA650" i="6"/>
  <c r="Y649" i="6"/>
  <c r="X650" i="6"/>
  <c r="V651" i="6" l="1"/>
  <c r="W650" i="6"/>
  <c r="Y650" i="6"/>
  <c r="X651" i="6"/>
  <c r="Z652" i="6"/>
  <c r="AA651" i="6"/>
  <c r="V652" i="6" l="1"/>
  <c r="W651" i="6"/>
  <c r="Z653" i="6"/>
  <c r="AA652" i="6"/>
  <c r="Y651" i="6"/>
  <c r="X652" i="6"/>
  <c r="V653" i="6" l="1"/>
  <c r="W652" i="6"/>
  <c r="Y652" i="6"/>
  <c r="X653" i="6"/>
  <c r="Z654" i="6"/>
  <c r="AA653" i="6"/>
  <c r="V654" i="6" l="1"/>
  <c r="W653" i="6"/>
  <c r="Z655" i="6"/>
  <c r="AA654" i="6"/>
  <c r="Y653" i="6"/>
  <c r="X654" i="6"/>
  <c r="V655" i="6" l="1"/>
  <c r="W654" i="6"/>
  <c r="Y654" i="6"/>
  <c r="X655" i="6"/>
  <c r="Z656" i="6"/>
  <c r="AA655" i="6"/>
  <c r="W655" i="6" l="1"/>
  <c r="V656" i="6"/>
  <c r="Z657" i="6"/>
  <c r="AA656" i="6"/>
  <c r="Y655" i="6"/>
  <c r="X656" i="6"/>
  <c r="W656" i="6" l="1"/>
  <c r="V657" i="6"/>
  <c r="Y656" i="6"/>
  <c r="X657" i="6"/>
  <c r="Z658" i="6"/>
  <c r="AA657" i="6"/>
  <c r="W657" i="6" l="1"/>
  <c r="V658" i="6"/>
  <c r="Z659" i="6"/>
  <c r="AA658" i="6"/>
  <c r="Y657" i="6"/>
  <c r="X658" i="6"/>
  <c r="V659" i="6" l="1"/>
  <c r="W658" i="6"/>
  <c r="Y658" i="6"/>
  <c r="X659" i="6"/>
  <c r="Z660" i="6"/>
  <c r="AA659" i="6"/>
  <c r="V660" i="6" l="1"/>
  <c r="W659" i="6"/>
  <c r="Z661" i="6"/>
  <c r="AA660" i="6"/>
  <c r="Y659" i="6"/>
  <c r="X660" i="6"/>
  <c r="W660" i="6" l="1"/>
  <c r="V661" i="6"/>
  <c r="Y660" i="6"/>
  <c r="X661" i="6"/>
  <c r="Z662" i="6"/>
  <c r="AA661" i="6"/>
  <c r="W661" i="6" l="1"/>
  <c r="V662" i="6"/>
  <c r="Z663" i="6"/>
  <c r="AA662" i="6"/>
  <c r="Y661" i="6"/>
  <c r="X662" i="6"/>
  <c r="V663" i="6" l="1"/>
  <c r="W662" i="6"/>
  <c r="Y662" i="6"/>
  <c r="X663" i="6"/>
  <c r="Z664" i="6"/>
  <c r="AA663" i="6"/>
  <c r="V664" i="6" l="1"/>
  <c r="W663" i="6"/>
  <c r="Z665" i="6"/>
  <c r="AA664" i="6"/>
  <c r="Y663" i="6"/>
  <c r="X664" i="6"/>
  <c r="W664" i="6" l="1"/>
  <c r="V665" i="6"/>
  <c r="Y664" i="6"/>
  <c r="X665" i="6"/>
  <c r="Z666" i="6"/>
  <c r="AA665" i="6"/>
  <c r="V666" i="6" l="1"/>
  <c r="W665" i="6"/>
  <c r="Z667" i="6"/>
  <c r="AA666" i="6"/>
  <c r="Y665" i="6"/>
  <c r="X666" i="6"/>
  <c r="W666" i="6" l="1"/>
  <c r="V667" i="6"/>
  <c r="Y666" i="6"/>
  <c r="X667" i="6"/>
  <c r="Z668" i="6"/>
  <c r="AA667" i="6"/>
  <c r="W667" i="6" l="1"/>
  <c r="V668" i="6"/>
  <c r="Z669" i="6"/>
  <c r="AA668" i="6"/>
  <c r="Y667" i="6"/>
  <c r="X668" i="6"/>
  <c r="V669" i="6" l="1"/>
  <c r="W668" i="6"/>
  <c r="Y668" i="6"/>
  <c r="X669" i="6"/>
  <c r="Z670" i="6"/>
  <c r="AA669" i="6"/>
  <c r="V670" i="6" l="1"/>
  <c r="W669" i="6"/>
  <c r="Z671" i="6"/>
  <c r="AA670" i="6"/>
  <c r="Y669" i="6"/>
  <c r="X670" i="6"/>
  <c r="W670" i="6" l="1"/>
  <c r="V671" i="6"/>
  <c r="Y670" i="6"/>
  <c r="X671" i="6"/>
  <c r="Z672" i="6"/>
  <c r="AA671" i="6"/>
  <c r="W671" i="6" l="1"/>
  <c r="V672" i="6"/>
  <c r="Z673" i="6"/>
  <c r="AA672" i="6"/>
  <c r="Y671" i="6"/>
  <c r="X672" i="6"/>
  <c r="W672" i="6" l="1"/>
  <c r="V673" i="6"/>
  <c r="Y672" i="6"/>
  <c r="X673" i="6"/>
  <c r="Z674" i="6"/>
  <c r="AA673" i="6"/>
  <c r="W673" i="6" l="1"/>
  <c r="V674" i="6"/>
  <c r="Z675" i="6"/>
  <c r="AA674" i="6"/>
  <c r="Y673" i="6"/>
  <c r="X674" i="6"/>
  <c r="W674" i="6" l="1"/>
  <c r="V675" i="6"/>
  <c r="Y674" i="6"/>
  <c r="X675" i="6"/>
  <c r="Z676" i="6"/>
  <c r="AA675" i="6"/>
  <c r="W675" i="6" l="1"/>
  <c r="V676" i="6"/>
  <c r="Z677" i="6"/>
  <c r="AA676" i="6"/>
  <c r="Y675" i="6"/>
  <c r="X676" i="6"/>
  <c r="W676" i="6" l="1"/>
  <c r="V677" i="6"/>
  <c r="Y676" i="6"/>
  <c r="X677" i="6"/>
  <c r="Z678" i="6"/>
  <c r="AA677" i="6"/>
  <c r="V678" i="6" l="1"/>
  <c r="W677" i="6"/>
  <c r="Z679" i="6"/>
  <c r="AA678" i="6"/>
  <c r="Y677" i="6"/>
  <c r="X678" i="6"/>
  <c r="V679" i="6" l="1"/>
  <c r="W678" i="6"/>
  <c r="Y678" i="6"/>
  <c r="X679" i="6"/>
  <c r="Z680" i="6"/>
  <c r="AA679" i="6"/>
  <c r="V680" i="6" l="1"/>
  <c r="W679" i="6"/>
  <c r="Z681" i="6"/>
  <c r="AA680" i="6"/>
  <c r="Y679" i="6"/>
  <c r="X680" i="6"/>
  <c r="V681" i="6" l="1"/>
  <c r="W680" i="6"/>
  <c r="Y680" i="6"/>
  <c r="X681" i="6"/>
  <c r="Z682" i="6"/>
  <c r="AA681" i="6"/>
  <c r="W681" i="6" l="1"/>
  <c r="V682" i="6"/>
  <c r="Z683" i="6"/>
  <c r="AA682" i="6"/>
  <c r="Y681" i="6"/>
  <c r="X682" i="6"/>
  <c r="V683" i="6" l="1"/>
  <c r="W682" i="6"/>
  <c r="Y682" i="6"/>
  <c r="X683" i="6"/>
  <c r="Z684" i="6"/>
  <c r="AA683" i="6"/>
  <c r="V684" i="6" l="1"/>
  <c r="W683" i="6"/>
  <c r="Z685" i="6"/>
  <c r="AA684" i="6"/>
  <c r="Y683" i="6"/>
  <c r="X684" i="6"/>
  <c r="V685" i="6" l="1"/>
  <c r="W684" i="6"/>
  <c r="Y684" i="6"/>
  <c r="X685" i="6"/>
  <c r="Z686" i="6"/>
  <c r="AA685" i="6"/>
  <c r="V686" i="6" l="1"/>
  <c r="W685" i="6"/>
  <c r="Z687" i="6"/>
  <c r="AA686" i="6"/>
  <c r="Y685" i="6"/>
  <c r="X686" i="6"/>
  <c r="V687" i="6" l="1"/>
  <c r="W686" i="6"/>
  <c r="Y686" i="6"/>
  <c r="X687" i="6"/>
  <c r="Z688" i="6"/>
  <c r="AA687" i="6"/>
  <c r="V688" i="6" l="1"/>
  <c r="W687" i="6"/>
  <c r="Z689" i="6"/>
  <c r="AA688" i="6"/>
  <c r="Y687" i="6"/>
  <c r="X688" i="6"/>
  <c r="W688" i="6" l="1"/>
  <c r="V689" i="6"/>
  <c r="Y688" i="6"/>
  <c r="X689" i="6"/>
  <c r="Z690" i="6"/>
  <c r="AA689" i="6"/>
  <c r="V690" i="6" l="1"/>
  <c r="W689" i="6"/>
  <c r="Z691" i="6"/>
  <c r="AA690" i="6"/>
  <c r="Y689" i="6"/>
  <c r="X690" i="6"/>
  <c r="W690" i="6" l="1"/>
  <c r="V691" i="6"/>
  <c r="Y690" i="6"/>
  <c r="X691" i="6"/>
  <c r="Z692" i="6"/>
  <c r="AA691" i="6"/>
  <c r="V692" i="6" l="1"/>
  <c r="W691" i="6"/>
  <c r="Z693" i="6"/>
  <c r="AA692" i="6"/>
  <c r="Y691" i="6"/>
  <c r="X692" i="6"/>
  <c r="V693" i="6" l="1"/>
  <c r="W692" i="6"/>
  <c r="Y692" i="6"/>
  <c r="X693" i="6"/>
  <c r="Z694" i="6"/>
  <c r="AA693" i="6"/>
  <c r="V694" i="6" l="1"/>
  <c r="W693" i="6"/>
  <c r="Z695" i="6"/>
  <c r="AA694" i="6"/>
  <c r="Y693" i="6"/>
  <c r="X694" i="6"/>
  <c r="V695" i="6" l="1"/>
  <c r="W694" i="6"/>
  <c r="Y694" i="6"/>
  <c r="X695" i="6"/>
  <c r="Z696" i="6"/>
  <c r="AA695" i="6"/>
  <c r="W695" i="6" l="1"/>
  <c r="V696" i="6"/>
  <c r="Z697" i="6"/>
  <c r="AA696" i="6"/>
  <c r="Y695" i="6"/>
  <c r="X696" i="6"/>
  <c r="W696" i="6" l="1"/>
  <c r="V697" i="6"/>
  <c r="Y696" i="6"/>
  <c r="X697" i="6"/>
  <c r="Z698" i="6"/>
  <c r="AA697" i="6"/>
  <c r="V698" i="6" l="1"/>
  <c r="W697" i="6"/>
  <c r="Z699" i="6"/>
  <c r="AA698" i="6"/>
  <c r="Y697" i="6"/>
  <c r="X698" i="6"/>
  <c r="W698" i="6" l="1"/>
  <c r="V699" i="6"/>
  <c r="Y698" i="6"/>
  <c r="X699" i="6"/>
  <c r="Z700" i="6"/>
  <c r="AA699" i="6"/>
  <c r="V700" i="6" l="1"/>
  <c r="W699" i="6"/>
  <c r="Z701" i="6"/>
  <c r="AA700" i="6"/>
  <c r="Y699" i="6"/>
  <c r="X700" i="6"/>
  <c r="V701" i="6" l="1"/>
  <c r="W700" i="6"/>
  <c r="Y700" i="6"/>
  <c r="X701" i="6"/>
  <c r="Z702" i="6"/>
  <c r="AA701" i="6"/>
  <c r="V702" i="6" l="1"/>
  <c r="W701" i="6"/>
  <c r="Z703" i="6"/>
  <c r="AA702" i="6"/>
  <c r="Y701" i="6"/>
  <c r="X702" i="6"/>
  <c r="W702" i="6" l="1"/>
  <c r="V703" i="6"/>
  <c r="Y702" i="6"/>
  <c r="X703" i="6"/>
  <c r="Z704" i="6"/>
  <c r="AA703" i="6"/>
  <c r="V704" i="6" l="1"/>
  <c r="W703" i="6"/>
  <c r="Z705" i="6"/>
  <c r="AA704" i="6"/>
  <c r="Y703" i="6"/>
  <c r="X704" i="6"/>
  <c r="V705" i="6" l="1"/>
  <c r="W704" i="6"/>
  <c r="Y704" i="6"/>
  <c r="X705" i="6"/>
  <c r="Z706" i="6"/>
  <c r="AA705" i="6"/>
  <c r="W705" i="6" l="1"/>
  <c r="V706" i="6"/>
  <c r="Z707" i="6"/>
  <c r="AA706" i="6"/>
  <c r="Y705" i="6"/>
  <c r="X706" i="6"/>
  <c r="V707" i="6" l="1"/>
  <c r="W706" i="6"/>
  <c r="Y706" i="6"/>
  <c r="X707" i="6"/>
  <c r="Z708" i="6"/>
  <c r="AA707" i="6"/>
  <c r="V708" i="6" l="1"/>
  <c r="W707" i="6"/>
  <c r="Z709" i="6"/>
  <c r="AA708" i="6"/>
  <c r="Y707" i="6"/>
  <c r="X708" i="6"/>
  <c r="W708" i="6" l="1"/>
  <c r="V709" i="6"/>
  <c r="Z710" i="6"/>
  <c r="AA709" i="6"/>
  <c r="Y708" i="6"/>
  <c r="X709" i="6"/>
  <c r="W709" i="6" l="1"/>
  <c r="V710" i="6"/>
  <c r="Y709" i="6"/>
  <c r="X710" i="6"/>
  <c r="Z711" i="6"/>
  <c r="AA710" i="6"/>
  <c r="V711" i="6" l="1"/>
  <c r="W710" i="6"/>
  <c r="Y710" i="6"/>
  <c r="X711" i="6"/>
  <c r="Z712" i="6"/>
  <c r="AA711" i="6"/>
  <c r="V712" i="6" l="1"/>
  <c r="W711" i="6"/>
  <c r="Z713" i="6"/>
  <c r="AA712" i="6"/>
  <c r="Y711" i="6"/>
  <c r="X712" i="6"/>
  <c r="V713" i="6" l="1"/>
  <c r="W712" i="6"/>
  <c r="Z714" i="6"/>
  <c r="AA713" i="6"/>
  <c r="Y712" i="6"/>
  <c r="X713" i="6"/>
  <c r="V714" i="6" l="1"/>
  <c r="W713" i="6"/>
  <c r="Y713" i="6"/>
  <c r="X714" i="6"/>
  <c r="Z715" i="6"/>
  <c r="AA714" i="6"/>
  <c r="V715" i="6" l="1"/>
  <c r="W714" i="6"/>
  <c r="Z716" i="6"/>
  <c r="AA715" i="6"/>
  <c r="Y714" i="6"/>
  <c r="X715" i="6"/>
  <c r="V716" i="6" l="1"/>
  <c r="W715" i="6"/>
  <c r="Y715" i="6"/>
  <c r="X716" i="6"/>
  <c r="Z717" i="6"/>
  <c r="AA716" i="6"/>
  <c r="V717" i="6" l="1"/>
  <c r="W716" i="6"/>
  <c r="Z718" i="6"/>
  <c r="AA717" i="6"/>
  <c r="Y716" i="6"/>
  <c r="X717" i="6"/>
  <c r="V718" i="6" l="1"/>
  <c r="W717" i="6"/>
  <c r="Y717" i="6"/>
  <c r="X718" i="6"/>
  <c r="Z719" i="6"/>
  <c r="AA718" i="6"/>
  <c r="W718" i="6" l="1"/>
  <c r="V719" i="6"/>
  <c r="Z720" i="6"/>
  <c r="AA719" i="6"/>
  <c r="Y718" i="6"/>
  <c r="X719" i="6"/>
  <c r="W719" i="6" l="1"/>
  <c r="V720" i="6"/>
  <c r="Y719" i="6"/>
  <c r="X720" i="6"/>
  <c r="Z721" i="6"/>
  <c r="AA720" i="6"/>
  <c r="V721" i="6" l="1"/>
  <c r="W720" i="6"/>
  <c r="Z722" i="6"/>
  <c r="AA721" i="6"/>
  <c r="Y720" i="6"/>
  <c r="X721" i="6"/>
  <c r="W721" i="6" l="1"/>
  <c r="V722" i="6"/>
  <c r="Y721" i="6"/>
  <c r="X722" i="6"/>
  <c r="Z723" i="6"/>
  <c r="AA722" i="6"/>
  <c r="V723" i="6" l="1"/>
  <c r="W722" i="6"/>
  <c r="Z724" i="6"/>
  <c r="AA723" i="6"/>
  <c r="Y722" i="6"/>
  <c r="X723" i="6"/>
  <c r="V724" i="6" l="1"/>
  <c r="W723" i="6"/>
  <c r="Y723" i="6"/>
  <c r="X724" i="6"/>
  <c r="Z725" i="6"/>
  <c r="AA724" i="6"/>
  <c r="W724" i="6" l="1"/>
  <c r="V725" i="6"/>
  <c r="Z726" i="6"/>
  <c r="AA725" i="6"/>
  <c r="Y724" i="6"/>
  <c r="X725" i="6"/>
  <c r="V726" i="6" l="1"/>
  <c r="W725" i="6"/>
  <c r="Y725" i="6"/>
  <c r="X726" i="6"/>
  <c r="Z727" i="6"/>
  <c r="AA726" i="6"/>
  <c r="V727" i="6" l="1"/>
  <c r="W726" i="6"/>
  <c r="Y726" i="6"/>
  <c r="X727" i="6"/>
  <c r="Z728" i="6"/>
  <c r="AA727" i="6"/>
  <c r="W727" i="6" l="1"/>
  <c r="V728" i="6"/>
  <c r="Z729" i="6"/>
  <c r="AA728" i="6"/>
  <c r="Y727" i="6"/>
  <c r="X728" i="6"/>
  <c r="V729" i="6" l="1"/>
  <c r="W728" i="6"/>
  <c r="Y728" i="6"/>
  <c r="X729" i="6"/>
  <c r="Z730" i="6"/>
  <c r="AA729" i="6"/>
  <c r="V730" i="6" l="1"/>
  <c r="W729" i="6"/>
  <c r="Y729" i="6"/>
  <c r="X730" i="6"/>
  <c r="Z731" i="6"/>
  <c r="AA730" i="6"/>
  <c r="V731" i="6" l="1"/>
  <c r="W730" i="6"/>
  <c r="Z732" i="6"/>
  <c r="AA731" i="6"/>
  <c r="Y730" i="6"/>
  <c r="X731" i="6"/>
  <c r="V732" i="6" l="1"/>
  <c r="W731" i="6"/>
  <c r="Y731" i="6"/>
  <c r="X732" i="6"/>
  <c r="Z733" i="6"/>
  <c r="AA732" i="6"/>
  <c r="V733" i="6" l="1"/>
  <c r="W732" i="6"/>
  <c r="Z734" i="6"/>
  <c r="AA733" i="6"/>
  <c r="Y732" i="6"/>
  <c r="X733" i="6"/>
  <c r="V734" i="6" l="1"/>
  <c r="W733" i="6"/>
  <c r="Y733" i="6"/>
  <c r="X734" i="6"/>
  <c r="Z735" i="6"/>
  <c r="AA734" i="6"/>
  <c r="W734" i="6" l="1"/>
  <c r="V735" i="6"/>
  <c r="Z736" i="6"/>
  <c r="AA735" i="6"/>
  <c r="Y734" i="6"/>
  <c r="X735" i="6"/>
  <c r="W735" i="6" l="1"/>
  <c r="V736" i="6"/>
  <c r="Y735" i="6"/>
  <c r="X736" i="6"/>
  <c r="Z737" i="6"/>
  <c r="AA736" i="6"/>
  <c r="V737" i="6" l="1"/>
  <c r="W736" i="6"/>
  <c r="Z738" i="6"/>
  <c r="AA737" i="6"/>
  <c r="Y736" i="6"/>
  <c r="X737" i="6"/>
  <c r="V738" i="6" l="1"/>
  <c r="W737" i="6"/>
  <c r="Y737" i="6"/>
  <c r="X738" i="6"/>
  <c r="Z739" i="6"/>
  <c r="AA738" i="6"/>
  <c r="V739" i="6" l="1"/>
  <c r="W738" i="6"/>
  <c r="Z740" i="6"/>
  <c r="AA739" i="6"/>
  <c r="Y738" i="6"/>
  <c r="X739" i="6"/>
  <c r="W739" i="6" l="1"/>
  <c r="V740" i="6"/>
  <c r="Y739" i="6"/>
  <c r="X740" i="6"/>
  <c r="Z741" i="6"/>
  <c r="AA740" i="6"/>
  <c r="V741" i="6" l="1"/>
  <c r="W740" i="6"/>
  <c r="Z742" i="6"/>
  <c r="AA741" i="6"/>
  <c r="Y740" i="6"/>
  <c r="X741" i="6"/>
  <c r="V742" i="6" l="1"/>
  <c r="W741" i="6"/>
  <c r="Z743" i="6"/>
  <c r="AA742" i="6"/>
  <c r="Y741" i="6"/>
  <c r="X742" i="6"/>
  <c r="V743" i="6" l="1"/>
  <c r="W742" i="6"/>
  <c r="Y742" i="6"/>
  <c r="X743" i="6"/>
  <c r="Z744" i="6"/>
  <c r="AA743" i="6"/>
  <c r="W743" i="6" l="1"/>
  <c r="V744" i="6"/>
  <c r="Z745" i="6"/>
  <c r="AA744" i="6"/>
  <c r="Y743" i="6"/>
  <c r="X744" i="6"/>
  <c r="V745" i="6" l="1"/>
  <c r="W744" i="6"/>
  <c r="Y744" i="6"/>
  <c r="X745" i="6"/>
  <c r="Z746" i="6"/>
  <c r="AA745" i="6"/>
  <c r="V746" i="6" l="1"/>
  <c r="W745" i="6"/>
  <c r="Z747" i="6"/>
  <c r="AA747" i="6" s="1"/>
  <c r="AA746" i="6"/>
  <c r="Y745" i="6"/>
  <c r="X746" i="6"/>
  <c r="W750" i="6" l="1" a="1"/>
  <c r="W750" i="6" s="1"/>
  <c r="W751" i="6" s="1"/>
  <c r="W749" i="6" a="1"/>
  <c r="W749" i="6" s="1"/>
  <c r="V747" i="6"/>
  <c r="W747" i="6" s="1"/>
  <c r="W752" i="6" s="1" a="1"/>
  <c r="W752" i="6" s="1"/>
  <c r="W746" i="6"/>
  <c r="Y746" i="6"/>
  <c r="X747" i="6"/>
  <c r="Y747" i="6" s="1"/>
  <c r="Y752" i="6" s="1" a="1"/>
  <c r="Y752" i="6" s="1"/>
  <c r="Y749" i="6" l="1" a="1"/>
  <c r="Y749" i="6" s="1"/>
  <c r="Y750" i="6" a="1"/>
  <c r="Y750" i="6" s="1"/>
  <c r="Y751" i="6" s="1"/>
  <c r="U3" i="6"/>
  <c r="U4" i="6"/>
  <c r="U5" i="6"/>
  <c r="U6" i="6"/>
  <c r="U7" i="6"/>
  <c r="U8" i="6"/>
  <c r="U9" i="6"/>
  <c r="U10" i="6"/>
  <c r="U11" i="6"/>
  <c r="U12" i="6"/>
  <c r="U13" i="6"/>
  <c r="U14" i="6"/>
  <c r="U15" i="6"/>
  <c r="U16" i="6"/>
  <c r="U17" i="6"/>
  <c r="U18" i="6"/>
  <c r="U19" i="6"/>
  <c r="U2"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R308" i="6" s="1"/>
  <c r="Q303" i="6"/>
  <c r="Q304" i="6"/>
  <c r="Q305" i="6"/>
  <c r="Q306" i="6"/>
  <c r="Q307" i="6"/>
  <c r="Q308" i="6"/>
  <c r="Q309" i="6"/>
  <c r="Q310" i="6"/>
  <c r="Q311" i="6"/>
  <c r="Q312" i="6"/>
  <c r="Q313" i="6"/>
  <c r="Q314" i="6"/>
  <c r="R320" i="6" s="1"/>
  <c r="Q315" i="6"/>
  <c r="Q316" i="6"/>
  <c r="Q317" i="6"/>
  <c r="Q318" i="6"/>
  <c r="Q319" i="6"/>
  <c r="Q320" i="6"/>
  <c r="Q321" i="6"/>
  <c r="Q322" i="6"/>
  <c r="Q323" i="6"/>
  <c r="Q324" i="6"/>
  <c r="Q325" i="6"/>
  <c r="Q326" i="6"/>
  <c r="R332" i="6" s="1"/>
  <c r="Q327" i="6"/>
  <c r="Q328" i="6"/>
  <c r="Q329" i="6"/>
  <c r="Q330" i="6"/>
  <c r="Q331" i="6"/>
  <c r="Q332" i="6"/>
  <c r="Q333" i="6"/>
  <c r="Q334" i="6"/>
  <c r="Q335" i="6"/>
  <c r="Q336" i="6"/>
  <c r="Q337" i="6"/>
  <c r="Q338" i="6"/>
  <c r="R344" i="6" s="1"/>
  <c r="Q339" i="6"/>
  <c r="Q340" i="6"/>
  <c r="Q341" i="6"/>
  <c r="Q342" i="6"/>
  <c r="Q343" i="6"/>
  <c r="Q344" i="6"/>
  <c r="Q345" i="6"/>
  <c r="Q346" i="6"/>
  <c r="Q347" i="6"/>
  <c r="Q348" i="6"/>
  <c r="Q349" i="6"/>
  <c r="Q350" i="6"/>
  <c r="R356" i="6" s="1"/>
  <c r="Q351" i="6"/>
  <c r="Q352" i="6"/>
  <c r="Q353" i="6"/>
  <c r="Q354" i="6"/>
  <c r="Q355" i="6"/>
  <c r="Q356" i="6"/>
  <c r="Q357" i="6"/>
  <c r="Q358" i="6"/>
  <c r="Q359" i="6"/>
  <c r="Q360" i="6"/>
  <c r="Q361" i="6"/>
  <c r="Q362" i="6"/>
  <c r="R368" i="6" s="1"/>
  <c r="Q363" i="6"/>
  <c r="Q364" i="6"/>
  <c r="Q365" i="6"/>
  <c r="Q366" i="6"/>
  <c r="Q367" i="6"/>
  <c r="Q368" i="6"/>
  <c r="Q369" i="6"/>
  <c r="Q370" i="6"/>
  <c r="Q371" i="6"/>
  <c r="Q372" i="6"/>
  <c r="Q373" i="6"/>
  <c r="Q374" i="6"/>
  <c r="R380" i="6" s="1"/>
  <c r="Q375" i="6"/>
  <c r="Q376" i="6"/>
  <c r="Q377" i="6"/>
  <c r="Q378" i="6"/>
  <c r="Q379" i="6"/>
  <c r="Q380" i="6"/>
  <c r="Q381" i="6"/>
  <c r="Q382" i="6"/>
  <c r="Q383" i="6"/>
  <c r="Q384" i="6"/>
  <c r="Q385" i="6"/>
  <c r="Q386" i="6"/>
  <c r="R392" i="6" s="1"/>
  <c r="Q387" i="6"/>
  <c r="Q388" i="6"/>
  <c r="Q389" i="6"/>
  <c r="Q390" i="6"/>
  <c r="Q391" i="6"/>
  <c r="Q392" i="6"/>
  <c r="Q393" i="6"/>
  <c r="Q394" i="6"/>
  <c r="Q395" i="6"/>
  <c r="Q396" i="6"/>
  <c r="Q397" i="6"/>
  <c r="Q398" i="6"/>
  <c r="R404" i="6" s="1"/>
  <c r="Q399" i="6"/>
  <c r="Q400" i="6"/>
  <c r="Q401" i="6"/>
  <c r="Q402" i="6"/>
  <c r="Q403" i="6"/>
  <c r="Q404" i="6"/>
  <c r="Q405" i="6"/>
  <c r="Q406" i="6"/>
  <c r="Q407" i="6"/>
  <c r="Q408" i="6"/>
  <c r="Q409" i="6"/>
  <c r="Q410" i="6"/>
  <c r="R416" i="6" s="1"/>
  <c r="Q411" i="6"/>
  <c r="Q412" i="6"/>
  <c r="Q413" i="6"/>
  <c r="Q414" i="6"/>
  <c r="Q415" i="6"/>
  <c r="Q416" i="6"/>
  <c r="Q417" i="6"/>
  <c r="Q418" i="6"/>
  <c r="Q419" i="6"/>
  <c r="Q420" i="6"/>
  <c r="Q421" i="6"/>
  <c r="Q422" i="6"/>
  <c r="Q423" i="6"/>
  <c r="Q424" i="6"/>
  <c r="Q425" i="6"/>
  <c r="Q426" i="6"/>
  <c r="Q427" i="6"/>
  <c r="Q428" i="6"/>
  <c r="Q429" i="6"/>
  <c r="Q430" i="6"/>
  <c r="Q431" i="6"/>
  <c r="Q432" i="6"/>
  <c r="Q433" i="6"/>
  <c r="Q434" i="6"/>
  <c r="R440" i="6" s="1"/>
  <c r="Q435" i="6"/>
  <c r="Q436" i="6"/>
  <c r="Q437" i="6"/>
  <c r="Q438" i="6"/>
  <c r="Q439" i="6"/>
  <c r="Q440" i="6"/>
  <c r="Q441" i="6"/>
  <c r="Q442" i="6"/>
  <c r="Q443" i="6"/>
  <c r="Q444" i="6"/>
  <c r="Q445" i="6"/>
  <c r="Q446" i="6"/>
  <c r="R452" i="6" s="1"/>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R512" i="6" s="1"/>
  <c r="Q507" i="6"/>
  <c r="Q508" i="6"/>
  <c r="Q509" i="6"/>
  <c r="Q510" i="6"/>
  <c r="Q511" i="6"/>
  <c r="Q512" i="6"/>
  <c r="Q513" i="6"/>
  <c r="Q514" i="6"/>
  <c r="Q515" i="6"/>
  <c r="Q516" i="6"/>
  <c r="Q517" i="6"/>
  <c r="Q518" i="6"/>
  <c r="R524" i="6" s="1"/>
  <c r="Q519" i="6"/>
  <c r="Q520" i="6"/>
  <c r="Q521" i="6"/>
  <c r="Q522" i="6"/>
  <c r="Q523" i="6"/>
  <c r="Q524" i="6"/>
  <c r="Q525" i="6"/>
  <c r="Q526" i="6"/>
  <c r="Q527" i="6"/>
  <c r="Q528" i="6"/>
  <c r="Q529" i="6"/>
  <c r="Q530" i="6"/>
  <c r="R536" i="6" s="1"/>
  <c r="Q531" i="6"/>
  <c r="Q532" i="6"/>
  <c r="Q533" i="6"/>
  <c r="Q534" i="6"/>
  <c r="Q535" i="6"/>
  <c r="Q536" i="6"/>
  <c r="Q537" i="6"/>
  <c r="Q538" i="6"/>
  <c r="Q539" i="6"/>
  <c r="Q540" i="6"/>
  <c r="Q541" i="6"/>
  <c r="Q542" i="6"/>
  <c r="R548" i="6" s="1"/>
  <c r="Q543" i="6"/>
  <c r="Q544" i="6"/>
  <c r="Q545" i="6"/>
  <c r="Q546" i="6"/>
  <c r="Q547" i="6"/>
  <c r="Q548" i="6"/>
  <c r="Q549" i="6"/>
  <c r="Q550" i="6"/>
  <c r="Q551" i="6"/>
  <c r="Q552" i="6"/>
  <c r="Q553" i="6"/>
  <c r="Q554" i="6"/>
  <c r="R560" i="6" s="1"/>
  <c r="Q555" i="6"/>
  <c r="Q556" i="6"/>
  <c r="Q557" i="6"/>
  <c r="Q558" i="6"/>
  <c r="Q559" i="6"/>
  <c r="Q560" i="6"/>
  <c r="Q561" i="6"/>
  <c r="Q562" i="6"/>
  <c r="Q563" i="6"/>
  <c r="Q564" i="6"/>
  <c r="Q565" i="6"/>
  <c r="Q566" i="6"/>
  <c r="R572" i="6" s="1"/>
  <c r="Q567" i="6"/>
  <c r="Q568" i="6"/>
  <c r="Q569" i="6"/>
  <c r="Q570" i="6"/>
  <c r="Q571" i="6"/>
  <c r="Q572" i="6"/>
  <c r="Q573" i="6"/>
  <c r="Q574" i="6"/>
  <c r="Q575" i="6"/>
  <c r="Q576" i="6"/>
  <c r="Q577" i="6"/>
  <c r="Q578" i="6"/>
  <c r="R584" i="6" s="1"/>
  <c r="Q579" i="6"/>
  <c r="Q580" i="6"/>
  <c r="Q581" i="6"/>
  <c r="Q582" i="6"/>
  <c r="Q583" i="6"/>
  <c r="Q584" i="6"/>
  <c r="Q585" i="6"/>
  <c r="Q586" i="6"/>
  <c r="Q587" i="6"/>
  <c r="Q588" i="6"/>
  <c r="Q589" i="6"/>
  <c r="Q590" i="6"/>
  <c r="R596" i="6" s="1"/>
  <c r="Q591" i="6"/>
  <c r="Q592" i="6"/>
  <c r="Q593" i="6"/>
  <c r="Q594" i="6"/>
  <c r="Q595" i="6"/>
  <c r="Q596" i="6"/>
  <c r="Q597" i="6"/>
  <c r="Q598" i="6"/>
  <c r="Q599" i="6"/>
  <c r="Q600" i="6"/>
  <c r="Q601" i="6"/>
  <c r="Q602" i="6"/>
  <c r="R608" i="6" s="1"/>
  <c r="Q603" i="6"/>
  <c r="Q604" i="6"/>
  <c r="Q605" i="6"/>
  <c r="Q606" i="6"/>
  <c r="Q607" i="6"/>
  <c r="Q608" i="6"/>
  <c r="Q609" i="6"/>
  <c r="Q610" i="6"/>
  <c r="Q611" i="6"/>
  <c r="Q612" i="6"/>
  <c r="Q613" i="6"/>
  <c r="Q614" i="6"/>
  <c r="R620" i="6" s="1"/>
  <c r="Q615" i="6"/>
  <c r="Q616" i="6"/>
  <c r="Q617" i="6"/>
  <c r="Q618" i="6"/>
  <c r="Q619" i="6"/>
  <c r="Q620" i="6"/>
  <c r="Q621" i="6"/>
  <c r="Q622" i="6"/>
  <c r="Q623" i="6"/>
  <c r="Q624" i="6"/>
  <c r="Q625" i="6"/>
  <c r="Q626" i="6"/>
  <c r="R632" i="6" s="1"/>
  <c r="Q627" i="6"/>
  <c r="Q628" i="6"/>
  <c r="Q629" i="6"/>
  <c r="Q630" i="6"/>
  <c r="Q631" i="6"/>
  <c r="Q632" i="6"/>
  <c r="Q633" i="6"/>
  <c r="Q634" i="6"/>
  <c r="Q635" i="6"/>
  <c r="Q636" i="6"/>
  <c r="Q637" i="6"/>
  <c r="Q638" i="6"/>
  <c r="R644" i="6" s="1"/>
  <c r="Q639" i="6"/>
  <c r="Q640" i="6"/>
  <c r="Q641" i="6"/>
  <c r="Q642" i="6"/>
  <c r="Q643" i="6"/>
  <c r="Q644" i="6"/>
  <c r="Q645" i="6"/>
  <c r="Q646" i="6"/>
  <c r="Q647" i="6"/>
  <c r="Q648" i="6"/>
  <c r="Q649" i="6"/>
  <c r="Q650" i="6"/>
  <c r="R656" i="6" s="1"/>
  <c r="Q651" i="6"/>
  <c r="Q652" i="6"/>
  <c r="Q653" i="6"/>
  <c r="Q654" i="6"/>
  <c r="Q655" i="6"/>
  <c r="Q656" i="6"/>
  <c r="Q657" i="6"/>
  <c r="Q658" i="6"/>
  <c r="Q659" i="6"/>
  <c r="Q660" i="6"/>
  <c r="Q661" i="6"/>
  <c r="Q662" i="6"/>
  <c r="R668" i="6" s="1"/>
  <c r="Q663" i="6"/>
  <c r="Q664" i="6"/>
  <c r="Q665" i="6"/>
  <c r="Q666" i="6"/>
  <c r="Q667" i="6"/>
  <c r="Q668" i="6"/>
  <c r="Q669" i="6"/>
  <c r="Q670" i="6"/>
  <c r="Q671" i="6"/>
  <c r="Q672" i="6"/>
  <c r="Q673" i="6"/>
  <c r="Q674" i="6"/>
  <c r="R680" i="6" s="1"/>
  <c r="Q675" i="6"/>
  <c r="Q676" i="6"/>
  <c r="Q677" i="6"/>
  <c r="Q678" i="6"/>
  <c r="Q679" i="6"/>
  <c r="Q680" i="6"/>
  <c r="Q681" i="6"/>
  <c r="Q682" i="6"/>
  <c r="Q683" i="6"/>
  <c r="Q684" i="6"/>
  <c r="Q685" i="6"/>
  <c r="Q686" i="6"/>
  <c r="R692" i="6" s="1"/>
  <c r="Q687" i="6"/>
  <c r="Q688" i="6"/>
  <c r="Q689" i="6"/>
  <c r="Q690" i="6"/>
  <c r="Q691" i="6"/>
  <c r="Q692" i="6"/>
  <c r="Q693" i="6"/>
  <c r="Q694" i="6"/>
  <c r="Q695" i="6"/>
  <c r="Q696" i="6"/>
  <c r="Q697" i="6"/>
  <c r="Q698" i="6"/>
  <c r="R704" i="6" s="1"/>
  <c r="Q699" i="6"/>
  <c r="Q700" i="6"/>
  <c r="Q701" i="6"/>
  <c r="Q702" i="6"/>
  <c r="Q703" i="6"/>
  <c r="Q704" i="6"/>
  <c r="Q705" i="6"/>
  <c r="Q706" i="6"/>
  <c r="Q707" i="6"/>
  <c r="Q708" i="6"/>
  <c r="Q709" i="6"/>
  <c r="Q710" i="6"/>
  <c r="R716" i="6" s="1"/>
  <c r="Q711" i="6"/>
  <c r="Q712" i="6"/>
  <c r="Q713" i="6"/>
  <c r="Q714" i="6"/>
  <c r="Q715" i="6"/>
  <c r="Q716" i="6"/>
  <c r="Q717" i="6"/>
  <c r="Q718" i="6"/>
  <c r="Q719" i="6"/>
  <c r="Q720" i="6"/>
  <c r="Q721" i="6"/>
  <c r="Q722" i="6"/>
  <c r="R728" i="6" s="1"/>
  <c r="Q723" i="6"/>
  <c r="Q724" i="6"/>
  <c r="Q725" i="6"/>
  <c r="Q726" i="6"/>
  <c r="Q727" i="6"/>
  <c r="Q728" i="6"/>
  <c r="Q729" i="6"/>
  <c r="Q730" i="6"/>
  <c r="Q731" i="6"/>
  <c r="Q732" i="6"/>
  <c r="Q733" i="6"/>
  <c r="Q734" i="6"/>
  <c r="R740" i="6" s="1"/>
  <c r="Q735" i="6"/>
  <c r="Q736" i="6"/>
  <c r="Q737" i="6"/>
  <c r="Q738" i="6"/>
  <c r="Q739" i="6"/>
  <c r="Q740" i="6"/>
  <c r="Q741" i="6"/>
  <c r="Q742" i="6"/>
  <c r="Q743" i="6"/>
  <c r="Q744" i="6"/>
  <c r="Q745" i="6"/>
  <c r="Q746" i="6"/>
  <c r="Q747" i="6"/>
  <c r="Q8" i="6"/>
  <c r="O7"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K79" i="6" s="1"/>
  <c r="J76" i="6"/>
  <c r="J77" i="6"/>
  <c r="J78" i="6"/>
  <c r="J79" i="6"/>
  <c r="J80" i="6"/>
  <c r="J81" i="6"/>
  <c r="J82" i="6"/>
  <c r="J83" i="6"/>
  <c r="J84" i="6"/>
  <c r="J85" i="6"/>
  <c r="J86" i="6"/>
  <c r="J87" i="6"/>
  <c r="J88" i="6"/>
  <c r="J89" i="6"/>
  <c r="J90" i="6"/>
  <c r="J91" i="6"/>
  <c r="J92" i="6"/>
  <c r="J93" i="6"/>
  <c r="J94" i="6"/>
  <c r="J95" i="6"/>
  <c r="J96" i="6"/>
  <c r="J97" i="6"/>
  <c r="J98" i="6"/>
  <c r="J99" i="6"/>
  <c r="K103" i="6" s="1"/>
  <c r="J100" i="6"/>
  <c r="J101" i="6"/>
  <c r="J102" i="6"/>
  <c r="J103" i="6"/>
  <c r="J104" i="6"/>
  <c r="J105" i="6"/>
  <c r="J106" i="6"/>
  <c r="J107" i="6"/>
  <c r="J108" i="6"/>
  <c r="J109" i="6"/>
  <c r="J110" i="6"/>
  <c r="J111" i="6"/>
  <c r="J112" i="6"/>
  <c r="J113" i="6"/>
  <c r="J114" i="6"/>
  <c r="J115" i="6"/>
  <c r="J116" i="6"/>
  <c r="J117" i="6"/>
  <c r="J118" i="6"/>
  <c r="J119" i="6"/>
  <c r="J120" i="6"/>
  <c r="J121" i="6"/>
  <c r="J122" i="6"/>
  <c r="J123" i="6"/>
  <c r="K127" i="6" s="1"/>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K199" i="6" s="1"/>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K259" i="6" s="1"/>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K331" i="6" s="1"/>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K415" i="6" s="1"/>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6"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5" i="6"/>
  <c r="T3" i="6"/>
  <c r="T4" i="6"/>
  <c r="T5" i="6"/>
  <c r="T6" i="6"/>
  <c r="T2"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F471" i="6" l="1"/>
  <c r="F171" i="6"/>
  <c r="K232" i="6"/>
  <c r="K21" i="6"/>
  <c r="F666" i="6"/>
  <c r="F654" i="6"/>
  <c r="F642" i="6"/>
  <c r="F522" i="6"/>
  <c r="F510" i="6"/>
  <c r="F498" i="6"/>
  <c r="F414" i="6"/>
  <c r="F330" i="6"/>
  <c r="R415" i="6"/>
  <c r="R403" i="6"/>
  <c r="R379" i="6"/>
  <c r="R331" i="6"/>
  <c r="R319" i="6"/>
  <c r="R307" i="6"/>
  <c r="R295" i="6"/>
  <c r="R271" i="6"/>
  <c r="R259" i="6"/>
  <c r="R247" i="6"/>
  <c r="R235" i="6"/>
  <c r="R223" i="6"/>
  <c r="R211" i="6"/>
  <c r="R199" i="6"/>
  <c r="F697" i="6"/>
  <c r="F685" i="6"/>
  <c r="F673" i="6"/>
  <c r="F661" i="6"/>
  <c r="F649" i="6"/>
  <c r="F637" i="6"/>
  <c r="F625" i="6"/>
  <c r="F613" i="6"/>
  <c r="F589" i="6"/>
  <c r="F214" i="6"/>
  <c r="F561" i="6"/>
  <c r="F549" i="6"/>
  <c r="F537" i="6"/>
  <c r="F357" i="6"/>
  <c r="F297" i="6"/>
  <c r="F249" i="6"/>
  <c r="F213" i="6"/>
  <c r="F177" i="6"/>
  <c r="F9" i="6"/>
  <c r="F536" i="6"/>
  <c r="F356" i="6"/>
  <c r="G359" i="6" s="1"/>
  <c r="F653" i="6"/>
  <c r="R187" i="6"/>
  <c r="R175" i="6"/>
  <c r="R163" i="6"/>
  <c r="R151" i="6"/>
  <c r="R139" i="6"/>
  <c r="R127" i="6"/>
  <c r="R115" i="6"/>
  <c r="R103" i="6"/>
  <c r="R91" i="6"/>
  <c r="R79" i="6"/>
  <c r="R67" i="6"/>
  <c r="R55" i="6"/>
  <c r="R43" i="6"/>
  <c r="R31" i="6"/>
  <c r="R19" i="6"/>
  <c r="F742" i="6"/>
  <c r="F730" i="6"/>
  <c r="F718" i="6"/>
  <c r="F706" i="6"/>
  <c r="F694" i="6"/>
  <c r="F682" i="6"/>
  <c r="F658" i="6"/>
  <c r="F646" i="6"/>
  <c r="F634" i="6"/>
  <c r="F610" i="6"/>
  <c r="F598" i="6"/>
  <c r="F586" i="6"/>
  <c r="F574" i="6"/>
  <c r="F562" i="6"/>
  <c r="F550" i="6"/>
  <c r="F538" i="6"/>
  <c r="F514" i="6"/>
  <c r="F502" i="6"/>
  <c r="F490" i="6"/>
  <c r="F466" i="6"/>
  <c r="F454" i="6"/>
  <c r="F442" i="6"/>
  <c r="F429" i="6"/>
  <c r="F406" i="6"/>
  <c r="F382" i="6"/>
  <c r="F370" i="6"/>
  <c r="F358" i="6"/>
  <c r="F334" i="6"/>
  <c r="F310" i="6"/>
  <c r="F298" i="6"/>
  <c r="F286" i="6"/>
  <c r="F262" i="6"/>
  <c r="F250" i="6"/>
  <c r="G251" i="6" s="1"/>
  <c r="F238" i="6"/>
  <c r="F226" i="6"/>
  <c r="F202" i="6"/>
  <c r="F190" i="6"/>
  <c r="F178" i="6"/>
  <c r="F153" i="6"/>
  <c r="F142" i="6"/>
  <c r="F130" i="6"/>
  <c r="F118" i="6"/>
  <c r="F106" i="6"/>
  <c r="F94" i="6"/>
  <c r="F82" i="6"/>
  <c r="F70" i="6"/>
  <c r="F58" i="6"/>
  <c r="F46" i="6"/>
  <c r="F33" i="6"/>
  <c r="F631" i="6"/>
  <c r="F618" i="6"/>
  <c r="F548" i="6"/>
  <c r="F524" i="6"/>
  <c r="F487" i="6"/>
  <c r="F474" i="6"/>
  <c r="F428" i="6"/>
  <c r="F416" i="6"/>
  <c r="F390" i="6"/>
  <c r="F342" i="6"/>
  <c r="F296" i="6"/>
  <c r="F248" i="6"/>
  <c r="K699" i="6"/>
  <c r="K675" i="6"/>
  <c r="K639" i="6"/>
  <c r="K603" i="6"/>
  <c r="K567" i="6"/>
  <c r="K531" i="6"/>
  <c r="K457" i="6"/>
  <c r="K447" i="6"/>
  <c r="K435" i="6"/>
  <c r="K423" i="6"/>
  <c r="K411" i="6"/>
  <c r="K399" i="6"/>
  <c r="K387" i="6"/>
  <c r="K351" i="6"/>
  <c r="K339" i="6"/>
  <c r="K327" i="6"/>
  <c r="K315" i="6"/>
  <c r="K279" i="6"/>
  <c r="K267" i="6"/>
  <c r="K255" i="6"/>
  <c r="K243" i="6"/>
  <c r="K231" i="6"/>
  <c r="K207" i="6"/>
  <c r="K195" i="6"/>
  <c r="K183" i="6"/>
  <c r="K159" i="6"/>
  <c r="K147" i="6"/>
  <c r="K135" i="6"/>
  <c r="K123" i="6"/>
  <c r="K111" i="6"/>
  <c r="K99" i="6"/>
  <c r="K87" i="6"/>
  <c r="K75" i="6"/>
  <c r="K63" i="6"/>
  <c r="K51" i="6"/>
  <c r="K39" i="6"/>
  <c r="K27" i="6"/>
  <c r="K15" i="6"/>
  <c r="F8" i="6"/>
  <c r="F535" i="6"/>
  <c r="F523" i="6"/>
  <c r="F511" i="6"/>
  <c r="F415" i="6"/>
  <c r="F343" i="6"/>
  <c r="F283" i="6"/>
  <c r="K494" i="6"/>
  <c r="R214" i="6"/>
  <c r="R142" i="6"/>
  <c r="P737" i="6"/>
  <c r="P725" i="6"/>
  <c r="P713" i="6"/>
  <c r="P701" i="6"/>
  <c r="P689" i="6"/>
  <c r="P677" i="6"/>
  <c r="P665" i="6"/>
  <c r="P653" i="6"/>
  <c r="P641" i="6"/>
  <c r="P629" i="6"/>
  <c r="P617" i="6"/>
  <c r="P605" i="6"/>
  <c r="P593" i="6"/>
  <c r="P581" i="6"/>
  <c r="P569" i="6"/>
  <c r="P557" i="6"/>
  <c r="P545" i="6"/>
  <c r="P533" i="6"/>
  <c r="P521" i="6"/>
  <c r="P509" i="6"/>
  <c r="P497" i="6"/>
  <c r="P485" i="6"/>
  <c r="P473" i="6"/>
  <c r="P461" i="6"/>
  <c r="P449" i="6"/>
  <c r="P437" i="6"/>
  <c r="P425" i="6"/>
  <c r="P413" i="6"/>
  <c r="P401" i="6"/>
  <c r="P389" i="6"/>
  <c r="P377" i="6"/>
  <c r="P365" i="6"/>
  <c r="P353" i="6"/>
  <c r="P341" i="6"/>
  <c r="P329" i="6"/>
  <c r="P317" i="6"/>
  <c r="P305" i="6"/>
  <c r="P293" i="6"/>
  <c r="P281" i="6"/>
  <c r="P269" i="6"/>
  <c r="P257" i="6"/>
  <c r="P245" i="6"/>
  <c r="P233" i="6"/>
  <c r="P221" i="6"/>
  <c r="P209" i="6"/>
  <c r="P197" i="6"/>
  <c r="P185" i="6"/>
  <c r="P173" i="6"/>
  <c r="P161" i="6"/>
  <c r="P149" i="6"/>
  <c r="P137" i="6"/>
  <c r="P125" i="6"/>
  <c r="P113" i="6"/>
  <c r="P101" i="6"/>
  <c r="F641" i="6"/>
  <c r="F629" i="6"/>
  <c r="F557" i="6"/>
  <c r="F545" i="6"/>
  <c r="F533" i="6"/>
  <c r="F509" i="6"/>
  <c r="F497" i="6"/>
  <c r="F485" i="6"/>
  <c r="F473" i="6"/>
  <c r="F461" i="6"/>
  <c r="F449" i="6"/>
  <c r="F437" i="6"/>
  <c r="F425" i="6"/>
  <c r="F413" i="6"/>
  <c r="F401" i="6"/>
  <c r="F389" i="6"/>
  <c r="F377" i="6"/>
  <c r="F365" i="6"/>
  <c r="F353" i="6"/>
  <c r="F341" i="6"/>
  <c r="F329" i="6"/>
  <c r="F317" i="6"/>
  <c r="F305" i="6"/>
  <c r="F293" i="6"/>
  <c r="F281" i="6"/>
  <c r="F269" i="6"/>
  <c r="F257" i="6"/>
  <c r="F245" i="6"/>
  <c r="F233" i="6"/>
  <c r="F221" i="6"/>
  <c r="F209" i="6"/>
  <c r="F197" i="6"/>
  <c r="F185" i="6"/>
  <c r="F173" i="6"/>
  <c r="F161" i="6"/>
  <c r="F149" i="6"/>
  <c r="F137" i="6"/>
  <c r="F125" i="6"/>
  <c r="F113" i="6"/>
  <c r="F101" i="6"/>
  <c r="F89" i="6"/>
  <c r="F77" i="6"/>
  <c r="F65" i="6"/>
  <c r="F53" i="6"/>
  <c r="F41" i="6"/>
  <c r="F29" i="6"/>
  <c r="F17" i="6"/>
  <c r="K528" i="6"/>
  <c r="K61" i="6"/>
  <c r="F483" i="6"/>
  <c r="P85" i="6"/>
  <c r="P73" i="6"/>
  <c r="P61" i="6"/>
  <c r="P49" i="6"/>
  <c r="P37" i="6"/>
  <c r="P25" i="6"/>
  <c r="P13" i="6"/>
  <c r="F600" i="6"/>
  <c r="F553" i="6"/>
  <c r="F541" i="6"/>
  <c r="F529" i="6"/>
  <c r="F517" i="6"/>
  <c r="F505" i="6"/>
  <c r="F493" i="6"/>
  <c r="F481" i="6"/>
  <c r="F469" i="6"/>
  <c r="F421" i="6"/>
  <c r="F409" i="6"/>
  <c r="F397" i="6"/>
  <c r="F349" i="6"/>
  <c r="F337" i="6"/>
  <c r="F325" i="6"/>
  <c r="F289" i="6"/>
  <c r="F277" i="6"/>
  <c r="F263" i="6"/>
  <c r="F241" i="6"/>
  <c r="F229" i="6"/>
  <c r="F205" i="6"/>
  <c r="F181" i="6"/>
  <c r="F169" i="6"/>
  <c r="F145" i="6"/>
  <c r="F121" i="6"/>
  <c r="F97" i="6"/>
  <c r="F85" i="6"/>
  <c r="F73" i="6"/>
  <c r="F49" i="6"/>
  <c r="K10" i="6"/>
  <c r="K404" i="6"/>
  <c r="K152" i="6"/>
  <c r="K402" i="6"/>
  <c r="R653" i="6"/>
  <c r="R627" i="6"/>
  <c r="R617" i="6"/>
  <c r="R340" i="6"/>
  <c r="P747" i="6"/>
  <c r="P735" i="6"/>
  <c r="P723" i="6"/>
  <c r="P711" i="6"/>
  <c r="P699" i="6"/>
  <c r="P687" i="6"/>
  <c r="P675" i="6"/>
  <c r="P663" i="6"/>
  <c r="P651" i="6"/>
  <c r="P639" i="6"/>
  <c r="P627" i="6"/>
  <c r="P615" i="6"/>
  <c r="P603" i="6"/>
  <c r="P591" i="6"/>
  <c r="P579" i="6"/>
  <c r="P567" i="6"/>
  <c r="P555" i="6"/>
  <c r="P543" i="6"/>
  <c r="P531" i="6"/>
  <c r="P519" i="6"/>
  <c r="P507" i="6"/>
  <c r="P495" i="6"/>
  <c r="P483" i="6"/>
  <c r="P471" i="6"/>
  <c r="P459" i="6"/>
  <c r="P447" i="6"/>
  <c r="P435" i="6"/>
  <c r="P423" i="6"/>
  <c r="P411" i="6"/>
  <c r="P399" i="6"/>
  <c r="P387" i="6"/>
  <c r="P375" i="6"/>
  <c r="P363" i="6"/>
  <c r="P351" i="6"/>
  <c r="P339" i="6"/>
  <c r="P327" i="6"/>
  <c r="P315" i="6"/>
  <c r="P303" i="6"/>
  <c r="K455" i="6"/>
  <c r="P745" i="6"/>
  <c r="P733" i="6"/>
  <c r="P721" i="6"/>
  <c r="P709" i="6"/>
  <c r="P697" i="6"/>
  <c r="P685" i="6"/>
  <c r="P673" i="6"/>
  <c r="P661" i="6"/>
  <c r="P649" i="6"/>
  <c r="P637" i="6"/>
  <c r="P613" i="6"/>
  <c r="P589" i="6"/>
  <c r="P577" i="6"/>
  <c r="P565" i="6"/>
  <c r="P553" i="6"/>
  <c r="P541" i="6"/>
  <c r="P529" i="6"/>
  <c r="P517" i="6"/>
  <c r="P505" i="6"/>
  <c r="P493" i="6"/>
  <c r="P481" i="6"/>
  <c r="P469" i="6"/>
  <c r="P457" i="6"/>
  <c r="P445" i="6"/>
  <c r="P433" i="6"/>
  <c r="P421" i="6"/>
  <c r="P409" i="6"/>
  <c r="P397" i="6"/>
  <c r="P385" i="6"/>
  <c r="P373" i="6"/>
  <c r="P361" i="6"/>
  <c r="P349" i="6"/>
  <c r="P337" i="6"/>
  <c r="P325" i="6"/>
  <c r="P313" i="6"/>
  <c r="P301" i="6"/>
  <c r="P289" i="6"/>
  <c r="P277" i="6"/>
  <c r="P265" i="6"/>
  <c r="P253" i="6"/>
  <c r="P241" i="6"/>
  <c r="P229" i="6"/>
  <c r="P217" i="6"/>
  <c r="P205" i="6"/>
  <c r="P193" i="6"/>
  <c r="P181" i="6"/>
  <c r="P169" i="6"/>
  <c r="P157" i="6"/>
  <c r="P145" i="6"/>
  <c r="P133" i="6"/>
  <c r="P121" i="6"/>
  <c r="P109" i="6"/>
  <c r="P97" i="6"/>
  <c r="P601" i="6"/>
  <c r="P625" i="6"/>
  <c r="R283" i="6"/>
  <c r="R280" i="6"/>
  <c r="F741" i="6"/>
  <c r="F729" i="6"/>
  <c r="F717" i="6"/>
  <c r="G719" i="6" s="1"/>
  <c r="F693" i="6"/>
  <c r="F681" i="6"/>
  <c r="F740" i="6"/>
  <c r="F728" i="6"/>
  <c r="F716" i="6"/>
  <c r="F704" i="6"/>
  <c r="F692" i="6"/>
  <c r="F680" i="6"/>
  <c r="F668" i="6"/>
  <c r="F656" i="6"/>
  <c r="F705" i="6"/>
  <c r="F679" i="6"/>
  <c r="F667" i="6"/>
  <c r="F655" i="6"/>
  <c r="F24" i="6"/>
  <c r="F344" i="6"/>
  <c r="F670" i="6"/>
  <c r="F622" i="6"/>
  <c r="F526" i="6"/>
  <c r="F478" i="6"/>
  <c r="F418" i="6"/>
  <c r="F394" i="6"/>
  <c r="F346" i="6"/>
  <c r="F322" i="6"/>
  <c r="F274" i="6"/>
  <c r="F166" i="6"/>
  <c r="F430" i="6"/>
  <c r="K346" i="6"/>
  <c r="K94" i="6"/>
  <c r="K70" i="6"/>
  <c r="K741" i="6"/>
  <c r="K729" i="6"/>
  <c r="K717" i="6"/>
  <c r="K705" i="6"/>
  <c r="K693" i="6"/>
  <c r="K681" i="6"/>
  <c r="K669" i="6"/>
  <c r="K657" i="6"/>
  <c r="K645" i="6"/>
  <c r="K633" i="6"/>
  <c r="K621" i="6"/>
  <c r="K609" i="6"/>
  <c r="K597" i="6"/>
  <c r="K585" i="6"/>
  <c r="K573" i="6"/>
  <c r="K561" i="6"/>
  <c r="K549" i="6"/>
  <c r="K537" i="6"/>
  <c r="K525" i="6"/>
  <c r="K513" i="6"/>
  <c r="K501" i="6"/>
  <c r="K489" i="6"/>
  <c r="K477" i="6"/>
  <c r="K465" i="6"/>
  <c r="K453" i="6"/>
  <c r="K441" i="6"/>
  <c r="K429" i="6"/>
  <c r="K417" i="6"/>
  <c r="K405" i="6"/>
  <c r="K393" i="6"/>
  <c r="K381" i="6"/>
  <c r="K369" i="6"/>
  <c r="K357" i="6"/>
  <c r="K345" i="6"/>
  <c r="K333" i="6"/>
  <c r="K321" i="6"/>
  <c r="K309" i="6"/>
  <c r="K297" i="6"/>
  <c r="K285" i="6"/>
  <c r="K273" i="6"/>
  <c r="K261" i="6"/>
  <c r="K249" i="6"/>
  <c r="K237" i="6"/>
  <c r="K225" i="6"/>
  <c r="K213" i="6"/>
  <c r="K201" i="6"/>
  <c r="K189" i="6"/>
  <c r="K177" i="6"/>
  <c r="K165" i="6"/>
  <c r="K153" i="6"/>
  <c r="K141" i="6"/>
  <c r="K129" i="6"/>
  <c r="K117" i="6"/>
  <c r="K105" i="6"/>
  <c r="K93" i="6"/>
  <c r="K81" i="6"/>
  <c r="K69" i="6"/>
  <c r="K57" i="6"/>
  <c r="K45" i="6"/>
  <c r="K33" i="6"/>
  <c r="R136" i="6"/>
  <c r="F669" i="6"/>
  <c r="F657" i="6"/>
  <c r="F645" i="6"/>
  <c r="F633" i="6"/>
  <c r="F621" i="6"/>
  <c r="F609" i="6"/>
  <c r="F597" i="6"/>
  <c r="F585" i="6"/>
  <c r="F573" i="6"/>
  <c r="F525" i="6"/>
  <c r="F513" i="6"/>
  <c r="F501" i="6"/>
  <c r="F489" i="6"/>
  <c r="F477" i="6"/>
  <c r="F465" i="6"/>
  <c r="F453" i="6"/>
  <c r="F441" i="6"/>
  <c r="F417" i="6"/>
  <c r="F405" i="6"/>
  <c r="F393" i="6"/>
  <c r="F381" i="6"/>
  <c r="F369" i="6"/>
  <c r="F345" i="6"/>
  <c r="F333" i="6"/>
  <c r="F321" i="6"/>
  <c r="F309" i="6"/>
  <c r="F285" i="6"/>
  <c r="F273" i="6"/>
  <c r="F261" i="6"/>
  <c r="F237" i="6"/>
  <c r="F225" i="6"/>
  <c r="F201" i="6"/>
  <c r="F189" i="6"/>
  <c r="F165" i="6"/>
  <c r="F141" i="6"/>
  <c r="F129" i="6"/>
  <c r="F117" i="6"/>
  <c r="F105" i="6"/>
  <c r="F93" i="6"/>
  <c r="F81" i="6"/>
  <c r="F69" i="6"/>
  <c r="F57" i="6"/>
  <c r="F45" i="6"/>
  <c r="F21" i="6"/>
  <c r="F154" i="6"/>
  <c r="K428" i="6"/>
  <c r="K416" i="6"/>
  <c r="K344" i="6"/>
  <c r="K332" i="6"/>
  <c r="K272" i="6"/>
  <c r="K260" i="6"/>
  <c r="K200" i="6"/>
  <c r="K188" i="6"/>
  <c r="K176" i="6"/>
  <c r="K164" i="6"/>
  <c r="K140" i="6"/>
  <c r="K128" i="6"/>
  <c r="K116" i="6"/>
  <c r="K104" i="6"/>
  <c r="K92" i="6"/>
  <c r="K80" i="6"/>
  <c r="K68" i="6"/>
  <c r="K56" i="6"/>
  <c r="K44" i="6"/>
  <c r="K32" i="6"/>
  <c r="K20" i="6"/>
  <c r="F644" i="6"/>
  <c r="F608" i="6"/>
  <c r="F596" i="6"/>
  <c r="F584" i="6"/>
  <c r="F572" i="6"/>
  <c r="F560" i="6"/>
  <c r="F512" i="6"/>
  <c r="F500" i="6"/>
  <c r="F464" i="6"/>
  <c r="F452" i="6"/>
  <c r="F440" i="6"/>
  <c r="F404" i="6"/>
  <c r="F380" i="6"/>
  <c r="F368" i="6"/>
  <c r="F332" i="6"/>
  <c r="F320" i="6"/>
  <c r="F308" i="6"/>
  <c r="F284" i="6"/>
  <c r="F272" i="6"/>
  <c r="F260" i="6"/>
  <c r="R278" i="6"/>
  <c r="R242" i="6"/>
  <c r="R206" i="6"/>
  <c r="R170" i="6"/>
  <c r="R134" i="6"/>
  <c r="R74" i="6"/>
  <c r="R62" i="6"/>
  <c r="F739" i="6"/>
  <c r="F727" i="6"/>
  <c r="F715" i="6"/>
  <c r="F703" i="6"/>
  <c r="F691" i="6"/>
  <c r="F643" i="6"/>
  <c r="F619" i="6"/>
  <c r="F607" i="6"/>
  <c r="F595" i="6"/>
  <c r="F583" i="6"/>
  <c r="F570" i="6"/>
  <c r="F559" i="6"/>
  <c r="F547" i="6"/>
  <c r="G550" i="6" s="1"/>
  <c r="F499" i="6"/>
  <c r="F475" i="6"/>
  <c r="F463" i="6"/>
  <c r="F451" i="6"/>
  <c r="F438" i="6"/>
  <c r="F427" i="6"/>
  <c r="F403" i="6"/>
  <c r="F391" i="6"/>
  <c r="F379" i="6"/>
  <c r="F366" i="6"/>
  <c r="F355" i="6"/>
  <c r="F331" i="6"/>
  <c r="F319" i="6"/>
  <c r="F307" i="6"/>
  <c r="F295" i="6"/>
  <c r="G298" i="6" s="1"/>
  <c r="F271" i="6"/>
  <c r="F259" i="6"/>
  <c r="F247" i="6"/>
  <c r="G250" i="6" s="1"/>
  <c r="F235" i="6"/>
  <c r="F223" i="6"/>
  <c r="F211" i="6"/>
  <c r="K388" i="6"/>
  <c r="K376" i="6"/>
  <c r="K330" i="6"/>
  <c r="K316" i="6"/>
  <c r="K304" i="6"/>
  <c r="K258" i="6"/>
  <c r="K245" i="6"/>
  <c r="K234" i="6"/>
  <c r="K222" i="6"/>
  <c r="K210" i="6"/>
  <c r="K198" i="6"/>
  <c r="K185" i="6"/>
  <c r="K174" i="6"/>
  <c r="K162" i="6"/>
  <c r="K150" i="6"/>
  <c r="K138" i="6"/>
  <c r="K126" i="6"/>
  <c r="K114" i="6"/>
  <c r="K102" i="6"/>
  <c r="K90" i="6"/>
  <c r="K78" i="6"/>
  <c r="K66" i="6"/>
  <c r="K54" i="6"/>
  <c r="K42" i="6"/>
  <c r="K28" i="6"/>
  <c r="K18" i="6"/>
  <c r="F738" i="6"/>
  <c r="F726" i="6"/>
  <c r="F714" i="6"/>
  <c r="F702" i="6"/>
  <c r="F690" i="6"/>
  <c r="F678" i="6"/>
  <c r="F630" i="6"/>
  <c r="F606" i="6"/>
  <c r="G608" i="6" s="1"/>
  <c r="F594" i="6"/>
  <c r="G597" i="6" s="1"/>
  <c r="F582" i="6"/>
  <c r="F558" i="6"/>
  <c r="F546" i="6"/>
  <c r="F534" i="6"/>
  <c r="F486" i="6"/>
  <c r="G488" i="6" s="1"/>
  <c r="F462" i="6"/>
  <c r="F450" i="6"/>
  <c r="F426" i="6"/>
  <c r="F378" i="6"/>
  <c r="F354" i="6"/>
  <c r="P89" i="6"/>
  <c r="P77" i="6"/>
  <c r="P65" i="6"/>
  <c r="P53" i="6"/>
  <c r="P41" i="6"/>
  <c r="P29" i="6"/>
  <c r="P17" i="6"/>
  <c r="F737" i="6"/>
  <c r="F725" i="6"/>
  <c r="F713" i="6"/>
  <c r="F701" i="6"/>
  <c r="F689" i="6"/>
  <c r="F677" i="6"/>
  <c r="F665" i="6"/>
  <c r="F617" i="6"/>
  <c r="F605" i="6"/>
  <c r="F593" i="6"/>
  <c r="F581" i="6"/>
  <c r="F569" i="6"/>
  <c r="F521" i="6"/>
  <c r="G524" i="6" s="1"/>
  <c r="F402" i="6"/>
  <c r="K736" i="6"/>
  <c r="K724" i="6"/>
  <c r="K712" i="6"/>
  <c r="K700" i="6"/>
  <c r="K688" i="6"/>
  <c r="K676" i="6"/>
  <c r="K664" i="6"/>
  <c r="K652" i="6"/>
  <c r="K640" i="6"/>
  <c r="K628" i="6"/>
  <c r="K616" i="6"/>
  <c r="K604" i="6"/>
  <c r="K592" i="6"/>
  <c r="K580" i="6"/>
  <c r="K568" i="6"/>
  <c r="K556" i="6"/>
  <c r="K544" i="6"/>
  <c r="K532" i="6"/>
  <c r="K520" i="6"/>
  <c r="K508" i="6"/>
  <c r="K496" i="6"/>
  <c r="K484" i="6"/>
  <c r="K472" i="6"/>
  <c r="K460" i="6"/>
  <c r="K448" i="6"/>
  <c r="K436" i="6"/>
  <c r="K424" i="6"/>
  <c r="K412" i="6"/>
  <c r="K400" i="6"/>
  <c r="K364" i="6"/>
  <c r="K352" i="6"/>
  <c r="K340" i="6"/>
  <c r="K328" i="6"/>
  <c r="K292" i="6"/>
  <c r="K280" i="6"/>
  <c r="K268" i="6"/>
  <c r="K256" i="6"/>
  <c r="K220" i="6"/>
  <c r="K208" i="6"/>
  <c r="K196" i="6"/>
  <c r="K172" i="6"/>
  <c r="K160" i="6"/>
  <c r="K148" i="6"/>
  <c r="K136" i="6"/>
  <c r="K124" i="6"/>
  <c r="K112" i="6"/>
  <c r="K100" i="6"/>
  <c r="K88" i="6"/>
  <c r="K76" i="6"/>
  <c r="K64" i="6"/>
  <c r="K52" i="6"/>
  <c r="K40" i="6"/>
  <c r="K16" i="6"/>
  <c r="F736" i="6"/>
  <c r="F724" i="6"/>
  <c r="F712" i="6"/>
  <c r="K492" i="6"/>
  <c r="K168" i="6"/>
  <c r="R14" i="6"/>
  <c r="R742" i="6"/>
  <c r="R730" i="6"/>
  <c r="R718" i="6"/>
  <c r="R706" i="6"/>
  <c r="R694" i="6"/>
  <c r="R682" i="6"/>
  <c r="R670" i="6"/>
  <c r="R658" i="6"/>
  <c r="R646" i="6"/>
  <c r="R634" i="6"/>
  <c r="R622" i="6"/>
  <c r="R610" i="6"/>
  <c r="R598" i="6"/>
  <c r="R586" i="6"/>
  <c r="R574" i="6"/>
  <c r="R562" i="6"/>
  <c r="R550" i="6"/>
  <c r="R538" i="6"/>
  <c r="R526" i="6"/>
  <c r="R514" i="6"/>
  <c r="R502" i="6"/>
  <c r="R250" i="6"/>
  <c r="P291" i="6"/>
  <c r="P279" i="6"/>
  <c r="P267" i="6"/>
  <c r="P255" i="6"/>
  <c r="P243" i="6"/>
  <c r="P231" i="6"/>
  <c r="P219" i="6"/>
  <c r="P207" i="6"/>
  <c r="P195" i="6"/>
  <c r="P183" i="6"/>
  <c r="P171" i="6"/>
  <c r="P159" i="6"/>
  <c r="P147" i="6"/>
  <c r="P135" i="6"/>
  <c r="P123" i="6"/>
  <c r="P111" i="6"/>
  <c r="P99" i="6"/>
  <c r="P87" i="6"/>
  <c r="P75" i="6"/>
  <c r="P63" i="6"/>
  <c r="P51" i="6"/>
  <c r="P39" i="6"/>
  <c r="P27" i="6"/>
  <c r="P15" i="6"/>
  <c r="F747" i="6"/>
  <c r="F735" i="6"/>
  <c r="F723" i="6"/>
  <c r="F711" i="6"/>
  <c r="F699" i="6"/>
  <c r="F687" i="6"/>
  <c r="F675" i="6"/>
  <c r="F663" i="6"/>
  <c r="F651" i="6"/>
  <c r="F639" i="6"/>
  <c r="F627" i="6"/>
  <c r="F615" i="6"/>
  <c r="F603" i="6"/>
  <c r="F591" i="6"/>
  <c r="F579" i="6"/>
  <c r="F567" i="6"/>
  <c r="F555" i="6"/>
  <c r="F543" i="6"/>
  <c r="F531" i="6"/>
  <c r="F519" i="6"/>
  <c r="F507" i="6"/>
  <c r="F495" i="6"/>
  <c r="F459" i="6"/>
  <c r="F447" i="6"/>
  <c r="F435" i="6"/>
  <c r="F423" i="6"/>
  <c r="F411" i="6"/>
  <c r="F399" i="6"/>
  <c r="F387" i="6"/>
  <c r="F375" i="6"/>
  <c r="F363" i="6"/>
  <c r="F351" i="6"/>
  <c r="F339" i="6"/>
  <c r="F327" i="6"/>
  <c r="F315" i="6"/>
  <c r="F303" i="6"/>
  <c r="F291" i="6"/>
  <c r="F279" i="6"/>
  <c r="F267" i="6"/>
  <c r="F255" i="6"/>
  <c r="F243" i="6"/>
  <c r="F231" i="6"/>
  <c r="F219" i="6"/>
  <c r="F207" i="6"/>
  <c r="F195" i="6"/>
  <c r="F183" i="6"/>
  <c r="F159" i="6"/>
  <c r="F147" i="6"/>
  <c r="F135" i="6"/>
  <c r="F123" i="6"/>
  <c r="F111" i="6"/>
  <c r="F99" i="6"/>
  <c r="F87" i="6"/>
  <c r="F75" i="6"/>
  <c r="F63" i="6"/>
  <c r="F51" i="6"/>
  <c r="F39" i="6"/>
  <c r="F27" i="6"/>
  <c r="F15" i="6"/>
  <c r="F34" i="6"/>
  <c r="K230" i="6"/>
  <c r="K50" i="6"/>
  <c r="K38" i="6"/>
  <c r="K26" i="6"/>
  <c r="K14" i="6"/>
  <c r="R741" i="6"/>
  <c r="R729" i="6"/>
  <c r="R717" i="6"/>
  <c r="F614" i="6"/>
  <c r="F602" i="6"/>
  <c r="F470" i="6"/>
  <c r="G472" i="6" s="1"/>
  <c r="F458" i="6"/>
  <c r="F386" i="6"/>
  <c r="F230" i="6"/>
  <c r="F194" i="6"/>
  <c r="K130" i="6"/>
  <c r="L131" i="6" s="1"/>
  <c r="K106" i="6"/>
  <c r="K82" i="6"/>
  <c r="R500" i="6"/>
  <c r="R488" i="6"/>
  <c r="R476" i="6"/>
  <c r="R464" i="6"/>
  <c r="R428" i="6"/>
  <c r="R316" i="6"/>
  <c r="R304" i="6"/>
  <c r="R244" i="6"/>
  <c r="R208" i="6"/>
  <c r="R172" i="6"/>
  <c r="R64" i="6"/>
  <c r="R735" i="6"/>
  <c r="R699" i="6"/>
  <c r="R663" i="6"/>
  <c r="R315" i="6"/>
  <c r="R303" i="6"/>
  <c r="R286" i="6"/>
  <c r="R178" i="6"/>
  <c r="R490" i="6"/>
  <c r="R478" i="6"/>
  <c r="R466" i="6"/>
  <c r="R454" i="6"/>
  <c r="R442" i="6"/>
  <c r="R430" i="6"/>
  <c r="R418" i="6"/>
  <c r="R406" i="6"/>
  <c r="R394" i="6"/>
  <c r="R382" i="6"/>
  <c r="R370" i="6"/>
  <c r="R358" i="6"/>
  <c r="R346" i="6"/>
  <c r="R334" i="6"/>
  <c r="R322" i="6"/>
  <c r="R310" i="6"/>
  <c r="R298" i="6"/>
  <c r="R274" i="6"/>
  <c r="R262" i="6"/>
  <c r="R238" i="6"/>
  <c r="R226" i="6"/>
  <c r="R202" i="6"/>
  <c r="R190" i="6"/>
  <c r="R166" i="6"/>
  <c r="R154" i="6"/>
  <c r="R705" i="6"/>
  <c r="R693" i="6"/>
  <c r="R681" i="6"/>
  <c r="R357" i="6"/>
  <c r="R345" i="6"/>
  <c r="R333" i="6"/>
  <c r="R321" i="6"/>
  <c r="R309" i="6"/>
  <c r="R297" i="6"/>
  <c r="R285" i="6"/>
  <c r="R273" i="6"/>
  <c r="R261" i="6"/>
  <c r="R249" i="6"/>
  <c r="F601" i="6"/>
  <c r="F265" i="6"/>
  <c r="P746" i="6"/>
  <c r="P734" i="6"/>
  <c r="P722" i="6"/>
  <c r="P710" i="6"/>
  <c r="P698" i="6"/>
  <c r="P686" i="6"/>
  <c r="P674" i="6"/>
  <c r="P662" i="6"/>
  <c r="P650" i="6"/>
  <c r="P638" i="6"/>
  <c r="P626" i="6"/>
  <c r="P614" i="6"/>
  <c r="P602" i="6"/>
  <c r="P590" i="6"/>
  <c r="P578" i="6"/>
  <c r="P566" i="6"/>
  <c r="P554" i="6"/>
  <c r="P542" i="6"/>
  <c r="P530" i="6"/>
  <c r="P518" i="6"/>
  <c r="P506" i="6"/>
  <c r="P494" i="6"/>
  <c r="P482" i="6"/>
  <c r="P470" i="6"/>
  <c r="P458" i="6"/>
  <c r="P446" i="6"/>
  <c r="P434" i="6"/>
  <c r="P422" i="6"/>
  <c r="P410" i="6"/>
  <c r="P398" i="6"/>
  <c r="P386" i="6"/>
  <c r="P374" i="6"/>
  <c r="P362" i="6"/>
  <c r="P350" i="6"/>
  <c r="P338" i="6"/>
  <c r="P326" i="6"/>
  <c r="P314" i="6"/>
  <c r="P302" i="6"/>
  <c r="P290" i="6"/>
  <c r="P278" i="6"/>
  <c r="P266" i="6"/>
  <c r="P254" i="6"/>
  <c r="P242" i="6"/>
  <c r="P230" i="6"/>
  <c r="P218" i="6"/>
  <c r="P206" i="6"/>
  <c r="P194" i="6"/>
  <c r="P182" i="6"/>
  <c r="P170" i="6"/>
  <c r="F264" i="6"/>
  <c r="F84" i="6"/>
  <c r="F745" i="6"/>
  <c r="F743" i="6"/>
  <c r="F733" i="6"/>
  <c r="F731" i="6"/>
  <c r="F721" i="6"/>
  <c r="F719" i="6"/>
  <c r="F709" i="6"/>
  <c r="F707" i="6"/>
  <c r="F587" i="6"/>
  <c r="G588" i="6" s="1"/>
  <c r="F588" i="6"/>
  <c r="F577" i="6"/>
  <c r="F575" i="6"/>
  <c r="F576" i="6"/>
  <c r="F565" i="6"/>
  <c r="F563" i="6"/>
  <c r="F456" i="6"/>
  <c r="F457" i="6"/>
  <c r="F445" i="6"/>
  <c r="F443" i="6"/>
  <c r="F444" i="6"/>
  <c r="F432" i="6"/>
  <c r="F433" i="6"/>
  <c r="F384" i="6"/>
  <c r="F385" i="6"/>
  <c r="F373" i="6"/>
  <c r="F371" i="6"/>
  <c r="G372" i="6" s="1"/>
  <c r="F372" i="6"/>
  <c r="F360" i="6"/>
  <c r="F361" i="6"/>
  <c r="F311" i="6"/>
  <c r="G312" i="6" s="1"/>
  <c r="F312" i="6"/>
  <c r="F313" i="6"/>
  <c r="F300" i="6"/>
  <c r="F301" i="6"/>
  <c r="F252" i="6"/>
  <c r="F253" i="6"/>
  <c r="F217" i="6"/>
  <c r="F215" i="6"/>
  <c r="F192" i="6"/>
  <c r="F193" i="6"/>
  <c r="F157" i="6"/>
  <c r="F155" i="6"/>
  <c r="F132" i="6"/>
  <c r="F133" i="6"/>
  <c r="F108" i="6"/>
  <c r="F109" i="6"/>
  <c r="F60" i="6"/>
  <c r="F61" i="6"/>
  <c r="F37" i="6"/>
  <c r="F36" i="6"/>
  <c r="F744" i="6"/>
  <c r="F732" i="6"/>
  <c r="F720" i="6"/>
  <c r="F708" i="6"/>
  <c r="F696" i="6"/>
  <c r="F684" i="6"/>
  <c r="F672" i="6"/>
  <c r="F660" i="6"/>
  <c r="F648" i="6"/>
  <c r="F636" i="6"/>
  <c r="F624" i="6"/>
  <c r="F612" i="6"/>
  <c r="G615" i="6" s="1"/>
  <c r="F564" i="6"/>
  <c r="F552" i="6"/>
  <c r="F540" i="6"/>
  <c r="F528" i="6"/>
  <c r="F516" i="6"/>
  <c r="F504" i="6"/>
  <c r="F492" i="6"/>
  <c r="F480" i="6"/>
  <c r="F468" i="6"/>
  <c r="F420" i="6"/>
  <c r="F408" i="6"/>
  <c r="F396" i="6"/>
  <c r="F348" i="6"/>
  <c r="F336" i="6"/>
  <c r="F324" i="6"/>
  <c r="F288" i="6"/>
  <c r="F276" i="6"/>
  <c r="F240" i="6"/>
  <c r="F228" i="6"/>
  <c r="F216" i="6"/>
  <c r="F204" i="6"/>
  <c r="F180" i="6"/>
  <c r="F168" i="6"/>
  <c r="F156" i="6"/>
  <c r="F144" i="6"/>
  <c r="F120" i="6"/>
  <c r="F96" i="6"/>
  <c r="F72" i="6"/>
  <c r="F48" i="6"/>
  <c r="G539" i="6"/>
  <c r="P158" i="6"/>
  <c r="P146" i="6"/>
  <c r="P134" i="6"/>
  <c r="P122" i="6"/>
  <c r="P110" i="6"/>
  <c r="P98" i="6"/>
  <c r="P86" i="6"/>
  <c r="P74" i="6"/>
  <c r="P62" i="6"/>
  <c r="P50" i="6"/>
  <c r="P38" i="6"/>
  <c r="P26" i="6"/>
  <c r="P14" i="6"/>
  <c r="F746" i="6"/>
  <c r="F734" i="6"/>
  <c r="F722" i="6"/>
  <c r="G725" i="6" s="1"/>
  <c r="F710" i="6"/>
  <c r="G713" i="6" s="1"/>
  <c r="F698" i="6"/>
  <c r="F686" i="6"/>
  <c r="F674" i="6"/>
  <c r="F662" i="6"/>
  <c r="F650" i="6"/>
  <c r="F638" i="6"/>
  <c r="F626" i="6"/>
  <c r="F590" i="6"/>
  <c r="F578" i="6"/>
  <c r="F566" i="6"/>
  <c r="F554" i="6"/>
  <c r="G556" i="6" s="1"/>
  <c r="F542" i="6"/>
  <c r="F530" i="6"/>
  <c r="F518" i="6"/>
  <c r="F506" i="6"/>
  <c r="F494" i="6"/>
  <c r="F482" i="6"/>
  <c r="F446" i="6"/>
  <c r="F434" i="6"/>
  <c r="F422" i="6"/>
  <c r="F410" i="6"/>
  <c r="F398" i="6"/>
  <c r="F374" i="6"/>
  <c r="F362" i="6"/>
  <c r="F350" i="6"/>
  <c r="F338" i="6"/>
  <c r="F326" i="6"/>
  <c r="G328" i="6" s="1"/>
  <c r="F314" i="6"/>
  <c r="F302" i="6"/>
  <c r="F290" i="6"/>
  <c r="F278" i="6"/>
  <c r="F266" i="6"/>
  <c r="F254" i="6"/>
  <c r="F242" i="6"/>
  <c r="F218" i="6"/>
  <c r="F206" i="6"/>
  <c r="F182" i="6"/>
  <c r="G184" i="6" s="1"/>
  <c r="F170" i="6"/>
  <c r="G172" i="6" s="1"/>
  <c r="F158" i="6"/>
  <c r="F146" i="6"/>
  <c r="G148" i="6" s="1"/>
  <c r="F134" i="6"/>
  <c r="F122" i="6"/>
  <c r="F110" i="6"/>
  <c r="F98" i="6"/>
  <c r="F86" i="6"/>
  <c r="G88" i="6" s="1"/>
  <c r="F74" i="6"/>
  <c r="F62" i="6"/>
  <c r="F50" i="6"/>
  <c r="F38" i="6"/>
  <c r="F26" i="6"/>
  <c r="F14" i="6"/>
  <c r="G671" i="6"/>
  <c r="G551" i="6"/>
  <c r="F695" i="6"/>
  <c r="G698" i="6" s="1"/>
  <c r="F683" i="6"/>
  <c r="F659" i="6"/>
  <c r="F647" i="6"/>
  <c r="F635" i="6"/>
  <c r="F611" i="6"/>
  <c r="F599" i="6"/>
  <c r="G602" i="6" s="1"/>
  <c r="F551" i="6"/>
  <c r="F539" i="6"/>
  <c r="G540" i="6" s="1"/>
  <c r="F515" i="6"/>
  <c r="F503" i="6"/>
  <c r="G504" i="6" s="1"/>
  <c r="F491" i="6"/>
  <c r="F467" i="6"/>
  <c r="F455" i="6"/>
  <c r="G458" i="6" s="1"/>
  <c r="F431" i="6"/>
  <c r="G433" i="6" s="1"/>
  <c r="F407" i="6"/>
  <c r="F383" i="6"/>
  <c r="F359" i="6"/>
  <c r="G361" i="6" s="1"/>
  <c r="F335" i="6"/>
  <c r="F299" i="6"/>
  <c r="G300" i="6" s="1"/>
  <c r="F287" i="6"/>
  <c r="F251" i="6"/>
  <c r="F239" i="6"/>
  <c r="F227" i="6"/>
  <c r="F203" i="6"/>
  <c r="F191" i="6"/>
  <c r="F179" i="6"/>
  <c r="F143" i="6"/>
  <c r="G146" i="6" s="1"/>
  <c r="G538" i="6"/>
  <c r="G589" i="6"/>
  <c r="G709" i="6"/>
  <c r="G657" i="6"/>
  <c r="G527" i="6"/>
  <c r="G526" i="6"/>
  <c r="G587" i="6"/>
  <c r="G575" i="6"/>
  <c r="G503" i="6"/>
  <c r="G383" i="6"/>
  <c r="G371" i="6"/>
  <c r="G335" i="6"/>
  <c r="G311" i="6"/>
  <c r="G645" i="6"/>
  <c r="G586" i="6"/>
  <c r="G502" i="6"/>
  <c r="G382" i="6"/>
  <c r="G334" i="6"/>
  <c r="G322" i="6"/>
  <c r="G741" i="6"/>
  <c r="G729" i="6"/>
  <c r="G705" i="6"/>
  <c r="G693" i="6"/>
  <c r="G585" i="6"/>
  <c r="G561" i="6"/>
  <c r="G549" i="6"/>
  <c r="G537" i="6"/>
  <c r="G381" i="6"/>
  <c r="G565" i="6"/>
  <c r="G513" i="6"/>
  <c r="G728" i="6"/>
  <c r="G704" i="6"/>
  <c r="G584" i="6"/>
  <c r="G536" i="6"/>
  <c r="G452" i="6"/>
  <c r="G512" i="6"/>
  <c r="G727" i="6"/>
  <c r="G501" i="6"/>
  <c r="G299" i="6"/>
  <c r="G500" i="6"/>
  <c r="F25" i="6"/>
  <c r="G27" i="6" s="1"/>
  <c r="P744" i="6"/>
  <c r="P732" i="6"/>
  <c r="P720" i="6"/>
  <c r="P708" i="6"/>
  <c r="P696" i="6"/>
  <c r="P684" i="6"/>
  <c r="P672" i="6"/>
  <c r="P660" i="6"/>
  <c r="P648" i="6"/>
  <c r="P636" i="6"/>
  <c r="P624" i="6"/>
  <c r="P612" i="6"/>
  <c r="P600" i="6"/>
  <c r="P588" i="6"/>
  <c r="P576" i="6"/>
  <c r="P564" i="6"/>
  <c r="P552" i="6"/>
  <c r="P540" i="6"/>
  <c r="P528" i="6"/>
  <c r="P516" i="6"/>
  <c r="P504" i="6"/>
  <c r="P492" i="6"/>
  <c r="P480" i="6"/>
  <c r="P468" i="6"/>
  <c r="P456" i="6"/>
  <c r="P444" i="6"/>
  <c r="P432" i="6"/>
  <c r="P420" i="6"/>
  <c r="P408" i="6"/>
  <c r="P396" i="6"/>
  <c r="P384" i="6"/>
  <c r="P372" i="6"/>
  <c r="P360" i="6"/>
  <c r="P348" i="6"/>
  <c r="P336" i="6"/>
  <c r="P324" i="6"/>
  <c r="P312" i="6"/>
  <c r="P300" i="6"/>
  <c r="P288" i="6"/>
  <c r="P276" i="6"/>
  <c r="P264" i="6"/>
  <c r="P252" i="6"/>
  <c r="P240" i="6"/>
  <c r="P228" i="6"/>
  <c r="P216" i="6"/>
  <c r="P204" i="6"/>
  <c r="P192" i="6"/>
  <c r="P180" i="6"/>
  <c r="P168" i="6"/>
  <c r="P156" i="6"/>
  <c r="P144" i="6"/>
  <c r="P132" i="6"/>
  <c r="P120" i="6"/>
  <c r="P108" i="6"/>
  <c r="P96" i="6"/>
  <c r="P84" i="6"/>
  <c r="P72" i="6"/>
  <c r="P60" i="6"/>
  <c r="P48" i="6"/>
  <c r="P36" i="6"/>
  <c r="P24" i="6"/>
  <c r="P743" i="6"/>
  <c r="P731" i="6"/>
  <c r="P719" i="6"/>
  <c r="P707" i="6"/>
  <c r="P695" i="6"/>
  <c r="P683" i="6"/>
  <c r="P671" i="6"/>
  <c r="P659" i="6"/>
  <c r="P647" i="6"/>
  <c r="P635" i="6"/>
  <c r="P623" i="6"/>
  <c r="P611" i="6"/>
  <c r="P599" i="6"/>
  <c r="P587" i="6"/>
  <c r="P575" i="6"/>
  <c r="P563" i="6"/>
  <c r="P551" i="6"/>
  <c r="P539" i="6"/>
  <c r="P527" i="6"/>
  <c r="P515" i="6"/>
  <c r="P503" i="6"/>
  <c r="P491" i="6"/>
  <c r="P479" i="6"/>
  <c r="P467" i="6"/>
  <c r="P455" i="6"/>
  <c r="P443" i="6"/>
  <c r="P431" i="6"/>
  <c r="P419" i="6"/>
  <c r="P407" i="6"/>
  <c r="P395" i="6"/>
  <c r="P383" i="6"/>
  <c r="P371" i="6"/>
  <c r="P359" i="6"/>
  <c r="P347" i="6"/>
  <c r="P335" i="6"/>
  <c r="P323" i="6"/>
  <c r="P311" i="6"/>
  <c r="P299" i="6"/>
  <c r="P287" i="6"/>
  <c r="P275" i="6"/>
  <c r="P263" i="6"/>
  <c r="P251" i="6"/>
  <c r="P239" i="6"/>
  <c r="P227" i="6"/>
  <c r="P215" i="6"/>
  <c r="P203" i="6"/>
  <c r="P191" i="6"/>
  <c r="P179" i="6"/>
  <c r="P167" i="6"/>
  <c r="P155" i="6"/>
  <c r="P143" i="6"/>
  <c r="P131" i="6"/>
  <c r="P119" i="6"/>
  <c r="P107" i="6"/>
  <c r="P95" i="6"/>
  <c r="P83" i="6"/>
  <c r="P71" i="6"/>
  <c r="P59" i="6"/>
  <c r="P47" i="6"/>
  <c r="P35" i="6"/>
  <c r="P23" i="6"/>
  <c r="F131" i="6"/>
  <c r="G132" i="6" s="1"/>
  <c r="F119" i="6"/>
  <c r="G122" i="6" s="1"/>
  <c r="F107" i="6"/>
  <c r="G109" i="6" s="1"/>
  <c r="F95" i="6"/>
  <c r="G98" i="6" s="1"/>
  <c r="F83" i="6"/>
  <c r="F71" i="6"/>
  <c r="F59" i="6"/>
  <c r="F47" i="6"/>
  <c r="F35" i="6"/>
  <c r="F23" i="6"/>
  <c r="F11" i="6"/>
  <c r="G525" i="6"/>
  <c r="P742" i="6"/>
  <c r="P730" i="6"/>
  <c r="P718" i="6"/>
  <c r="P706" i="6"/>
  <c r="P694" i="6"/>
  <c r="P682" i="6"/>
  <c r="P670" i="6"/>
  <c r="P658" i="6"/>
  <c r="P646" i="6"/>
  <c r="P634" i="6"/>
  <c r="P622" i="6"/>
  <c r="P610" i="6"/>
  <c r="P598" i="6"/>
  <c r="P586" i="6"/>
  <c r="P574" i="6"/>
  <c r="P562" i="6"/>
  <c r="P550" i="6"/>
  <c r="P538" i="6"/>
  <c r="P526" i="6"/>
  <c r="P514" i="6"/>
  <c r="P502" i="6"/>
  <c r="P490" i="6"/>
  <c r="P478" i="6"/>
  <c r="P466" i="6"/>
  <c r="P454" i="6"/>
  <c r="P442" i="6"/>
  <c r="P430" i="6"/>
  <c r="P418" i="6"/>
  <c r="P406" i="6"/>
  <c r="P394" i="6"/>
  <c r="P382" i="6"/>
  <c r="P370" i="6"/>
  <c r="P358" i="6"/>
  <c r="P346" i="6"/>
  <c r="P334" i="6"/>
  <c r="P322" i="6"/>
  <c r="P310" i="6"/>
  <c r="P298" i="6"/>
  <c r="P286" i="6"/>
  <c r="P274" i="6"/>
  <c r="P262" i="6"/>
  <c r="P250" i="6"/>
  <c r="P238" i="6"/>
  <c r="P226" i="6"/>
  <c r="P214" i="6"/>
  <c r="P202" i="6"/>
  <c r="P190" i="6"/>
  <c r="P178" i="6"/>
  <c r="P166" i="6"/>
  <c r="P154" i="6"/>
  <c r="P142" i="6"/>
  <c r="P130" i="6"/>
  <c r="P118" i="6"/>
  <c r="P106" i="6"/>
  <c r="P94" i="6"/>
  <c r="P82" i="6"/>
  <c r="P70" i="6"/>
  <c r="P58" i="6"/>
  <c r="P46" i="6"/>
  <c r="P34" i="6"/>
  <c r="P22" i="6"/>
  <c r="F623" i="6"/>
  <c r="F571" i="6"/>
  <c r="F479" i="6"/>
  <c r="F439" i="6"/>
  <c r="F395" i="6"/>
  <c r="F367" i="6"/>
  <c r="G370" i="6" s="1"/>
  <c r="F323" i="6"/>
  <c r="G326" i="6" s="1"/>
  <c r="F275" i="6"/>
  <c r="F167" i="6"/>
  <c r="G373" i="6"/>
  <c r="P741" i="6"/>
  <c r="P729" i="6"/>
  <c r="P717" i="6"/>
  <c r="P705" i="6"/>
  <c r="P693" i="6"/>
  <c r="P681" i="6"/>
  <c r="P669" i="6"/>
  <c r="P657" i="6"/>
  <c r="P645" i="6"/>
  <c r="P633" i="6"/>
  <c r="P621" i="6"/>
  <c r="P609" i="6"/>
  <c r="P597" i="6"/>
  <c r="P585" i="6"/>
  <c r="P573" i="6"/>
  <c r="P561" i="6"/>
  <c r="P549" i="6"/>
  <c r="P537" i="6"/>
  <c r="P525" i="6"/>
  <c r="P513" i="6"/>
  <c r="P501" i="6"/>
  <c r="P489" i="6"/>
  <c r="P477" i="6"/>
  <c r="P465" i="6"/>
  <c r="P453" i="6"/>
  <c r="P441" i="6"/>
  <c r="P429" i="6"/>
  <c r="P417" i="6"/>
  <c r="P405" i="6"/>
  <c r="P393" i="6"/>
  <c r="P381" i="6"/>
  <c r="P369" i="6"/>
  <c r="P357" i="6"/>
  <c r="P345" i="6"/>
  <c r="P333" i="6"/>
  <c r="P321" i="6"/>
  <c r="P309" i="6"/>
  <c r="P297" i="6"/>
  <c r="P285" i="6"/>
  <c r="P273" i="6"/>
  <c r="P261" i="6"/>
  <c r="P249" i="6"/>
  <c r="P237" i="6"/>
  <c r="P225" i="6"/>
  <c r="P213" i="6"/>
  <c r="P201" i="6"/>
  <c r="P189" i="6"/>
  <c r="P177" i="6"/>
  <c r="P165" i="6"/>
  <c r="P153" i="6"/>
  <c r="P141" i="6"/>
  <c r="P129" i="6"/>
  <c r="P117" i="6"/>
  <c r="P105" i="6"/>
  <c r="P93" i="6"/>
  <c r="P81" i="6"/>
  <c r="P69" i="6"/>
  <c r="P57" i="6"/>
  <c r="P45" i="6"/>
  <c r="P33" i="6"/>
  <c r="P21" i="6"/>
  <c r="F22" i="6"/>
  <c r="P740" i="6"/>
  <c r="P728" i="6"/>
  <c r="P716" i="6"/>
  <c r="P704" i="6"/>
  <c r="P692" i="6"/>
  <c r="P680" i="6"/>
  <c r="P668" i="6"/>
  <c r="P656" i="6"/>
  <c r="P644" i="6"/>
  <c r="P632" i="6"/>
  <c r="P620" i="6"/>
  <c r="P608" i="6"/>
  <c r="P596" i="6"/>
  <c r="P584" i="6"/>
  <c r="P572" i="6"/>
  <c r="P560" i="6"/>
  <c r="P548" i="6"/>
  <c r="P536" i="6"/>
  <c r="P524" i="6"/>
  <c r="P512" i="6"/>
  <c r="P500" i="6"/>
  <c r="P488" i="6"/>
  <c r="P476" i="6"/>
  <c r="P464" i="6"/>
  <c r="P452" i="6"/>
  <c r="P440" i="6"/>
  <c r="P428" i="6"/>
  <c r="P416" i="6"/>
  <c r="P404" i="6"/>
  <c r="P392" i="6"/>
  <c r="P380" i="6"/>
  <c r="P368" i="6"/>
  <c r="P356" i="6"/>
  <c r="P344" i="6"/>
  <c r="P332" i="6"/>
  <c r="P320" i="6"/>
  <c r="P308" i="6"/>
  <c r="P296" i="6"/>
  <c r="P284" i="6"/>
  <c r="P272" i="6"/>
  <c r="P260" i="6"/>
  <c r="P248" i="6"/>
  <c r="P236" i="6"/>
  <c r="P224" i="6"/>
  <c r="P212" i="6"/>
  <c r="P200" i="6"/>
  <c r="P188" i="6"/>
  <c r="P176" i="6"/>
  <c r="P164" i="6"/>
  <c r="P152" i="6"/>
  <c r="P140" i="6"/>
  <c r="P128" i="6"/>
  <c r="P116" i="6"/>
  <c r="P104" i="6"/>
  <c r="P92" i="6"/>
  <c r="P80" i="6"/>
  <c r="P68" i="6"/>
  <c r="P56" i="6"/>
  <c r="P44" i="6"/>
  <c r="P32" i="6"/>
  <c r="P20" i="6"/>
  <c r="F236" i="6"/>
  <c r="F224" i="6"/>
  <c r="F212" i="6"/>
  <c r="F200" i="6"/>
  <c r="G203" i="6" s="1"/>
  <c r="F188" i="6"/>
  <c r="G191" i="6" s="1"/>
  <c r="F176" i="6"/>
  <c r="G179" i="6" s="1"/>
  <c r="F164" i="6"/>
  <c r="G167" i="6" s="1"/>
  <c r="F152" i="6"/>
  <c r="G155" i="6" s="1"/>
  <c r="F140" i="6"/>
  <c r="G143" i="6" s="1"/>
  <c r="F128" i="6"/>
  <c r="G131" i="6" s="1"/>
  <c r="F116" i="6"/>
  <c r="G119" i="6" s="1"/>
  <c r="F104" i="6"/>
  <c r="G107" i="6" s="1"/>
  <c r="F92" i="6"/>
  <c r="F80" i="6"/>
  <c r="F68" i="6"/>
  <c r="F56" i="6"/>
  <c r="F44" i="6"/>
  <c r="G47" i="6" s="1"/>
  <c r="F32" i="6"/>
  <c r="G35" i="6" s="1"/>
  <c r="F20" i="6"/>
  <c r="F13" i="6"/>
  <c r="G16" i="6" s="1"/>
  <c r="P739" i="6"/>
  <c r="P727" i="6"/>
  <c r="P715" i="6"/>
  <c r="P703" i="6"/>
  <c r="P691" i="6"/>
  <c r="P679" i="6"/>
  <c r="P667" i="6"/>
  <c r="P655" i="6"/>
  <c r="P643" i="6"/>
  <c r="P631" i="6"/>
  <c r="P619" i="6"/>
  <c r="P607" i="6"/>
  <c r="P595" i="6"/>
  <c r="P583" i="6"/>
  <c r="P571" i="6"/>
  <c r="P559" i="6"/>
  <c r="P547" i="6"/>
  <c r="P535" i="6"/>
  <c r="P523" i="6"/>
  <c r="P511" i="6"/>
  <c r="P499" i="6"/>
  <c r="P487" i="6"/>
  <c r="P475" i="6"/>
  <c r="P463" i="6"/>
  <c r="P451" i="6"/>
  <c r="P439" i="6"/>
  <c r="P427" i="6"/>
  <c r="P415" i="6"/>
  <c r="P403" i="6"/>
  <c r="P391" i="6"/>
  <c r="P379" i="6"/>
  <c r="P367" i="6"/>
  <c r="P355" i="6"/>
  <c r="P343" i="6"/>
  <c r="P331" i="6"/>
  <c r="P319" i="6"/>
  <c r="P307" i="6"/>
  <c r="P295" i="6"/>
  <c r="P283" i="6"/>
  <c r="P271" i="6"/>
  <c r="P259" i="6"/>
  <c r="P247" i="6"/>
  <c r="P235" i="6"/>
  <c r="P223" i="6"/>
  <c r="P211" i="6"/>
  <c r="P199" i="6"/>
  <c r="P187" i="6"/>
  <c r="P175" i="6"/>
  <c r="P163" i="6"/>
  <c r="P151" i="6"/>
  <c r="P139" i="6"/>
  <c r="P127" i="6"/>
  <c r="P115" i="6"/>
  <c r="P103" i="6"/>
  <c r="P91" i="6"/>
  <c r="P79" i="6"/>
  <c r="P67" i="6"/>
  <c r="P55" i="6"/>
  <c r="P43" i="6"/>
  <c r="P31" i="6"/>
  <c r="P19" i="6"/>
  <c r="F199" i="6"/>
  <c r="F187" i="6"/>
  <c r="F175" i="6"/>
  <c r="F163" i="6"/>
  <c r="F151" i="6"/>
  <c r="F139" i="6"/>
  <c r="F127" i="6"/>
  <c r="F115" i="6"/>
  <c r="F103" i="6"/>
  <c r="F91" i="6"/>
  <c r="F79" i="6"/>
  <c r="F67" i="6"/>
  <c r="F55" i="6"/>
  <c r="F43" i="6"/>
  <c r="F31" i="6"/>
  <c r="F19" i="6"/>
  <c r="F620" i="6"/>
  <c r="F476" i="6"/>
  <c r="G479" i="6" s="1"/>
  <c r="F392" i="6"/>
  <c r="G133" i="6"/>
  <c r="P738" i="6"/>
  <c r="P726" i="6"/>
  <c r="P714" i="6"/>
  <c r="P702" i="6"/>
  <c r="P690" i="6"/>
  <c r="P678" i="6"/>
  <c r="P666" i="6"/>
  <c r="P654" i="6"/>
  <c r="P642" i="6"/>
  <c r="P630" i="6"/>
  <c r="P618" i="6"/>
  <c r="P606" i="6"/>
  <c r="P594" i="6"/>
  <c r="P582" i="6"/>
  <c r="P570" i="6"/>
  <c r="P558" i="6"/>
  <c r="P546" i="6"/>
  <c r="P534" i="6"/>
  <c r="P522" i="6"/>
  <c r="P510" i="6"/>
  <c r="P498" i="6"/>
  <c r="P486" i="6"/>
  <c r="P474" i="6"/>
  <c r="P462" i="6"/>
  <c r="P450" i="6"/>
  <c r="P438" i="6"/>
  <c r="P426" i="6"/>
  <c r="P414" i="6"/>
  <c r="P402" i="6"/>
  <c r="P390" i="6"/>
  <c r="P378" i="6"/>
  <c r="P366" i="6"/>
  <c r="P354" i="6"/>
  <c r="P342" i="6"/>
  <c r="P330" i="6"/>
  <c r="P318" i="6"/>
  <c r="P306" i="6"/>
  <c r="P294" i="6"/>
  <c r="P282" i="6"/>
  <c r="P270" i="6"/>
  <c r="P258" i="6"/>
  <c r="P246" i="6"/>
  <c r="P234" i="6"/>
  <c r="P222" i="6"/>
  <c r="P210" i="6"/>
  <c r="P198" i="6"/>
  <c r="P186" i="6"/>
  <c r="P174" i="6"/>
  <c r="P162" i="6"/>
  <c r="P150" i="6"/>
  <c r="P138" i="6"/>
  <c r="P126" i="6"/>
  <c r="P114" i="6"/>
  <c r="P102" i="6"/>
  <c r="P90" i="6"/>
  <c r="P78" i="6"/>
  <c r="P66" i="6"/>
  <c r="P54" i="6"/>
  <c r="P42" i="6"/>
  <c r="P30" i="6"/>
  <c r="P18" i="6"/>
  <c r="F318" i="6"/>
  <c r="G321" i="6" s="1"/>
  <c r="F306" i="6"/>
  <c r="F294" i="6"/>
  <c r="G297" i="6" s="1"/>
  <c r="F282" i="6"/>
  <c r="F270" i="6"/>
  <c r="F258" i="6"/>
  <c r="G261" i="6" s="1"/>
  <c r="F246" i="6"/>
  <c r="F234" i="6"/>
  <c r="F222" i="6"/>
  <c r="F210" i="6"/>
  <c r="F198" i="6"/>
  <c r="F186" i="6"/>
  <c r="F174" i="6"/>
  <c r="F162" i="6"/>
  <c r="F150" i="6"/>
  <c r="F138" i="6"/>
  <c r="F126" i="6"/>
  <c r="F114" i="6"/>
  <c r="F102" i="6"/>
  <c r="F90" i="6"/>
  <c r="F78" i="6"/>
  <c r="F66" i="6"/>
  <c r="F54" i="6"/>
  <c r="F42" i="6"/>
  <c r="F30" i="6"/>
  <c r="F18" i="6"/>
  <c r="F671" i="6"/>
  <c r="G674" i="6" s="1"/>
  <c r="F632" i="6"/>
  <c r="F527" i="6"/>
  <c r="F488" i="6"/>
  <c r="G491" i="6" s="1"/>
  <c r="F419" i="6"/>
  <c r="F347" i="6"/>
  <c r="G350" i="6" s="1"/>
  <c r="G380" i="6"/>
  <c r="H383" i="6" s="1"/>
  <c r="G212" i="6"/>
  <c r="F12" i="6"/>
  <c r="P736" i="6"/>
  <c r="P724" i="6"/>
  <c r="P712" i="6"/>
  <c r="P700" i="6"/>
  <c r="P688" i="6"/>
  <c r="P676" i="6"/>
  <c r="P664" i="6"/>
  <c r="P652" i="6"/>
  <c r="P640" i="6"/>
  <c r="P628" i="6"/>
  <c r="P616" i="6"/>
  <c r="P604" i="6"/>
  <c r="P592" i="6"/>
  <c r="P580" i="6"/>
  <c r="P568" i="6"/>
  <c r="P556" i="6"/>
  <c r="P544" i="6"/>
  <c r="P532" i="6"/>
  <c r="P520" i="6"/>
  <c r="P508" i="6"/>
  <c r="P496" i="6"/>
  <c r="P484" i="6"/>
  <c r="P472" i="6"/>
  <c r="P460" i="6"/>
  <c r="P448" i="6"/>
  <c r="P436" i="6"/>
  <c r="P424" i="6"/>
  <c r="P412" i="6"/>
  <c r="P400" i="6"/>
  <c r="P388" i="6"/>
  <c r="P376" i="6"/>
  <c r="P364" i="6"/>
  <c r="P352" i="6"/>
  <c r="P340" i="6"/>
  <c r="P328" i="6"/>
  <c r="P316" i="6"/>
  <c r="P304" i="6"/>
  <c r="P292" i="6"/>
  <c r="P280" i="6"/>
  <c r="P268" i="6"/>
  <c r="P256" i="6"/>
  <c r="P244" i="6"/>
  <c r="P232" i="6"/>
  <c r="P220" i="6"/>
  <c r="P208" i="6"/>
  <c r="P196" i="6"/>
  <c r="P184" i="6"/>
  <c r="P172" i="6"/>
  <c r="P160" i="6"/>
  <c r="P148" i="6"/>
  <c r="P136" i="6"/>
  <c r="P124" i="6"/>
  <c r="P112" i="6"/>
  <c r="P100" i="6"/>
  <c r="P88" i="6"/>
  <c r="P76" i="6"/>
  <c r="P64" i="6"/>
  <c r="P52" i="6"/>
  <c r="P40" i="6"/>
  <c r="P28" i="6"/>
  <c r="P16" i="6"/>
  <c r="F700" i="6"/>
  <c r="G703" i="6" s="1"/>
  <c r="F688" i="6"/>
  <c r="F676" i="6"/>
  <c r="F664" i="6"/>
  <c r="F652" i="6"/>
  <c r="F640" i="6"/>
  <c r="F628" i="6"/>
  <c r="F616" i="6"/>
  <c r="G619" i="6" s="1"/>
  <c r="F604" i="6"/>
  <c r="F592" i="6"/>
  <c r="F580" i="6"/>
  <c r="G583" i="6" s="1"/>
  <c r="F568" i="6"/>
  <c r="G571" i="6" s="1"/>
  <c r="F556" i="6"/>
  <c r="G559" i="6" s="1"/>
  <c r="F544" i="6"/>
  <c r="F532" i="6"/>
  <c r="G535" i="6" s="1"/>
  <c r="F520" i="6"/>
  <c r="F508" i="6"/>
  <c r="G511" i="6" s="1"/>
  <c r="F496" i="6"/>
  <c r="G499" i="6" s="1"/>
  <c r="F484" i="6"/>
  <c r="F472" i="6"/>
  <c r="G475" i="6" s="1"/>
  <c r="F460" i="6"/>
  <c r="F448" i="6"/>
  <c r="G451" i="6" s="1"/>
  <c r="F436" i="6"/>
  <c r="G439" i="6" s="1"/>
  <c r="F424" i="6"/>
  <c r="F412" i="6"/>
  <c r="F400" i="6"/>
  <c r="F388" i="6"/>
  <c r="F376" i="6"/>
  <c r="G379" i="6" s="1"/>
  <c r="F364" i="6"/>
  <c r="G367" i="6" s="1"/>
  <c r="F352" i="6"/>
  <c r="F340" i="6"/>
  <c r="F328" i="6"/>
  <c r="F316" i="6"/>
  <c r="F304" i="6"/>
  <c r="F292" i="6"/>
  <c r="F280" i="6"/>
  <c r="F268" i="6"/>
  <c r="F256" i="6"/>
  <c r="F244" i="6"/>
  <c r="F232" i="6"/>
  <c r="F220" i="6"/>
  <c r="F208" i="6"/>
  <c r="F196" i="6"/>
  <c r="F184" i="6"/>
  <c r="F172" i="6"/>
  <c r="F160" i="6"/>
  <c r="F148" i="6"/>
  <c r="F136" i="6"/>
  <c r="F124" i="6"/>
  <c r="F112" i="6"/>
  <c r="F100" i="6"/>
  <c r="F88" i="6"/>
  <c r="F76" i="6"/>
  <c r="F64" i="6"/>
  <c r="F52" i="6"/>
  <c r="F40" i="6"/>
  <c r="F28" i="6"/>
  <c r="F16" i="6"/>
  <c r="F10" i="6"/>
  <c r="G13" i="6" s="1"/>
  <c r="K740" i="6"/>
  <c r="K728" i="6"/>
  <c r="K716" i="6"/>
  <c r="K704" i="6"/>
  <c r="K703" i="6"/>
  <c r="K692" i="6"/>
  <c r="K680" i="6"/>
  <c r="K668" i="6"/>
  <c r="K656" i="6"/>
  <c r="K644" i="6"/>
  <c r="K632" i="6"/>
  <c r="K620" i="6"/>
  <c r="K608" i="6"/>
  <c r="K596" i="6"/>
  <c r="K584" i="6"/>
  <c r="K739" i="6"/>
  <c r="K727" i="6"/>
  <c r="K715" i="6"/>
  <c r="K691" i="6"/>
  <c r="K679" i="6"/>
  <c r="K667" i="6"/>
  <c r="K655" i="6"/>
  <c r="K643" i="6"/>
  <c r="K631" i="6"/>
  <c r="K619" i="6"/>
  <c r="K607" i="6"/>
  <c r="K595" i="6"/>
  <c r="K583" i="6"/>
  <c r="K571" i="6"/>
  <c r="K559" i="6"/>
  <c r="K547" i="6"/>
  <c r="K535" i="6"/>
  <c r="K523" i="6"/>
  <c r="K511" i="6"/>
  <c r="K499" i="6"/>
  <c r="K487" i="6"/>
  <c r="K475" i="6"/>
  <c r="K698" i="6"/>
  <c r="K738" i="6"/>
  <c r="K726" i="6"/>
  <c r="K714" i="6"/>
  <c r="K702" i="6"/>
  <c r="K690" i="6"/>
  <c r="K678" i="6"/>
  <c r="K666" i="6"/>
  <c r="K654" i="6"/>
  <c r="K642" i="6"/>
  <c r="K630" i="6"/>
  <c r="K618" i="6"/>
  <c r="K606" i="6"/>
  <c r="K594" i="6"/>
  <c r="K582" i="6"/>
  <c r="K570" i="6"/>
  <c r="K558" i="6"/>
  <c r="K546" i="6"/>
  <c r="K534" i="6"/>
  <c r="K522" i="6"/>
  <c r="K510" i="6"/>
  <c r="K498" i="6"/>
  <c r="K486" i="6"/>
  <c r="K462" i="6"/>
  <c r="L334" i="6"/>
  <c r="K674" i="6"/>
  <c r="K672" i="6"/>
  <c r="K638" i="6"/>
  <c r="K747" i="6"/>
  <c r="K746" i="6"/>
  <c r="K735" i="6"/>
  <c r="K734" i="6"/>
  <c r="K723" i="6"/>
  <c r="K722" i="6"/>
  <c r="K711" i="6"/>
  <c r="K710" i="6"/>
  <c r="K687" i="6"/>
  <c r="K686" i="6"/>
  <c r="K663" i="6"/>
  <c r="K662" i="6"/>
  <c r="K651" i="6"/>
  <c r="K650" i="6"/>
  <c r="K627" i="6"/>
  <c r="K626" i="6"/>
  <c r="K615" i="6"/>
  <c r="K614" i="6"/>
  <c r="K591" i="6"/>
  <c r="K590" i="6"/>
  <c r="K579" i="6"/>
  <c r="K578" i="6"/>
  <c r="K555" i="6"/>
  <c r="K554" i="6"/>
  <c r="K543" i="6"/>
  <c r="K542" i="6"/>
  <c r="K519" i="6"/>
  <c r="K518" i="6"/>
  <c r="K507" i="6"/>
  <c r="K506" i="6"/>
  <c r="K495" i="6"/>
  <c r="K493" i="6"/>
  <c r="K483" i="6"/>
  <c r="K482" i="6"/>
  <c r="K471" i="6"/>
  <c r="K470" i="6"/>
  <c r="K459" i="6"/>
  <c r="K456" i="6"/>
  <c r="K374" i="6"/>
  <c r="K375" i="6"/>
  <c r="K363" i="6"/>
  <c r="K362" i="6"/>
  <c r="K303" i="6"/>
  <c r="K302" i="6"/>
  <c r="K291" i="6"/>
  <c r="K289" i="6"/>
  <c r="K219" i="6"/>
  <c r="K218" i="6"/>
  <c r="K171" i="6"/>
  <c r="K170" i="6"/>
  <c r="K636" i="6"/>
  <c r="K458" i="6"/>
  <c r="K446" i="6"/>
  <c r="K434" i="6"/>
  <c r="K422" i="6"/>
  <c r="K410" i="6"/>
  <c r="K398" i="6"/>
  <c r="K386" i="6"/>
  <c r="K350" i="6"/>
  <c r="K338" i="6"/>
  <c r="K326" i="6"/>
  <c r="K314" i="6"/>
  <c r="K278" i="6"/>
  <c r="K266" i="6"/>
  <c r="K254" i="6"/>
  <c r="K242" i="6"/>
  <c r="K206" i="6"/>
  <c r="K194" i="6"/>
  <c r="K182" i="6"/>
  <c r="K158" i="6"/>
  <c r="K146" i="6"/>
  <c r="K134" i="6"/>
  <c r="K122" i="6"/>
  <c r="K110" i="6"/>
  <c r="K98" i="6"/>
  <c r="K86" i="6"/>
  <c r="K74" i="6"/>
  <c r="K62" i="6"/>
  <c r="K602" i="6"/>
  <c r="K348" i="6"/>
  <c r="K745" i="6"/>
  <c r="K732" i="6"/>
  <c r="K721" i="6"/>
  <c r="K709" i="6"/>
  <c r="K696" i="6"/>
  <c r="K684" i="6"/>
  <c r="K673" i="6"/>
  <c r="K660" i="6"/>
  <c r="K648" i="6"/>
  <c r="K637" i="6"/>
  <c r="K624" i="6"/>
  <c r="K612" i="6"/>
  <c r="K601" i="6"/>
  <c r="K588" i="6"/>
  <c r="K576" i="6"/>
  <c r="K565" i="6"/>
  <c r="K552" i="6"/>
  <c r="K540" i="6"/>
  <c r="K529" i="6"/>
  <c r="K516" i="6"/>
  <c r="K504" i="6"/>
  <c r="K480" i="6"/>
  <c r="K468" i="6"/>
  <c r="K361" i="6"/>
  <c r="K216" i="6"/>
  <c r="K600" i="6"/>
  <c r="K744" i="6"/>
  <c r="K720" i="6"/>
  <c r="K566" i="6"/>
  <c r="K564" i="6"/>
  <c r="K290" i="6"/>
  <c r="K733" i="6"/>
  <c r="K530" i="6"/>
  <c r="K288" i="6"/>
  <c r="K737" i="6"/>
  <c r="K725" i="6"/>
  <c r="K713" i="6"/>
  <c r="K701" i="6"/>
  <c r="K689" i="6"/>
  <c r="K677" i="6"/>
  <c r="K665" i="6"/>
  <c r="K653" i="6"/>
  <c r="K641" i="6"/>
  <c r="K629" i="6"/>
  <c r="K617" i="6"/>
  <c r="K605" i="6"/>
  <c r="K593" i="6"/>
  <c r="L596" i="6" s="1"/>
  <c r="K581" i="6"/>
  <c r="K569" i="6"/>
  <c r="K557" i="6"/>
  <c r="K545" i="6"/>
  <c r="K533" i="6"/>
  <c r="K521" i="6"/>
  <c r="K509" i="6"/>
  <c r="K497" i="6"/>
  <c r="K485" i="6"/>
  <c r="K473" i="6"/>
  <c r="K461" i="6"/>
  <c r="K437" i="6"/>
  <c r="K425" i="6"/>
  <c r="K413" i="6"/>
  <c r="K401" i="6"/>
  <c r="K377" i="6"/>
  <c r="K365" i="6"/>
  <c r="K353" i="6"/>
  <c r="K341" i="6"/>
  <c r="K329" i="6"/>
  <c r="K305" i="6"/>
  <c r="K293" i="6"/>
  <c r="K281" i="6"/>
  <c r="K269" i="6"/>
  <c r="K257" i="6"/>
  <c r="K233" i="6"/>
  <c r="K221" i="6"/>
  <c r="K209" i="6"/>
  <c r="K197" i="6"/>
  <c r="K173" i="6"/>
  <c r="K161" i="6"/>
  <c r="K708" i="6"/>
  <c r="K360" i="6"/>
  <c r="K244" i="6"/>
  <c r="K30" i="6"/>
  <c r="K403" i="6"/>
  <c r="K445" i="6"/>
  <c r="K433" i="6"/>
  <c r="K421" i="6"/>
  <c r="K409" i="6"/>
  <c r="K397" i="6"/>
  <c r="K385" i="6"/>
  <c r="K373" i="6"/>
  <c r="K349" i="6"/>
  <c r="K337" i="6"/>
  <c r="K325" i="6"/>
  <c r="K313" i="6"/>
  <c r="K301" i="6"/>
  <c r="K277" i="6"/>
  <c r="K265" i="6"/>
  <c r="K253" i="6"/>
  <c r="K241" i="6"/>
  <c r="K229" i="6"/>
  <c r="L233" i="6" s="1"/>
  <c r="K205" i="6"/>
  <c r="K193" i="6"/>
  <c r="K181" i="6"/>
  <c r="K169" i="6"/>
  <c r="K157" i="6"/>
  <c r="K145" i="6"/>
  <c r="K121" i="6"/>
  <c r="K97" i="6"/>
  <c r="K73" i="6"/>
  <c r="K49" i="6"/>
  <c r="K37" i="6"/>
  <c r="K25" i="6"/>
  <c r="L29" i="6" s="1"/>
  <c r="K13" i="6"/>
  <c r="K697" i="6"/>
  <c r="K444" i="6"/>
  <c r="K390" i="6"/>
  <c r="K276" i="6"/>
  <c r="K133" i="6"/>
  <c r="K432" i="6"/>
  <c r="K420" i="6"/>
  <c r="K408" i="6"/>
  <c r="K396" i="6"/>
  <c r="K384" i="6"/>
  <c r="K372" i="6"/>
  <c r="K336" i="6"/>
  <c r="K324" i="6"/>
  <c r="K312" i="6"/>
  <c r="K300" i="6"/>
  <c r="K264" i="6"/>
  <c r="K252" i="6"/>
  <c r="K240" i="6"/>
  <c r="K228" i="6"/>
  <c r="K204" i="6"/>
  <c r="K192" i="6"/>
  <c r="K180" i="6"/>
  <c r="K443" i="6"/>
  <c r="K389" i="6"/>
  <c r="K274" i="6"/>
  <c r="K217" i="6"/>
  <c r="K743" i="6"/>
  <c r="K731" i="6"/>
  <c r="K719" i="6"/>
  <c r="K707" i="6"/>
  <c r="K695" i="6"/>
  <c r="K683" i="6"/>
  <c r="K671" i="6"/>
  <c r="K659" i="6"/>
  <c r="K647" i="6"/>
  <c r="K635" i="6"/>
  <c r="K623" i="6"/>
  <c r="K611" i="6"/>
  <c r="K599" i="6"/>
  <c r="K587" i="6"/>
  <c r="K575" i="6"/>
  <c r="K563" i="6"/>
  <c r="K551" i="6"/>
  <c r="K539" i="6"/>
  <c r="K527" i="6"/>
  <c r="K515" i="6"/>
  <c r="K503" i="6"/>
  <c r="K491" i="6"/>
  <c r="K479" i="6"/>
  <c r="K467" i="6"/>
  <c r="K419" i="6"/>
  <c r="K407" i="6"/>
  <c r="K661" i="6"/>
  <c r="K625" i="6"/>
  <c r="K589" i="6"/>
  <c r="K553" i="6"/>
  <c r="K517" i="6"/>
  <c r="K481" i="6"/>
  <c r="K442" i="6"/>
  <c r="K109" i="6"/>
  <c r="K742" i="6"/>
  <c r="K730" i="6"/>
  <c r="K718" i="6"/>
  <c r="K706" i="6"/>
  <c r="K694" i="6"/>
  <c r="K682" i="6"/>
  <c r="K670" i="6"/>
  <c r="K658" i="6"/>
  <c r="K646" i="6"/>
  <c r="K634" i="6"/>
  <c r="K622" i="6"/>
  <c r="K610" i="6"/>
  <c r="K598" i="6"/>
  <c r="K586" i="6"/>
  <c r="K574" i="6"/>
  <c r="K562" i="6"/>
  <c r="K550" i="6"/>
  <c r="K538" i="6"/>
  <c r="K526" i="6"/>
  <c r="K514" i="6"/>
  <c r="K502" i="6"/>
  <c r="K490" i="6"/>
  <c r="K478" i="6"/>
  <c r="K466" i="6"/>
  <c r="K454" i="6"/>
  <c r="K406" i="6"/>
  <c r="K394" i="6"/>
  <c r="K382" i="6"/>
  <c r="K370" i="6"/>
  <c r="K358" i="6"/>
  <c r="K334" i="6"/>
  <c r="K322" i="6"/>
  <c r="K310" i="6"/>
  <c r="K298" i="6"/>
  <c r="K286" i="6"/>
  <c r="K262" i="6"/>
  <c r="K250" i="6"/>
  <c r="K238" i="6"/>
  <c r="K226" i="6"/>
  <c r="K214" i="6"/>
  <c r="K190" i="6"/>
  <c r="K178" i="6"/>
  <c r="K166" i="6"/>
  <c r="K154" i="6"/>
  <c r="K142" i="6"/>
  <c r="K118" i="6"/>
  <c r="K431" i="6"/>
  <c r="K318" i="6"/>
  <c r="K202" i="6"/>
  <c r="K430" i="6"/>
  <c r="K317" i="6"/>
  <c r="K85" i="6"/>
  <c r="K572" i="6"/>
  <c r="K560" i="6"/>
  <c r="K548" i="6"/>
  <c r="K536" i="6"/>
  <c r="K524" i="6"/>
  <c r="K512" i="6"/>
  <c r="K500" i="6"/>
  <c r="K488" i="6"/>
  <c r="K476" i="6"/>
  <c r="K464" i="6"/>
  <c r="K452" i="6"/>
  <c r="K440" i="6"/>
  <c r="K392" i="6"/>
  <c r="K380" i="6"/>
  <c r="K368" i="6"/>
  <c r="K356" i="6"/>
  <c r="K320" i="6"/>
  <c r="K308" i="6"/>
  <c r="K296" i="6"/>
  <c r="K284" i="6"/>
  <c r="K248" i="6"/>
  <c r="K236" i="6"/>
  <c r="K224" i="6"/>
  <c r="K212" i="6"/>
  <c r="K685" i="6"/>
  <c r="K463" i="6"/>
  <c r="K451" i="6"/>
  <c r="K439" i="6"/>
  <c r="K427" i="6"/>
  <c r="K391" i="6"/>
  <c r="K379" i="6"/>
  <c r="K367" i="6"/>
  <c r="K355" i="6"/>
  <c r="K343" i="6"/>
  <c r="L347" i="6" s="1"/>
  <c r="K319" i="6"/>
  <c r="K307" i="6"/>
  <c r="K295" i="6"/>
  <c r="K283" i="6"/>
  <c r="K271" i="6"/>
  <c r="K247" i="6"/>
  <c r="K235" i="6"/>
  <c r="K223" i="6"/>
  <c r="K211" i="6"/>
  <c r="K187" i="6"/>
  <c r="K175" i="6"/>
  <c r="K163" i="6"/>
  <c r="L166" i="6" s="1"/>
  <c r="K151" i="6"/>
  <c r="K139" i="6"/>
  <c r="K115" i="6"/>
  <c r="L118" i="6" s="1"/>
  <c r="K91" i="6"/>
  <c r="K67" i="6"/>
  <c r="L71" i="6" s="1"/>
  <c r="K55" i="6"/>
  <c r="K43" i="6"/>
  <c r="K31" i="6"/>
  <c r="K19" i="6"/>
  <c r="K649" i="6"/>
  <c r="K613" i="6"/>
  <c r="K577" i="6"/>
  <c r="K541" i="6"/>
  <c r="K505" i="6"/>
  <c r="K469" i="6"/>
  <c r="K418" i="6"/>
  <c r="K246" i="6"/>
  <c r="K186" i="6"/>
  <c r="K474" i="6"/>
  <c r="K449" i="6"/>
  <c r="K450" i="6"/>
  <c r="K438" i="6"/>
  <c r="K426" i="6"/>
  <c r="K414" i="6"/>
  <c r="K378" i="6"/>
  <c r="K366" i="6"/>
  <c r="K354" i="6"/>
  <c r="K342" i="6"/>
  <c r="K306" i="6"/>
  <c r="K294" i="6"/>
  <c r="K282" i="6"/>
  <c r="K270" i="6"/>
  <c r="K184" i="6"/>
  <c r="K149" i="6"/>
  <c r="K137" i="6"/>
  <c r="K125" i="6"/>
  <c r="K113" i="6"/>
  <c r="K101" i="6"/>
  <c r="K89" i="6"/>
  <c r="K77" i="6"/>
  <c r="K65" i="6"/>
  <c r="K53" i="6"/>
  <c r="K41" i="6"/>
  <c r="K29" i="6"/>
  <c r="K17" i="6"/>
  <c r="K156" i="6"/>
  <c r="K144" i="6"/>
  <c r="K132" i="6"/>
  <c r="K120" i="6"/>
  <c r="K108" i="6"/>
  <c r="K96" i="6"/>
  <c r="K84" i="6"/>
  <c r="K72" i="6"/>
  <c r="K60" i="6"/>
  <c r="K48" i="6"/>
  <c r="K36" i="6"/>
  <c r="K24" i="6"/>
  <c r="K12" i="6"/>
  <c r="K395" i="6"/>
  <c r="K383" i="6"/>
  <c r="K371" i="6"/>
  <c r="K359" i="6"/>
  <c r="K347" i="6"/>
  <c r="K335" i="6"/>
  <c r="K323" i="6"/>
  <c r="K311" i="6"/>
  <c r="K299" i="6"/>
  <c r="K287" i="6"/>
  <c r="K275" i="6"/>
  <c r="K263" i="6"/>
  <c r="K251" i="6"/>
  <c r="K239" i="6"/>
  <c r="K227" i="6"/>
  <c r="K215" i="6"/>
  <c r="K203" i="6"/>
  <c r="K191" i="6"/>
  <c r="K179" i="6"/>
  <c r="K167" i="6"/>
  <c r="K155" i="6"/>
  <c r="K143" i="6"/>
  <c r="K131" i="6"/>
  <c r="K119" i="6"/>
  <c r="K107" i="6"/>
  <c r="K95" i="6"/>
  <c r="K83" i="6"/>
  <c r="K71" i="6"/>
  <c r="K59" i="6"/>
  <c r="K47" i="6"/>
  <c r="K35" i="6"/>
  <c r="K23" i="6"/>
  <c r="K11" i="6"/>
  <c r="K58" i="6"/>
  <c r="K46" i="6"/>
  <c r="K34" i="6"/>
  <c r="K22" i="6"/>
  <c r="P12" i="6"/>
  <c r="R377" i="6"/>
  <c r="R669" i="6"/>
  <c r="R657" i="6"/>
  <c r="R645" i="6"/>
  <c r="R633" i="6"/>
  <c r="R329" i="6"/>
  <c r="R739" i="6"/>
  <c r="R727" i="6"/>
  <c r="R725" i="6"/>
  <c r="R715" i="6"/>
  <c r="R703" i="6"/>
  <c r="R691" i="6"/>
  <c r="R689" i="6"/>
  <c r="R679" i="6"/>
  <c r="R667" i="6"/>
  <c r="R655" i="6"/>
  <c r="R643" i="6"/>
  <c r="R631" i="6"/>
  <c r="R619" i="6"/>
  <c r="R607" i="6"/>
  <c r="R595" i="6"/>
  <c r="R583" i="6"/>
  <c r="R580" i="6"/>
  <c r="R571" i="6"/>
  <c r="R569" i="6"/>
  <c r="R559" i="6"/>
  <c r="R547" i="6"/>
  <c r="R535" i="6"/>
  <c r="R532" i="6"/>
  <c r="R523" i="6"/>
  <c r="R521" i="6"/>
  <c r="R511" i="6"/>
  <c r="R499" i="6"/>
  <c r="R487" i="6"/>
  <c r="R484" i="6"/>
  <c r="R475" i="6"/>
  <c r="R473" i="6"/>
  <c r="R463" i="6"/>
  <c r="R451" i="6"/>
  <c r="R439" i="6"/>
  <c r="R436" i="6"/>
  <c r="R427" i="6"/>
  <c r="R425" i="6"/>
  <c r="R391" i="6"/>
  <c r="R389" i="6"/>
  <c r="R388" i="6"/>
  <c r="R367" i="6"/>
  <c r="R365" i="6"/>
  <c r="R355" i="6"/>
  <c r="R353" i="6"/>
  <c r="R343" i="6"/>
  <c r="R341" i="6"/>
  <c r="R737" i="6"/>
  <c r="R713" i="6"/>
  <c r="R701" i="6"/>
  <c r="R677" i="6"/>
  <c r="R665" i="6"/>
  <c r="R641" i="6"/>
  <c r="R629" i="6"/>
  <c r="R605" i="6"/>
  <c r="R593" i="6"/>
  <c r="R581" i="6"/>
  <c r="R557" i="6"/>
  <c r="R545" i="6"/>
  <c r="R533" i="6"/>
  <c r="R509" i="6"/>
  <c r="R497" i="6"/>
  <c r="R485" i="6"/>
  <c r="R461" i="6"/>
  <c r="R449" i="6"/>
  <c r="R437" i="6"/>
  <c r="R413" i="6"/>
  <c r="R401" i="6"/>
  <c r="R736" i="6"/>
  <c r="R724" i="6"/>
  <c r="R712" i="6"/>
  <c r="R700" i="6"/>
  <c r="R688" i="6"/>
  <c r="R676" i="6"/>
  <c r="R664" i="6"/>
  <c r="R652" i="6"/>
  <c r="R640" i="6"/>
  <c r="R628" i="6"/>
  <c r="R616" i="6"/>
  <c r="R604" i="6"/>
  <c r="R592" i="6"/>
  <c r="R568" i="6"/>
  <c r="R556" i="6"/>
  <c r="R544" i="6"/>
  <c r="R520" i="6"/>
  <c r="R508" i="6"/>
  <c r="R496" i="6"/>
  <c r="R472" i="6"/>
  <c r="R460" i="6"/>
  <c r="R448" i="6"/>
  <c r="R424" i="6"/>
  <c r="R412" i="6"/>
  <c r="R400" i="6"/>
  <c r="R376" i="6"/>
  <c r="R364" i="6"/>
  <c r="R352" i="6"/>
  <c r="R328" i="6"/>
  <c r="R747" i="6"/>
  <c r="R723" i="6"/>
  <c r="R711" i="6"/>
  <c r="R687" i="6"/>
  <c r="R675" i="6"/>
  <c r="R651" i="6"/>
  <c r="R639" i="6"/>
  <c r="R615" i="6"/>
  <c r="R603" i="6"/>
  <c r="R591" i="6"/>
  <c r="R579" i="6"/>
  <c r="R567" i="6"/>
  <c r="R555" i="6"/>
  <c r="R543" i="6"/>
  <c r="R531" i="6"/>
  <c r="R519" i="6"/>
  <c r="R507" i="6"/>
  <c r="R495" i="6"/>
  <c r="R483" i="6"/>
  <c r="R471" i="6"/>
  <c r="R459" i="6"/>
  <c r="R447" i="6"/>
  <c r="R435" i="6"/>
  <c r="R423" i="6"/>
  <c r="R411" i="6"/>
  <c r="R399" i="6"/>
  <c r="R387" i="6"/>
  <c r="R375" i="6"/>
  <c r="R363" i="6"/>
  <c r="R351" i="6"/>
  <c r="R339" i="6"/>
  <c r="R327" i="6"/>
  <c r="R745" i="6"/>
  <c r="R733" i="6"/>
  <c r="R721" i="6"/>
  <c r="R709" i="6"/>
  <c r="R697" i="6"/>
  <c r="R685" i="6"/>
  <c r="R673" i="6"/>
  <c r="R661" i="6"/>
  <c r="R649" i="6"/>
  <c r="R637" i="6"/>
  <c r="R625" i="6"/>
  <c r="R613" i="6"/>
  <c r="R601" i="6"/>
  <c r="R589" i="6"/>
  <c r="R577" i="6"/>
  <c r="R565" i="6"/>
  <c r="R553" i="6"/>
  <c r="R541" i="6"/>
  <c r="R529" i="6"/>
  <c r="R517" i="6"/>
  <c r="R505" i="6"/>
  <c r="R493" i="6"/>
  <c r="R481" i="6"/>
  <c r="R743" i="6"/>
  <c r="R731" i="6"/>
  <c r="R719" i="6"/>
  <c r="R707" i="6"/>
  <c r="R695" i="6"/>
  <c r="R683" i="6"/>
  <c r="R671" i="6"/>
  <c r="R659" i="6"/>
  <c r="R647" i="6"/>
  <c r="R635" i="6"/>
  <c r="R623" i="6"/>
  <c r="R611" i="6"/>
  <c r="R599" i="6"/>
  <c r="R587" i="6"/>
  <c r="R575" i="6"/>
  <c r="R563" i="6"/>
  <c r="R551" i="6"/>
  <c r="R539" i="6"/>
  <c r="R527" i="6"/>
  <c r="R515" i="6"/>
  <c r="R503" i="6"/>
  <c r="R491" i="6"/>
  <c r="R479" i="6"/>
  <c r="R467" i="6"/>
  <c r="R455" i="6"/>
  <c r="R443" i="6"/>
  <c r="R431" i="6"/>
  <c r="R419" i="6"/>
  <c r="R407" i="6"/>
  <c r="R395" i="6"/>
  <c r="R383" i="6"/>
  <c r="R371" i="6"/>
  <c r="R359" i="6"/>
  <c r="R347" i="6"/>
  <c r="R335" i="6"/>
  <c r="R323" i="6"/>
  <c r="R311" i="6"/>
  <c r="R299" i="6"/>
  <c r="R621" i="6"/>
  <c r="R609" i="6"/>
  <c r="R597" i="6"/>
  <c r="R585" i="6"/>
  <c r="R573" i="6"/>
  <c r="R561" i="6"/>
  <c r="R549" i="6"/>
  <c r="R537" i="6"/>
  <c r="R525" i="6"/>
  <c r="R513" i="6"/>
  <c r="R501" i="6"/>
  <c r="R489" i="6"/>
  <c r="R477" i="6"/>
  <c r="R465" i="6"/>
  <c r="R453" i="6"/>
  <c r="R441" i="6"/>
  <c r="R429" i="6"/>
  <c r="R417" i="6"/>
  <c r="R405" i="6"/>
  <c r="R393" i="6"/>
  <c r="R381" i="6"/>
  <c r="R369" i="6"/>
  <c r="R237" i="6"/>
  <c r="R225" i="6"/>
  <c r="R213" i="6"/>
  <c r="R201" i="6"/>
  <c r="R738" i="6"/>
  <c r="R726" i="6"/>
  <c r="R714" i="6"/>
  <c r="R702" i="6"/>
  <c r="R690" i="6"/>
  <c r="R678" i="6"/>
  <c r="R666" i="6"/>
  <c r="R654" i="6"/>
  <c r="R642" i="6"/>
  <c r="R630" i="6"/>
  <c r="R618" i="6"/>
  <c r="R606" i="6"/>
  <c r="R594" i="6"/>
  <c r="R582" i="6"/>
  <c r="R570" i="6"/>
  <c r="R558" i="6"/>
  <c r="R546" i="6"/>
  <c r="R534" i="6"/>
  <c r="R522" i="6"/>
  <c r="R510" i="6"/>
  <c r="R498" i="6"/>
  <c r="R486" i="6"/>
  <c r="R474" i="6"/>
  <c r="R462" i="6"/>
  <c r="R450" i="6"/>
  <c r="R438" i="6"/>
  <c r="R426" i="6"/>
  <c r="R414" i="6"/>
  <c r="R402" i="6"/>
  <c r="R390" i="6"/>
  <c r="R378" i="6"/>
  <c r="R366" i="6"/>
  <c r="R354" i="6"/>
  <c r="R342" i="6"/>
  <c r="R330" i="6"/>
  <c r="R318" i="6"/>
  <c r="R306" i="6"/>
  <c r="R317" i="6"/>
  <c r="R292" i="6"/>
  <c r="R268" i="6"/>
  <c r="R256" i="6"/>
  <c r="R232" i="6"/>
  <c r="R220" i="6"/>
  <c r="R196" i="6"/>
  <c r="R184" i="6"/>
  <c r="R160" i="6"/>
  <c r="R148" i="6"/>
  <c r="R124" i="6"/>
  <c r="R112" i="6"/>
  <c r="R100" i="6"/>
  <c r="R88" i="6"/>
  <c r="R76" i="6"/>
  <c r="R52" i="6"/>
  <c r="R40" i="6"/>
  <c r="R28" i="6"/>
  <c r="R16" i="6"/>
  <c r="R291" i="6"/>
  <c r="R279" i="6"/>
  <c r="R267" i="6"/>
  <c r="R255" i="6"/>
  <c r="R243" i="6"/>
  <c r="R231" i="6"/>
  <c r="R219" i="6"/>
  <c r="R207" i="6"/>
  <c r="R195" i="6"/>
  <c r="R183" i="6"/>
  <c r="R171" i="6"/>
  <c r="R159" i="6"/>
  <c r="R147" i="6"/>
  <c r="R135" i="6"/>
  <c r="R123" i="6"/>
  <c r="R111" i="6"/>
  <c r="R99" i="6"/>
  <c r="R87" i="6"/>
  <c r="R75" i="6"/>
  <c r="R63" i="6"/>
  <c r="R51" i="6"/>
  <c r="R39" i="6"/>
  <c r="R27" i="6"/>
  <c r="R15" i="6"/>
  <c r="R746" i="6"/>
  <c r="R734" i="6"/>
  <c r="R722" i="6"/>
  <c r="R710" i="6"/>
  <c r="R698" i="6"/>
  <c r="R686" i="6"/>
  <c r="R674" i="6"/>
  <c r="R662" i="6"/>
  <c r="R650" i="6"/>
  <c r="R638" i="6"/>
  <c r="R626" i="6"/>
  <c r="R614" i="6"/>
  <c r="R602" i="6"/>
  <c r="R590" i="6"/>
  <c r="R578" i="6"/>
  <c r="R566" i="6"/>
  <c r="R554" i="6"/>
  <c r="R542" i="6"/>
  <c r="R530" i="6"/>
  <c r="R518" i="6"/>
  <c r="R506" i="6"/>
  <c r="R494" i="6"/>
  <c r="R482" i="6"/>
  <c r="R470" i="6"/>
  <c r="R458" i="6"/>
  <c r="R446" i="6"/>
  <c r="R434" i="6"/>
  <c r="R422" i="6"/>
  <c r="R410" i="6"/>
  <c r="R398" i="6"/>
  <c r="R386" i="6"/>
  <c r="R374" i="6"/>
  <c r="R362" i="6"/>
  <c r="R350" i="6"/>
  <c r="R338" i="6"/>
  <c r="R326" i="6"/>
  <c r="R314" i="6"/>
  <c r="R302" i="6"/>
  <c r="R290" i="6"/>
  <c r="R266" i="6"/>
  <c r="R254" i="6"/>
  <c r="R230" i="6"/>
  <c r="R218" i="6"/>
  <c r="R194" i="6"/>
  <c r="R182" i="6"/>
  <c r="R158" i="6"/>
  <c r="R146" i="6"/>
  <c r="R122" i="6"/>
  <c r="R110" i="6"/>
  <c r="R98" i="6"/>
  <c r="R86" i="6"/>
  <c r="R50" i="6"/>
  <c r="R38" i="6"/>
  <c r="R26" i="6"/>
  <c r="R305" i="6"/>
  <c r="R469" i="6"/>
  <c r="R457" i="6"/>
  <c r="R445" i="6"/>
  <c r="R433" i="6"/>
  <c r="R421" i="6"/>
  <c r="R409" i="6"/>
  <c r="R397" i="6"/>
  <c r="R385" i="6"/>
  <c r="R373" i="6"/>
  <c r="R361" i="6"/>
  <c r="R349" i="6"/>
  <c r="R337" i="6"/>
  <c r="R325" i="6"/>
  <c r="R313" i="6"/>
  <c r="R301" i="6"/>
  <c r="R289" i="6"/>
  <c r="R277" i="6"/>
  <c r="R265" i="6"/>
  <c r="R253" i="6"/>
  <c r="R241" i="6"/>
  <c r="R229" i="6"/>
  <c r="R217" i="6"/>
  <c r="R205" i="6"/>
  <c r="R193" i="6"/>
  <c r="R181" i="6"/>
  <c r="R169" i="6"/>
  <c r="R157" i="6"/>
  <c r="R145" i="6"/>
  <c r="R744" i="6"/>
  <c r="R732" i="6"/>
  <c r="R720" i="6"/>
  <c r="R708" i="6"/>
  <c r="R696" i="6"/>
  <c r="R684" i="6"/>
  <c r="R672" i="6"/>
  <c r="R660" i="6"/>
  <c r="R648" i="6"/>
  <c r="R636" i="6"/>
  <c r="R624" i="6"/>
  <c r="R612" i="6"/>
  <c r="R600" i="6"/>
  <c r="R588" i="6"/>
  <c r="R576" i="6"/>
  <c r="R564" i="6"/>
  <c r="R552" i="6"/>
  <c r="R540" i="6"/>
  <c r="R528" i="6"/>
  <c r="R516" i="6"/>
  <c r="R504" i="6"/>
  <c r="R492" i="6"/>
  <c r="R480" i="6"/>
  <c r="R468" i="6"/>
  <c r="R456" i="6"/>
  <c r="R444" i="6"/>
  <c r="R432" i="6"/>
  <c r="R420" i="6"/>
  <c r="R408" i="6"/>
  <c r="R396" i="6"/>
  <c r="R384" i="6"/>
  <c r="R372" i="6"/>
  <c r="R360" i="6"/>
  <c r="R348" i="6"/>
  <c r="R336" i="6"/>
  <c r="R324" i="6"/>
  <c r="R312" i="6"/>
  <c r="R300" i="6"/>
  <c r="R288" i="6"/>
  <c r="R276" i="6"/>
  <c r="R264" i="6"/>
  <c r="R252" i="6"/>
  <c r="R240" i="6"/>
  <c r="R228" i="6"/>
  <c r="R216" i="6"/>
  <c r="R204" i="6"/>
  <c r="R192" i="6"/>
  <c r="R180" i="6"/>
  <c r="R168" i="6"/>
  <c r="R156" i="6"/>
  <c r="R144" i="6"/>
  <c r="R293" i="6"/>
  <c r="R281" i="6"/>
  <c r="R269" i="6"/>
  <c r="R257" i="6"/>
  <c r="R245" i="6"/>
  <c r="R233" i="6"/>
  <c r="R221" i="6"/>
  <c r="R209" i="6"/>
  <c r="R197" i="6"/>
  <c r="R185" i="6"/>
  <c r="R173" i="6"/>
  <c r="R161" i="6"/>
  <c r="R149" i="6"/>
  <c r="R137" i="6"/>
  <c r="R125" i="6"/>
  <c r="R113" i="6"/>
  <c r="R101" i="6"/>
  <c r="R89" i="6"/>
  <c r="R77" i="6"/>
  <c r="R65" i="6"/>
  <c r="R53" i="6"/>
  <c r="R41" i="6"/>
  <c r="R29" i="6"/>
  <c r="R17" i="6"/>
  <c r="R133" i="6"/>
  <c r="R121" i="6"/>
  <c r="R109" i="6"/>
  <c r="R97" i="6"/>
  <c r="R85" i="6"/>
  <c r="R73" i="6"/>
  <c r="R61" i="6"/>
  <c r="R49" i="6"/>
  <c r="R37" i="6"/>
  <c r="R25" i="6"/>
  <c r="R132" i="6"/>
  <c r="R120" i="6"/>
  <c r="R108" i="6"/>
  <c r="R96" i="6"/>
  <c r="R84" i="6"/>
  <c r="R72" i="6"/>
  <c r="R60" i="6"/>
  <c r="R48" i="6"/>
  <c r="R36" i="6"/>
  <c r="R24" i="6"/>
  <c r="R287" i="6"/>
  <c r="R275" i="6"/>
  <c r="R263" i="6"/>
  <c r="R251" i="6"/>
  <c r="R239" i="6"/>
  <c r="R227" i="6"/>
  <c r="R215" i="6"/>
  <c r="R203" i="6"/>
  <c r="R191" i="6"/>
  <c r="R179" i="6"/>
  <c r="R167" i="6"/>
  <c r="R155" i="6"/>
  <c r="R143" i="6"/>
  <c r="R131" i="6"/>
  <c r="R119" i="6"/>
  <c r="R107" i="6"/>
  <c r="R95" i="6"/>
  <c r="R83" i="6"/>
  <c r="R71" i="6"/>
  <c r="R59" i="6"/>
  <c r="R47" i="6"/>
  <c r="R35" i="6"/>
  <c r="R23" i="6"/>
  <c r="R130" i="6"/>
  <c r="R118" i="6"/>
  <c r="R106" i="6"/>
  <c r="R94" i="6"/>
  <c r="R82" i="6"/>
  <c r="R70" i="6"/>
  <c r="R58" i="6"/>
  <c r="R46" i="6"/>
  <c r="R34" i="6"/>
  <c r="R22" i="6"/>
  <c r="R189" i="6"/>
  <c r="R177" i="6"/>
  <c r="R165" i="6"/>
  <c r="R153" i="6"/>
  <c r="R141" i="6"/>
  <c r="R129" i="6"/>
  <c r="R117" i="6"/>
  <c r="R105" i="6"/>
  <c r="R93" i="6"/>
  <c r="R81" i="6"/>
  <c r="R69" i="6"/>
  <c r="R57" i="6"/>
  <c r="R45" i="6"/>
  <c r="R33" i="6"/>
  <c r="R21" i="6"/>
  <c r="R296" i="6"/>
  <c r="R284" i="6"/>
  <c r="R272" i="6"/>
  <c r="R260" i="6"/>
  <c r="R248" i="6"/>
  <c r="R236" i="6"/>
  <c r="R224" i="6"/>
  <c r="R212" i="6"/>
  <c r="R200" i="6"/>
  <c r="R188" i="6"/>
  <c r="R176" i="6"/>
  <c r="R164" i="6"/>
  <c r="R152" i="6"/>
  <c r="R140" i="6"/>
  <c r="R128" i="6"/>
  <c r="R116" i="6"/>
  <c r="R104" i="6"/>
  <c r="R92" i="6"/>
  <c r="R80" i="6"/>
  <c r="R68" i="6"/>
  <c r="R56" i="6"/>
  <c r="R44" i="6"/>
  <c r="R32" i="6"/>
  <c r="R20" i="6"/>
  <c r="R294" i="6"/>
  <c r="R282" i="6"/>
  <c r="R270" i="6"/>
  <c r="R258" i="6"/>
  <c r="R246" i="6"/>
  <c r="R234" i="6"/>
  <c r="R222" i="6"/>
  <c r="R210" i="6"/>
  <c r="R198" i="6"/>
  <c r="R186" i="6"/>
  <c r="R174" i="6"/>
  <c r="R162" i="6"/>
  <c r="R150" i="6"/>
  <c r="R138" i="6"/>
  <c r="R126" i="6"/>
  <c r="R114" i="6"/>
  <c r="R102" i="6"/>
  <c r="R90" i="6"/>
  <c r="R78" i="6"/>
  <c r="R66" i="6"/>
  <c r="R54" i="6"/>
  <c r="R42" i="6"/>
  <c r="R30" i="6"/>
  <c r="R18" i="6"/>
  <c r="G482" i="6" l="1"/>
  <c r="G700" i="6"/>
  <c r="G356" i="6"/>
  <c r="G230" i="6"/>
  <c r="L160" i="6"/>
  <c r="G79" i="6"/>
  <c r="G223" i="6"/>
  <c r="G742" i="6"/>
  <c r="G422" i="6"/>
  <c r="G708" i="6"/>
  <c r="G726" i="6"/>
  <c r="H728" i="6" s="1"/>
  <c r="L617" i="6"/>
  <c r="G67" i="6"/>
  <c r="G211" i="6"/>
  <c r="G476" i="6"/>
  <c r="G554" i="6"/>
  <c r="G692" i="6"/>
  <c r="G662" i="6"/>
  <c r="L657" i="6"/>
  <c r="L130" i="6"/>
  <c r="L82" i="6"/>
  <c r="G453" i="6"/>
  <c r="H454" i="6" s="1"/>
  <c r="G274" i="6"/>
  <c r="G43" i="6"/>
  <c r="G187" i="6"/>
  <c r="G93" i="6"/>
  <c r="H502" i="6"/>
  <c r="G738" i="6"/>
  <c r="L77" i="6"/>
  <c r="G340" i="6"/>
  <c r="S168" i="6"/>
  <c r="U168" i="6" s="1"/>
  <c r="G405" i="6"/>
  <c r="G416" i="6"/>
  <c r="G656" i="6"/>
  <c r="G216" i="6"/>
  <c r="G332" i="6"/>
  <c r="G643" i="6"/>
  <c r="G609" i="6"/>
  <c r="L291" i="6"/>
  <c r="L524" i="6"/>
  <c r="L668" i="6"/>
  <c r="H514" i="6"/>
  <c r="L535" i="6"/>
  <c r="L531" i="6"/>
  <c r="G465" i="6"/>
  <c r="G118" i="6"/>
  <c r="S300" i="6"/>
  <c r="U300" i="6" s="1"/>
  <c r="G74" i="6"/>
  <c r="G302" i="6"/>
  <c r="L22" i="6"/>
  <c r="L214" i="6"/>
  <c r="G644" i="6"/>
  <c r="G417" i="6"/>
  <c r="S312" i="6"/>
  <c r="U312" i="6" s="1"/>
  <c r="G456" i="6"/>
  <c r="G636" i="6"/>
  <c r="L610" i="6"/>
  <c r="L665" i="6"/>
  <c r="G68" i="6"/>
  <c r="G730" i="6"/>
  <c r="S301" i="6"/>
  <c r="U301" i="6" s="1"/>
  <c r="S148" i="6"/>
  <c r="U148" i="6" s="1"/>
  <c r="S292" i="6"/>
  <c r="U292" i="6" s="1"/>
  <c r="L26" i="6"/>
  <c r="G34" i="6"/>
  <c r="G178" i="6"/>
  <c r="G616" i="6"/>
  <c r="G638" i="6"/>
  <c r="S86" i="6"/>
  <c r="U86" i="6" s="1"/>
  <c r="S87" i="6"/>
  <c r="U87" i="6" s="1"/>
  <c r="S456" i="6"/>
  <c r="U456" i="6" s="1"/>
  <c r="S600" i="6"/>
  <c r="U600" i="6" s="1"/>
  <c r="S698" i="6"/>
  <c r="U698" i="6" s="1"/>
  <c r="S429" i="6"/>
  <c r="U429" i="6" s="1"/>
  <c r="L171" i="6"/>
  <c r="L315" i="6"/>
  <c r="L724" i="6"/>
  <c r="G83" i="6"/>
  <c r="G553" i="6"/>
  <c r="G301" i="6"/>
  <c r="G632" i="6"/>
  <c r="L41" i="6"/>
  <c r="L725" i="6"/>
  <c r="G679" i="6"/>
  <c r="G635" i="6"/>
  <c r="G141" i="6"/>
  <c r="S732" i="6"/>
  <c r="U732" i="6" s="1"/>
  <c r="L88" i="6"/>
  <c r="L560" i="6"/>
  <c r="L705" i="6"/>
  <c r="H300" i="6"/>
  <c r="G217" i="6"/>
  <c r="G86" i="6"/>
  <c r="G430" i="6"/>
  <c r="S265" i="6"/>
  <c r="U265" i="6" s="1"/>
  <c r="L100" i="6"/>
  <c r="L557" i="6"/>
  <c r="L208" i="6"/>
  <c r="L269" i="6"/>
  <c r="L437" i="6"/>
  <c r="G270" i="6"/>
  <c r="G415" i="6"/>
  <c r="G165" i="6"/>
  <c r="G25" i="6"/>
  <c r="G357" i="6"/>
  <c r="G718" i="6"/>
  <c r="G139" i="6"/>
  <c r="G283" i="6"/>
  <c r="G427" i="6"/>
  <c r="G33" i="6"/>
  <c r="G177" i="6"/>
  <c r="H180" i="6" s="1"/>
  <c r="G720" i="6"/>
  <c r="G346" i="6"/>
  <c r="G333" i="6"/>
  <c r="H336" i="6" s="1"/>
  <c r="L387" i="6"/>
  <c r="G57" i="6"/>
  <c r="G201" i="6"/>
  <c r="G252" i="6"/>
  <c r="H253" i="6" s="1"/>
  <c r="G518" i="6"/>
  <c r="G676" i="6"/>
  <c r="G358" i="6"/>
  <c r="G455" i="6"/>
  <c r="S25" i="6"/>
  <c r="U25" i="6" s="1"/>
  <c r="L111" i="6"/>
  <c r="L255" i="6"/>
  <c r="L148" i="6"/>
  <c r="L89" i="6"/>
  <c r="G607" i="6"/>
  <c r="G278" i="6"/>
  <c r="G360" i="6"/>
  <c r="G655" i="6"/>
  <c r="L265" i="6"/>
  <c r="L16" i="6"/>
  <c r="G331" i="6"/>
  <c r="G50" i="6"/>
  <c r="G454" i="6"/>
  <c r="G532" i="6"/>
  <c r="G237" i="6"/>
  <c r="G623" i="6"/>
  <c r="H373" i="6"/>
  <c r="G62" i="6"/>
  <c r="G552" i="6"/>
  <c r="G338" i="6"/>
  <c r="G52" i="6"/>
  <c r="G577" i="6"/>
  <c r="L202" i="6"/>
  <c r="G224" i="6"/>
  <c r="G598" i="6"/>
  <c r="G407" i="6"/>
  <c r="G418" i="6"/>
  <c r="G611" i="6"/>
  <c r="G275" i="6"/>
  <c r="G684" i="6"/>
  <c r="G264" i="6"/>
  <c r="G404" i="6"/>
  <c r="G560" i="6"/>
  <c r="H562" i="6" s="1"/>
  <c r="G564" i="6"/>
  <c r="S125" i="6"/>
  <c r="U125" i="6" s="1"/>
  <c r="S138" i="6"/>
  <c r="U138" i="6" s="1"/>
  <c r="L219" i="6"/>
  <c r="L112" i="6"/>
  <c r="L286" i="6"/>
  <c r="L239" i="6"/>
  <c r="L431" i="6"/>
  <c r="L604" i="6"/>
  <c r="G115" i="6"/>
  <c r="G259" i="6"/>
  <c r="G403" i="6"/>
  <c r="G225" i="6"/>
  <c r="G610" i="6"/>
  <c r="G637" i="6"/>
  <c r="G352" i="6"/>
  <c r="G104" i="6"/>
  <c r="G248" i="6"/>
  <c r="G392" i="6"/>
  <c r="G548" i="6"/>
  <c r="H551" i="6" s="1"/>
  <c r="L65" i="6"/>
  <c r="G344" i="6"/>
  <c r="G228" i="6"/>
  <c r="G432" i="6"/>
  <c r="G601" i="6"/>
  <c r="S157" i="6"/>
  <c r="U157" i="6" s="1"/>
  <c r="S618" i="6"/>
  <c r="U618" i="6" s="1"/>
  <c r="S632" i="6"/>
  <c r="U632" i="6" s="1"/>
  <c r="L97" i="6"/>
  <c r="L243" i="6"/>
  <c r="L455" i="6"/>
  <c r="L593" i="6"/>
  <c r="L622" i="6"/>
  <c r="G388" i="6"/>
  <c r="G443" i="6"/>
  <c r="G263" i="6"/>
  <c r="G444" i="6"/>
  <c r="L106" i="6"/>
  <c r="G682" i="6"/>
  <c r="L399" i="6"/>
  <c r="L95" i="6"/>
  <c r="G410" i="6"/>
  <c r="L85" i="6"/>
  <c r="L226" i="6"/>
  <c r="G620" i="6"/>
  <c r="S493" i="6"/>
  <c r="U493" i="6" s="1"/>
  <c r="L356" i="6"/>
  <c r="L689" i="6"/>
  <c r="L317" i="6"/>
  <c r="G140" i="6"/>
  <c r="G697" i="6"/>
  <c r="G182" i="6"/>
  <c r="S160" i="6"/>
  <c r="U160" i="6" s="1"/>
  <c r="S48" i="6"/>
  <c r="U48" i="6" s="1"/>
  <c r="S192" i="6"/>
  <c r="U192" i="6" s="1"/>
  <c r="S95" i="6"/>
  <c r="U95" i="6" s="1"/>
  <c r="S239" i="6"/>
  <c r="U239" i="6" s="1"/>
  <c r="S222" i="6"/>
  <c r="U222" i="6" s="1"/>
  <c r="S366" i="6"/>
  <c r="U366" i="6" s="1"/>
  <c r="S654" i="6"/>
  <c r="U654" i="6" s="1"/>
  <c r="S331" i="6"/>
  <c r="U331" i="6" s="1"/>
  <c r="S475" i="6"/>
  <c r="U475" i="6" s="1"/>
  <c r="S380" i="6"/>
  <c r="U380" i="6" s="1"/>
  <c r="S524" i="6"/>
  <c r="U524" i="6" s="1"/>
  <c r="S668" i="6"/>
  <c r="U668" i="6" s="1"/>
  <c r="S420" i="6"/>
  <c r="U420" i="6" s="1"/>
  <c r="L280" i="6"/>
  <c r="L621" i="6"/>
  <c r="G164" i="6"/>
  <c r="G285" i="6"/>
  <c r="G58" i="6"/>
  <c r="G202" i="6"/>
  <c r="G239" i="6"/>
  <c r="S169" i="6"/>
  <c r="U169" i="6" s="1"/>
  <c r="L62" i="6"/>
  <c r="L423" i="6"/>
  <c r="L603" i="6"/>
  <c r="G176" i="6"/>
  <c r="G626" i="6"/>
  <c r="G596" i="6"/>
  <c r="G604" i="6"/>
  <c r="G706" i="6"/>
  <c r="H707" i="6" s="1"/>
  <c r="G515" i="6"/>
  <c r="S323" i="6"/>
  <c r="U323" i="6" s="1"/>
  <c r="L303" i="6"/>
  <c r="L581" i="6"/>
  <c r="G406" i="6"/>
  <c r="H408" i="6" s="1"/>
  <c r="G144" i="6"/>
  <c r="G419" i="6"/>
  <c r="G313" i="6"/>
  <c r="G310" i="6"/>
  <c r="H313" i="6" s="1"/>
  <c r="G563" i="6"/>
  <c r="L178" i="6"/>
  <c r="L701" i="6"/>
  <c r="G683" i="6"/>
  <c r="S240" i="6"/>
  <c r="U240" i="6" s="1"/>
  <c r="L76" i="6"/>
  <c r="L469" i="6"/>
  <c r="L113" i="6"/>
  <c r="L17" i="6"/>
  <c r="G320" i="6"/>
  <c r="H323" i="6" s="1"/>
  <c r="G457" i="6"/>
  <c r="H459" i="6" s="1"/>
  <c r="G664" i="6"/>
  <c r="G721" i="6"/>
  <c r="L507" i="6"/>
  <c r="L376" i="6"/>
  <c r="L401" i="6"/>
  <c r="L201" i="6"/>
  <c r="L718" i="6"/>
  <c r="G667" i="6"/>
  <c r="G170" i="6"/>
  <c r="G517" i="6"/>
  <c r="G290" i="6"/>
  <c r="G562" i="6"/>
  <c r="L63" i="6"/>
  <c r="L207" i="6"/>
  <c r="L485" i="6"/>
  <c r="L184" i="6"/>
  <c r="L388" i="6"/>
  <c r="L245" i="6"/>
  <c r="L548" i="6"/>
  <c r="L693" i="6"/>
  <c r="L586" i="6"/>
  <c r="G393" i="6"/>
  <c r="G130" i="6"/>
  <c r="G408" i="6"/>
  <c r="G520" i="6"/>
  <c r="G743" i="6"/>
  <c r="H744" i="6" s="1"/>
  <c r="G255" i="6"/>
  <c r="S410" i="6"/>
  <c r="U410" i="6" s="1"/>
  <c r="S554" i="6"/>
  <c r="U554" i="6" s="1"/>
  <c r="L504" i="6"/>
  <c r="L495" i="6"/>
  <c r="G345" i="6"/>
  <c r="G76" i="6"/>
  <c r="G244" i="6"/>
  <c r="G256" i="6"/>
  <c r="G670" i="6"/>
  <c r="L123" i="6"/>
  <c r="L47" i="6"/>
  <c r="L324" i="6"/>
  <c r="L121" i="6"/>
  <c r="L199" i="6"/>
  <c r="G355" i="6"/>
  <c r="G249" i="6"/>
  <c r="H252" i="6" s="1"/>
  <c r="G59" i="6"/>
  <c r="L107" i="6"/>
  <c r="S263" i="6"/>
  <c r="U263" i="6" s="1"/>
  <c r="S446" i="6"/>
  <c r="U446" i="6" s="1"/>
  <c r="S590" i="6"/>
  <c r="U590" i="6" s="1"/>
  <c r="L28" i="6"/>
  <c r="L443" i="6"/>
  <c r="L400" i="6"/>
  <c r="L425" i="6"/>
  <c r="L354" i="6"/>
  <c r="G71" i="6"/>
  <c r="G442" i="6"/>
  <c r="G429" i="6"/>
  <c r="G675" i="6"/>
  <c r="G466" i="6"/>
  <c r="L262" i="6"/>
  <c r="G286" i="6"/>
  <c r="G468" i="6"/>
  <c r="G648" i="6"/>
  <c r="L276" i="6"/>
  <c r="G431" i="6"/>
  <c r="S84" i="6"/>
  <c r="U84" i="6" s="1"/>
  <c r="S275" i="6"/>
  <c r="U275" i="6" s="1"/>
  <c r="S744" i="6"/>
  <c r="U744" i="6" s="1"/>
  <c r="S322" i="6"/>
  <c r="U322" i="6" s="1"/>
  <c r="L325" i="6"/>
  <c r="L234" i="6"/>
  <c r="L416" i="6"/>
  <c r="L571" i="6"/>
  <c r="L716" i="6"/>
  <c r="G91" i="6"/>
  <c r="G235" i="6"/>
  <c r="G227" i="6"/>
  <c r="G262" i="6"/>
  <c r="H264" i="6" s="1"/>
  <c r="G181" i="6"/>
  <c r="G494" i="6"/>
  <c r="G243" i="6"/>
  <c r="S142" i="6"/>
  <c r="U142" i="6" s="1"/>
  <c r="S286" i="6"/>
  <c r="U286" i="6" s="1"/>
  <c r="S425" i="6"/>
  <c r="U425" i="6" s="1"/>
  <c r="L70" i="6"/>
  <c r="L730" i="6"/>
  <c r="G103" i="6"/>
  <c r="G247" i="6"/>
  <c r="G391" i="6"/>
  <c r="G680" i="6"/>
  <c r="S711" i="6"/>
  <c r="U711" i="6" s="1"/>
  <c r="S484" i="6"/>
  <c r="U484" i="6" s="1"/>
  <c r="G232" i="6"/>
  <c r="S616" i="6"/>
  <c r="U616" i="6" s="1"/>
  <c r="G739" i="6"/>
  <c r="G715" i="6"/>
  <c r="L83" i="6"/>
  <c r="S580" i="6"/>
  <c r="U580" i="6" s="1"/>
  <c r="S724" i="6"/>
  <c r="U724" i="6" s="1"/>
  <c r="L64" i="6"/>
  <c r="L436" i="6"/>
  <c r="L125" i="6"/>
  <c r="L406" i="6"/>
  <c r="L198" i="6"/>
  <c r="L414" i="6"/>
  <c r="G547" i="6"/>
  <c r="G153" i="6"/>
  <c r="S121" i="6"/>
  <c r="U121" i="6" s="1"/>
  <c r="S734" i="6"/>
  <c r="U734" i="6" s="1"/>
  <c r="L327" i="6"/>
  <c r="L723" i="6"/>
  <c r="L496" i="6"/>
  <c r="G702" i="6"/>
  <c r="H705" i="6" s="1"/>
  <c r="S220" i="6"/>
  <c r="U220" i="6" s="1"/>
  <c r="S276" i="6"/>
  <c r="U276" i="6" s="1"/>
  <c r="S278" i="6"/>
  <c r="U278" i="6" s="1"/>
  <c r="S179" i="6"/>
  <c r="U179" i="6" s="1"/>
  <c r="S746" i="6"/>
  <c r="U746" i="6" s="1"/>
  <c r="L545" i="6"/>
  <c r="H528" i="6"/>
  <c r="G688" i="6"/>
  <c r="G555" i="6"/>
  <c r="H556" i="6" s="1"/>
  <c r="G735" i="6"/>
  <c r="G733" i="6"/>
  <c r="S280" i="6"/>
  <c r="U280" i="6" s="1"/>
  <c r="L229" i="6"/>
  <c r="L258" i="6"/>
  <c r="H586" i="6"/>
  <c r="G368" i="6"/>
  <c r="G428" i="6"/>
  <c r="G599" i="6"/>
  <c r="S172" i="6"/>
  <c r="U172" i="6" s="1"/>
  <c r="L427" i="6"/>
  <c r="G26" i="6"/>
  <c r="G660" i="6"/>
  <c r="G544" i="6"/>
  <c r="S70" i="6"/>
  <c r="U70" i="6" s="1"/>
  <c r="S214" i="6"/>
  <c r="U214" i="6" s="1"/>
  <c r="L231" i="6"/>
  <c r="L375" i="6"/>
  <c r="L124" i="6"/>
  <c r="L653" i="6"/>
  <c r="L532" i="6"/>
  <c r="S156" i="6"/>
  <c r="U156" i="6" s="1"/>
  <c r="S439" i="6"/>
  <c r="U439" i="6" s="1"/>
  <c r="S615" i="6"/>
  <c r="U615" i="6" s="1"/>
  <c r="S569" i="6"/>
  <c r="U569" i="6" s="1"/>
  <c r="S710" i="6"/>
  <c r="U710" i="6" s="1"/>
  <c r="S573" i="6"/>
  <c r="U573" i="6" s="1"/>
  <c r="S669" i="6"/>
  <c r="U669" i="6" s="1"/>
  <c r="S683" i="6"/>
  <c r="U683" i="6" s="1"/>
  <c r="S457" i="6"/>
  <c r="U457" i="6" s="1"/>
  <c r="S553" i="6"/>
  <c r="U553" i="6" s="1"/>
  <c r="S383" i="6"/>
  <c r="U383" i="6" s="1"/>
  <c r="L418" i="6"/>
  <c r="L433" i="6"/>
  <c r="L435" i="6"/>
  <c r="L289" i="6"/>
  <c r="L651" i="6"/>
  <c r="L619" i="6"/>
  <c r="G116" i="6"/>
  <c r="G95" i="6"/>
  <c r="G654" i="6"/>
  <c r="G231" i="6"/>
  <c r="G495" i="6"/>
  <c r="G658" i="6"/>
  <c r="S37" i="6"/>
  <c r="U37" i="6" s="1"/>
  <c r="S181" i="6"/>
  <c r="U181" i="6" s="1"/>
  <c r="S479" i="6"/>
  <c r="U479" i="6" s="1"/>
  <c r="S695" i="6"/>
  <c r="U695" i="6" s="1"/>
  <c r="L492" i="6"/>
  <c r="L313" i="6"/>
  <c r="L521" i="6"/>
  <c r="L675" i="6"/>
  <c r="L53" i="6"/>
  <c r="L404" i="6"/>
  <c r="L150" i="6"/>
  <c r="L742" i="6"/>
  <c r="H382" i="6"/>
  <c r="G523" i="6"/>
  <c r="H526" i="6" s="1"/>
  <c r="G309" i="6"/>
  <c r="G110" i="6"/>
  <c r="G48" i="6"/>
  <c r="G137" i="6"/>
  <c r="S50" i="6"/>
  <c r="U50" i="6" s="1"/>
  <c r="S51" i="6"/>
  <c r="U51" i="6" s="1"/>
  <c r="S185" i="6"/>
  <c r="U185" i="6" s="1"/>
  <c r="S79" i="6"/>
  <c r="U79" i="6" s="1"/>
  <c r="S510" i="6"/>
  <c r="U510" i="6" s="1"/>
  <c r="S200" i="6"/>
  <c r="U200" i="6" s="1"/>
  <c r="S69" i="6"/>
  <c r="U69" i="6" s="1"/>
  <c r="S213" i="6"/>
  <c r="U213" i="6" s="1"/>
  <c r="S82" i="6"/>
  <c r="U82" i="6" s="1"/>
  <c r="S274" i="6"/>
  <c r="U274" i="6" s="1"/>
  <c r="S564" i="6"/>
  <c r="U564" i="6" s="1"/>
  <c r="S708" i="6"/>
  <c r="U708" i="6" s="1"/>
  <c r="S291" i="6"/>
  <c r="U291" i="6" s="1"/>
  <c r="S314" i="6"/>
  <c r="U314" i="6" s="1"/>
  <c r="S284" i="6"/>
  <c r="U284" i="6" s="1"/>
  <c r="S705" i="6"/>
  <c r="U705" i="6" s="1"/>
  <c r="S539" i="6"/>
  <c r="U539" i="6" s="1"/>
  <c r="S743" i="6"/>
  <c r="U743" i="6" s="1"/>
  <c r="L300" i="6"/>
  <c r="L223" i="6"/>
  <c r="G94" i="6"/>
  <c r="H360" i="6"/>
  <c r="G467" i="6"/>
  <c r="G84" i="6"/>
  <c r="G578" i="6"/>
  <c r="S194" i="6"/>
  <c r="U194" i="6" s="1"/>
  <c r="S41" i="6"/>
  <c r="U41" i="6" s="1"/>
  <c r="S54" i="6"/>
  <c r="U54" i="6" s="1"/>
  <c r="S60" i="6"/>
  <c r="U60" i="6" s="1"/>
  <c r="S204" i="6"/>
  <c r="U204" i="6" s="1"/>
  <c r="S62" i="6"/>
  <c r="U62" i="6" s="1"/>
  <c r="S206" i="6"/>
  <c r="U206" i="6" s="1"/>
  <c r="S63" i="6"/>
  <c r="U63" i="6" s="1"/>
  <c r="S28" i="6"/>
  <c r="U28" i="6" s="1"/>
  <c r="S107" i="6"/>
  <c r="U107" i="6" s="1"/>
  <c r="S251" i="6"/>
  <c r="U251" i="6" s="1"/>
  <c r="S680" i="6"/>
  <c r="U680" i="6" s="1"/>
  <c r="S298" i="6"/>
  <c r="U298" i="6" s="1"/>
  <c r="S326" i="6"/>
  <c r="U326" i="6" s="1"/>
  <c r="S333" i="6"/>
  <c r="U333" i="6" s="1"/>
  <c r="S477" i="6"/>
  <c r="U477" i="6" s="1"/>
  <c r="S370" i="6"/>
  <c r="U370" i="6" s="1"/>
  <c r="S718" i="6"/>
  <c r="U718" i="6" s="1"/>
  <c r="S551" i="6"/>
  <c r="U551" i="6" s="1"/>
  <c r="L312" i="6"/>
  <c r="L516" i="6"/>
  <c r="L170" i="6"/>
  <c r="L555" i="6"/>
  <c r="L699" i="6"/>
  <c r="L232" i="6"/>
  <c r="L424" i="6"/>
  <c r="L101" i="6"/>
  <c r="L281" i="6"/>
  <c r="L449" i="6"/>
  <c r="L261" i="6"/>
  <c r="L585" i="6"/>
  <c r="L729" i="6"/>
  <c r="L259" i="6"/>
  <c r="G200" i="6"/>
  <c r="G669" i="6"/>
  <c r="H672" i="6" s="1"/>
  <c r="G668" i="6"/>
  <c r="G717" i="6"/>
  <c r="H720" i="6" s="1"/>
  <c r="G492" i="6"/>
  <c r="G287" i="6"/>
  <c r="S338" i="6"/>
  <c r="U338" i="6" s="1"/>
  <c r="S628" i="6"/>
  <c r="U628" i="6" s="1"/>
  <c r="S730" i="6"/>
  <c r="U730" i="6" s="1"/>
  <c r="S589" i="6"/>
  <c r="U589" i="6" s="1"/>
  <c r="S721" i="6"/>
  <c r="U721" i="6" s="1"/>
  <c r="L40" i="6"/>
  <c r="L478" i="6"/>
  <c r="L241" i="6"/>
  <c r="L182" i="6"/>
  <c r="L629" i="6"/>
  <c r="L567" i="6"/>
  <c r="L741" i="6"/>
  <c r="G126" i="6"/>
  <c r="G732" i="6"/>
  <c r="G339" i="6"/>
  <c r="G659" i="6"/>
  <c r="S402" i="6"/>
  <c r="U402" i="6" s="1"/>
  <c r="S546" i="6"/>
  <c r="U546" i="6" s="1"/>
  <c r="S690" i="6"/>
  <c r="U690" i="6" s="1"/>
  <c r="S260" i="6"/>
  <c r="U260" i="6" s="1"/>
  <c r="S105" i="6"/>
  <c r="U105" i="6" s="1"/>
  <c r="S249" i="6"/>
  <c r="U249" i="6" s="1"/>
  <c r="S118" i="6"/>
  <c r="U118" i="6" s="1"/>
  <c r="S353" i="6"/>
  <c r="U353" i="6" s="1"/>
  <c r="S497" i="6"/>
  <c r="U497" i="6" s="1"/>
  <c r="S641" i="6"/>
  <c r="U641" i="6" s="1"/>
  <c r="S406" i="6"/>
  <c r="U406" i="6" s="1"/>
  <c r="S397" i="6"/>
  <c r="U397" i="6" s="1"/>
  <c r="S601" i="6"/>
  <c r="U601" i="6" s="1"/>
  <c r="S731" i="6"/>
  <c r="U731" i="6" s="1"/>
  <c r="L52" i="6"/>
  <c r="L190" i="6"/>
  <c r="L251" i="6"/>
  <c r="L360" i="6"/>
  <c r="L540" i="6"/>
  <c r="L374" i="6"/>
  <c r="L579" i="6"/>
  <c r="L256" i="6"/>
  <c r="L137" i="6"/>
  <c r="L34" i="6"/>
  <c r="L292" i="6"/>
  <c r="G395" i="6"/>
  <c r="G102" i="6"/>
  <c r="H590" i="6"/>
  <c r="G516" i="6"/>
  <c r="G97" i="6"/>
  <c r="G323" i="6"/>
  <c r="H324" i="6" s="1"/>
  <c r="S228" i="6"/>
  <c r="U228" i="6" s="1"/>
  <c r="S131" i="6"/>
  <c r="U131" i="6" s="1"/>
  <c r="S652" i="6"/>
  <c r="U652" i="6" s="1"/>
  <c r="S409" i="6"/>
  <c r="U409" i="6" s="1"/>
  <c r="S674" i="6"/>
  <c r="U674" i="6" s="1"/>
  <c r="L275" i="6"/>
  <c r="L218" i="6"/>
  <c r="L386" i="6"/>
  <c r="L710" i="6"/>
  <c r="L411" i="6"/>
  <c r="L735" i="6"/>
  <c r="L268" i="6"/>
  <c r="L161" i="6"/>
  <c r="L329" i="6"/>
  <c r="L641" i="6"/>
  <c r="L690" i="6"/>
  <c r="L658" i="6"/>
  <c r="G151" i="6"/>
  <c r="G295" i="6"/>
  <c r="G15" i="6"/>
  <c r="G236" i="6"/>
  <c r="G138" i="6"/>
  <c r="G464" i="6"/>
  <c r="H505" i="6"/>
  <c r="G276" i="6"/>
  <c r="G576" i="6"/>
  <c r="G145" i="6"/>
  <c r="H146" i="6" s="1"/>
  <c r="G196" i="6"/>
  <c r="G603" i="6"/>
  <c r="H604" i="6" s="1"/>
  <c r="G347" i="6"/>
  <c r="S258" i="6"/>
  <c r="U258" i="6" s="1"/>
  <c r="S376" i="6"/>
  <c r="U376" i="6" s="1"/>
  <c r="S520" i="6"/>
  <c r="U520" i="6" s="1"/>
  <c r="S527" i="6"/>
  <c r="U527" i="6" s="1"/>
  <c r="S625" i="6"/>
  <c r="U625" i="6" s="1"/>
  <c r="S745" i="6"/>
  <c r="U745" i="6" s="1"/>
  <c r="L183" i="6"/>
  <c r="L346" i="6"/>
  <c r="L287" i="6"/>
  <c r="L467" i="6"/>
  <c r="L373" i="6"/>
  <c r="L747" i="6"/>
  <c r="L341" i="6"/>
  <c r="L737" i="6"/>
  <c r="G32" i="6"/>
  <c r="G154" i="6"/>
  <c r="H731" i="6"/>
  <c r="H540" i="6"/>
  <c r="G696" i="6"/>
  <c r="G634" i="6"/>
  <c r="G288" i="6"/>
  <c r="G364" i="6"/>
  <c r="G460" i="6"/>
  <c r="G695" i="6"/>
  <c r="S115" i="6"/>
  <c r="U115" i="6" s="1"/>
  <c r="S167" i="6"/>
  <c r="U167" i="6" s="1"/>
  <c r="S722" i="6"/>
  <c r="U722" i="6" s="1"/>
  <c r="S435" i="6"/>
  <c r="U435" i="6" s="1"/>
  <c r="S579" i="6"/>
  <c r="U579" i="6" s="1"/>
  <c r="S389" i="6"/>
  <c r="U389" i="6" s="1"/>
  <c r="S533" i="6"/>
  <c r="U533" i="6" s="1"/>
  <c r="S677" i="6"/>
  <c r="U677" i="6" s="1"/>
  <c r="S393" i="6"/>
  <c r="U393" i="6" s="1"/>
  <c r="S537" i="6"/>
  <c r="U537" i="6" s="1"/>
  <c r="S717" i="6"/>
  <c r="U717" i="6" s="1"/>
  <c r="S723" i="6"/>
  <c r="U723" i="6" s="1"/>
  <c r="L51" i="6"/>
  <c r="L339" i="6"/>
  <c r="L473" i="6"/>
  <c r="L119" i="6"/>
  <c r="L409" i="6"/>
  <c r="L221" i="6"/>
  <c r="L316" i="6"/>
  <c r="L712" i="6"/>
  <c r="L294" i="6"/>
  <c r="L714" i="6"/>
  <c r="L682" i="6"/>
  <c r="G31" i="6"/>
  <c r="G175" i="6"/>
  <c r="G319" i="6"/>
  <c r="G463" i="6"/>
  <c r="H610" i="6"/>
  <c r="G260" i="6"/>
  <c r="H262" i="6" s="1"/>
  <c r="G22" i="6"/>
  <c r="G166" i="6"/>
  <c r="H167" i="6" s="1"/>
  <c r="G318" i="6"/>
  <c r="G740" i="6"/>
  <c r="G647" i="6"/>
  <c r="G600" i="6"/>
  <c r="H603" i="6" s="1"/>
  <c r="G289" i="6"/>
  <c r="G421" i="6"/>
  <c r="G737" i="6"/>
  <c r="G459" i="6"/>
  <c r="G707" i="6"/>
  <c r="H710" i="6" s="1"/>
  <c r="S134" i="6"/>
  <c r="U134" i="6" s="1"/>
  <c r="S135" i="6"/>
  <c r="U135" i="6" s="1"/>
  <c r="S35" i="6"/>
  <c r="U35" i="6" s="1"/>
  <c r="S162" i="6"/>
  <c r="U162" i="6" s="1"/>
  <c r="S303" i="6"/>
  <c r="U303" i="6" s="1"/>
  <c r="S450" i="6"/>
  <c r="U450" i="6" s="1"/>
  <c r="S594" i="6"/>
  <c r="U594" i="6" s="1"/>
  <c r="S735" i="6"/>
  <c r="U735" i="6" s="1"/>
  <c r="S412" i="6"/>
  <c r="U412" i="6" s="1"/>
  <c r="S320" i="6"/>
  <c r="U320" i="6" s="1"/>
  <c r="S464" i="6"/>
  <c r="U464" i="6" s="1"/>
  <c r="S153" i="6"/>
  <c r="U153" i="6" s="1"/>
  <c r="S360" i="6"/>
  <c r="U360" i="6" s="1"/>
  <c r="S504" i="6"/>
  <c r="U504" i="6" s="1"/>
  <c r="S648" i="6"/>
  <c r="U648" i="6" s="1"/>
  <c r="S405" i="6"/>
  <c r="U405" i="6" s="1"/>
  <c r="S549" i="6"/>
  <c r="U549" i="6" s="1"/>
  <c r="S729" i="6"/>
  <c r="U729" i="6" s="1"/>
  <c r="S347" i="6"/>
  <c r="U347" i="6" s="1"/>
  <c r="S747" i="6"/>
  <c r="U747" i="6" s="1"/>
  <c r="L370" i="6"/>
  <c r="L143" i="6"/>
  <c r="L746" i="6"/>
  <c r="L483" i="6"/>
  <c r="L328" i="6"/>
  <c r="L377" i="6"/>
  <c r="L677" i="6"/>
  <c r="L367" i="6"/>
  <c r="L595" i="6"/>
  <c r="L694" i="6"/>
  <c r="G92" i="6"/>
  <c r="H94" i="6" s="1"/>
  <c r="G284" i="6"/>
  <c r="G28" i="6"/>
  <c r="G450" i="6"/>
  <c r="H453" i="6" s="1"/>
  <c r="H730" i="6"/>
  <c r="G336" i="6"/>
  <c r="H337" i="6" s="1"/>
  <c r="G434" i="6"/>
  <c r="G207" i="6"/>
  <c r="G651" i="6"/>
  <c r="G681" i="6"/>
  <c r="S682" i="6"/>
  <c r="U682" i="6" s="1"/>
  <c r="G493" i="6"/>
  <c r="S230" i="6"/>
  <c r="U230" i="6" s="1"/>
  <c r="S132" i="6"/>
  <c r="U132" i="6" s="1"/>
  <c r="S145" i="6"/>
  <c r="U145" i="6" s="1"/>
  <c r="S289" i="6"/>
  <c r="U289" i="6" s="1"/>
  <c r="S281" i="6"/>
  <c r="U281" i="6" s="1"/>
  <c r="S315" i="6"/>
  <c r="U315" i="6" s="1"/>
  <c r="S20" i="6"/>
  <c r="U20" i="6" s="1"/>
  <c r="S660" i="6"/>
  <c r="U660" i="6" s="1"/>
  <c r="S478" i="6"/>
  <c r="U478" i="6" s="1"/>
  <c r="S658" i="6"/>
  <c r="U658" i="6" s="1"/>
  <c r="L75" i="6"/>
  <c r="L363" i="6"/>
  <c r="L142" i="6"/>
  <c r="L382" i="6"/>
  <c r="L228" i="6"/>
  <c r="L456" i="6"/>
  <c r="L639" i="6"/>
  <c r="L391" i="6"/>
  <c r="L209" i="6"/>
  <c r="L389" i="6"/>
  <c r="L669" i="6"/>
  <c r="L570" i="6"/>
  <c r="L511" i="6"/>
  <c r="L704" i="6"/>
  <c r="L706" i="6"/>
  <c r="G308" i="6"/>
  <c r="G46" i="6"/>
  <c r="G510" i="6"/>
  <c r="H513" i="6" s="1"/>
  <c r="H301" i="6"/>
  <c r="G646" i="6"/>
  <c r="H649" i="6" s="1"/>
  <c r="G337" i="6"/>
  <c r="H340" i="6" s="1"/>
  <c r="G269" i="6"/>
  <c r="G425" i="6"/>
  <c r="G219" i="6"/>
  <c r="G663" i="6"/>
  <c r="H665" i="6" s="1"/>
  <c r="G714" i="6"/>
  <c r="G716" i="6"/>
  <c r="G694" i="6"/>
  <c r="G514" i="6"/>
  <c r="G731" i="6"/>
  <c r="L108" i="6"/>
  <c r="L674" i="6"/>
  <c r="L673" i="6"/>
  <c r="S197" i="6"/>
  <c r="U197" i="6" s="1"/>
  <c r="S91" i="6"/>
  <c r="U91" i="6" s="1"/>
  <c r="S378" i="6"/>
  <c r="U378" i="6" s="1"/>
  <c r="S666" i="6"/>
  <c r="U666" i="6" s="1"/>
  <c r="S311" i="6"/>
  <c r="U311" i="6" s="1"/>
  <c r="S392" i="6"/>
  <c r="U392" i="6" s="1"/>
  <c r="S225" i="6"/>
  <c r="U225" i="6" s="1"/>
  <c r="S432" i="6"/>
  <c r="U432" i="6" s="1"/>
  <c r="S720" i="6"/>
  <c r="U720" i="6" s="1"/>
  <c r="S591" i="6"/>
  <c r="U591" i="6" s="1"/>
  <c r="S545" i="6"/>
  <c r="U545" i="6" s="1"/>
  <c r="S535" i="6"/>
  <c r="U535" i="6" s="1"/>
  <c r="S382" i="6"/>
  <c r="U382" i="6" s="1"/>
  <c r="S422" i="6"/>
  <c r="U422" i="6" s="1"/>
  <c r="S566" i="6"/>
  <c r="U566" i="6" s="1"/>
  <c r="L38" i="6"/>
  <c r="L267" i="6"/>
  <c r="L153" i="6"/>
  <c r="L151" i="6"/>
  <c r="L298" i="6"/>
  <c r="L59" i="6"/>
  <c r="L58" i="6"/>
  <c r="L120" i="6"/>
  <c r="L385" i="6"/>
  <c r="L362" i="6"/>
  <c r="L542" i="6"/>
  <c r="L541" i="6"/>
  <c r="L686" i="6"/>
  <c r="L685" i="6"/>
  <c r="L110" i="6"/>
  <c r="L428" i="6"/>
  <c r="G530" i="6"/>
  <c r="G529" i="6"/>
  <c r="G528" i="6"/>
  <c r="G129" i="6"/>
  <c r="G128" i="6"/>
  <c r="G273" i="6"/>
  <c r="G272" i="6"/>
  <c r="G190" i="6"/>
  <c r="G188" i="6"/>
  <c r="G447" i="6"/>
  <c r="G445" i="6"/>
  <c r="S472" i="6"/>
  <c r="U472" i="6" s="1"/>
  <c r="S53" i="6"/>
  <c r="U53" i="6" s="1"/>
  <c r="S66" i="6"/>
  <c r="U66" i="6" s="1"/>
  <c r="S234" i="6"/>
  <c r="U234" i="6" s="1"/>
  <c r="S522" i="6"/>
  <c r="U522" i="6" s="1"/>
  <c r="S199" i="6"/>
  <c r="U199" i="6" s="1"/>
  <c r="S343" i="6"/>
  <c r="U343" i="6" s="1"/>
  <c r="S224" i="6"/>
  <c r="U224" i="6" s="1"/>
  <c r="S536" i="6"/>
  <c r="U536" i="6" s="1"/>
  <c r="S81" i="6"/>
  <c r="U81" i="6" s="1"/>
  <c r="S94" i="6"/>
  <c r="U94" i="6" s="1"/>
  <c r="S576" i="6"/>
  <c r="U576" i="6" s="1"/>
  <c r="S133" i="6"/>
  <c r="U133" i="6" s="1"/>
  <c r="S277" i="6"/>
  <c r="U277" i="6" s="1"/>
  <c r="S447" i="6"/>
  <c r="U447" i="6" s="1"/>
  <c r="S401" i="6"/>
  <c r="U401" i="6" s="1"/>
  <c r="S689" i="6"/>
  <c r="U689" i="6" s="1"/>
  <c r="S679" i="6"/>
  <c r="U679" i="6" s="1"/>
  <c r="S574" i="6"/>
  <c r="U574" i="6" s="1"/>
  <c r="S340" i="6"/>
  <c r="U340" i="6" s="1"/>
  <c r="S325" i="6"/>
  <c r="U325" i="6" s="1"/>
  <c r="S505" i="6"/>
  <c r="U505" i="6" s="1"/>
  <c r="S736" i="6"/>
  <c r="U736" i="6" s="1"/>
  <c r="S72" i="6"/>
  <c r="U72" i="6" s="1"/>
  <c r="S216" i="6"/>
  <c r="U216" i="6" s="1"/>
  <c r="S74" i="6"/>
  <c r="U74" i="6" s="1"/>
  <c r="S218" i="6"/>
  <c r="U218" i="6" s="1"/>
  <c r="S75" i="6"/>
  <c r="U75" i="6" s="1"/>
  <c r="S40" i="6"/>
  <c r="U40" i="6" s="1"/>
  <c r="S65" i="6"/>
  <c r="U65" i="6" s="1"/>
  <c r="S209" i="6"/>
  <c r="U209" i="6" s="1"/>
  <c r="S78" i="6"/>
  <c r="U78" i="6" s="1"/>
  <c r="S103" i="6"/>
  <c r="U103" i="6" s="1"/>
  <c r="S119" i="6"/>
  <c r="U119" i="6" s="1"/>
  <c r="S246" i="6"/>
  <c r="U246" i="6" s="1"/>
  <c r="S390" i="6"/>
  <c r="U390" i="6" s="1"/>
  <c r="S534" i="6"/>
  <c r="U534" i="6" s="1"/>
  <c r="S678" i="6"/>
  <c r="U678" i="6" s="1"/>
  <c r="S211" i="6"/>
  <c r="U211" i="6" s="1"/>
  <c r="S355" i="6"/>
  <c r="U355" i="6" s="1"/>
  <c r="S32" i="6"/>
  <c r="U32" i="6" s="1"/>
  <c r="S236" i="6"/>
  <c r="U236" i="6" s="1"/>
  <c r="S404" i="6"/>
  <c r="U404" i="6" s="1"/>
  <c r="S548" i="6"/>
  <c r="U548" i="6" s="1"/>
  <c r="S692" i="6"/>
  <c r="U692" i="6" s="1"/>
  <c r="S93" i="6"/>
  <c r="U93" i="6" s="1"/>
  <c r="S237" i="6"/>
  <c r="U237" i="6" s="1"/>
  <c r="S106" i="6"/>
  <c r="U106" i="6" s="1"/>
  <c r="S444" i="6"/>
  <c r="U444" i="6" s="1"/>
  <c r="S588" i="6"/>
  <c r="S459" i="6"/>
  <c r="U459" i="6" s="1"/>
  <c r="S603" i="6"/>
  <c r="U603" i="6" s="1"/>
  <c r="S413" i="6"/>
  <c r="U413" i="6" s="1"/>
  <c r="S557" i="6"/>
  <c r="U557" i="6" s="1"/>
  <c r="S701" i="6"/>
  <c r="U701" i="6" s="1"/>
  <c r="S547" i="6"/>
  <c r="U547" i="6" s="1"/>
  <c r="S691" i="6"/>
  <c r="U691" i="6" s="1"/>
  <c r="S248" i="6"/>
  <c r="U248" i="6" s="1"/>
  <c r="S417" i="6"/>
  <c r="U417" i="6" s="1"/>
  <c r="S561" i="6"/>
  <c r="U561" i="6" s="1"/>
  <c r="S598" i="6"/>
  <c r="U598" i="6" s="1"/>
  <c r="S742" i="6"/>
  <c r="U742" i="6" s="1"/>
  <c r="S563" i="6"/>
  <c r="U563" i="6" s="1"/>
  <c r="S352" i="6"/>
  <c r="U352" i="6" s="1"/>
  <c r="S496" i="6"/>
  <c r="U496" i="6" s="1"/>
  <c r="S337" i="6"/>
  <c r="U337" i="6" s="1"/>
  <c r="S421" i="6"/>
  <c r="U421" i="6" s="1"/>
  <c r="S517" i="6"/>
  <c r="U517" i="6" s="1"/>
  <c r="S613" i="6"/>
  <c r="U613" i="6" s="1"/>
  <c r="S733" i="6"/>
  <c r="U733" i="6" s="1"/>
  <c r="S434" i="6"/>
  <c r="U434" i="6" s="1"/>
  <c r="S578" i="6"/>
  <c r="U578" i="6" s="1"/>
  <c r="L50" i="6"/>
  <c r="M54" i="6" s="1"/>
  <c r="L135" i="6"/>
  <c r="L134" i="6"/>
  <c r="L279" i="6"/>
  <c r="L21" i="6"/>
  <c r="L19" i="6"/>
  <c r="L20" i="6"/>
  <c r="L18" i="6"/>
  <c r="L25" i="6"/>
  <c r="L310" i="6"/>
  <c r="L250" i="6"/>
  <c r="L132" i="6"/>
  <c r="L528" i="6"/>
  <c r="L109" i="6"/>
  <c r="L253" i="6"/>
  <c r="L397" i="6"/>
  <c r="L194" i="6"/>
  <c r="L554" i="6"/>
  <c r="L553" i="6"/>
  <c r="L698" i="6"/>
  <c r="L697" i="6"/>
  <c r="L272" i="6"/>
  <c r="L440" i="6"/>
  <c r="L365" i="6"/>
  <c r="L616" i="6"/>
  <c r="L352" i="6"/>
  <c r="L491" i="6"/>
  <c r="L635" i="6"/>
  <c r="G574" i="6"/>
  <c r="G573" i="6"/>
  <c r="G572" i="6"/>
  <c r="S328" i="6"/>
  <c r="U328" i="6" s="1"/>
  <c r="S52" i="6"/>
  <c r="U52" i="6" s="1"/>
  <c r="S327" i="6"/>
  <c r="U327" i="6" s="1"/>
  <c r="S703" i="6"/>
  <c r="U703" i="6" s="1"/>
  <c r="S256" i="6"/>
  <c r="U256" i="6" s="1"/>
  <c r="L566" i="6"/>
  <c r="L565" i="6"/>
  <c r="L465" i="6"/>
  <c r="L464" i="6"/>
  <c r="S96" i="6"/>
  <c r="U96" i="6" s="1"/>
  <c r="S98" i="6"/>
  <c r="U98" i="6" s="1"/>
  <c r="S242" i="6"/>
  <c r="U242" i="6" s="1"/>
  <c r="S99" i="6"/>
  <c r="U99" i="6" s="1"/>
  <c r="S64" i="6"/>
  <c r="U64" i="6" s="1"/>
  <c r="S89" i="6"/>
  <c r="U89" i="6" s="1"/>
  <c r="S233" i="6"/>
  <c r="U233" i="6" s="1"/>
  <c r="S102" i="6"/>
  <c r="U102" i="6" s="1"/>
  <c r="S127" i="6"/>
  <c r="U127" i="6" s="1"/>
  <c r="S143" i="6"/>
  <c r="U143" i="6" s="1"/>
  <c r="S287" i="6"/>
  <c r="U287" i="6" s="1"/>
  <c r="S270" i="6"/>
  <c r="U270" i="6" s="1"/>
  <c r="S414" i="6"/>
  <c r="U414" i="6" s="1"/>
  <c r="S558" i="6"/>
  <c r="U558" i="6" s="1"/>
  <c r="S702" i="6"/>
  <c r="U702" i="6" s="1"/>
  <c r="S235" i="6"/>
  <c r="U235" i="6" s="1"/>
  <c r="S379" i="6"/>
  <c r="U379" i="6" s="1"/>
  <c r="S56" i="6"/>
  <c r="U56" i="6" s="1"/>
  <c r="S272" i="6"/>
  <c r="U272" i="6" s="1"/>
  <c r="S428" i="6"/>
  <c r="U428" i="6" s="1"/>
  <c r="S572" i="6"/>
  <c r="U572" i="6" s="1"/>
  <c r="S716" i="6"/>
  <c r="U716" i="6" s="1"/>
  <c r="S117" i="6"/>
  <c r="U117" i="6" s="1"/>
  <c r="S261" i="6"/>
  <c r="U261" i="6" s="1"/>
  <c r="S130" i="6"/>
  <c r="U130" i="6" s="1"/>
  <c r="S324" i="6"/>
  <c r="U324" i="6" s="1"/>
  <c r="S468" i="6"/>
  <c r="U468" i="6" s="1"/>
  <c r="S612" i="6"/>
  <c r="U612" i="6" s="1"/>
  <c r="S313" i="6"/>
  <c r="U313" i="6" s="1"/>
  <c r="S339" i="6"/>
  <c r="U339" i="6" s="1"/>
  <c r="S483" i="6"/>
  <c r="U483" i="6" s="1"/>
  <c r="S627" i="6"/>
  <c r="U627" i="6" s="1"/>
  <c r="S437" i="6"/>
  <c r="U437" i="6" s="1"/>
  <c r="S581" i="6"/>
  <c r="U581" i="6" s="1"/>
  <c r="S725" i="6"/>
  <c r="U725" i="6" s="1"/>
  <c r="S571" i="6"/>
  <c r="U571" i="6" s="1"/>
  <c r="S715" i="6"/>
  <c r="U715" i="6" s="1"/>
  <c r="S80" i="6"/>
  <c r="U80" i="6" s="1"/>
  <c r="S441" i="6"/>
  <c r="U441" i="6" s="1"/>
  <c r="S585" i="6"/>
  <c r="U585" i="6" s="1"/>
  <c r="S430" i="6"/>
  <c r="U430" i="6" s="1"/>
  <c r="S622" i="6"/>
  <c r="U622" i="6" s="1"/>
  <c r="S407" i="6"/>
  <c r="U407" i="6" s="1"/>
  <c r="S599" i="6"/>
  <c r="U599" i="6" s="1"/>
  <c r="S196" i="6"/>
  <c r="U196" i="6" s="1"/>
  <c r="S349" i="6"/>
  <c r="U349" i="6" s="1"/>
  <c r="S433" i="6"/>
  <c r="U433" i="6" s="1"/>
  <c r="S529" i="6"/>
  <c r="U529" i="6" s="1"/>
  <c r="S637" i="6"/>
  <c r="U637" i="6" s="1"/>
  <c r="S458" i="6"/>
  <c r="U458" i="6" s="1"/>
  <c r="S602" i="6"/>
  <c r="U602" i="6" s="1"/>
  <c r="L15" i="6"/>
  <c r="M19" i="6" s="1"/>
  <c r="L14" i="6"/>
  <c r="L159" i="6"/>
  <c r="L45" i="6"/>
  <c r="L43" i="6"/>
  <c r="L49" i="6"/>
  <c r="L358" i="6"/>
  <c r="L299" i="6"/>
  <c r="L168" i="6"/>
  <c r="L372" i="6"/>
  <c r="L552" i="6"/>
  <c r="L133" i="6"/>
  <c r="L277" i="6"/>
  <c r="L206" i="6"/>
  <c r="L203" i="6"/>
  <c r="L204" i="6"/>
  <c r="L230" i="6"/>
  <c r="L398" i="6"/>
  <c r="L578" i="6"/>
  <c r="L42" i="6"/>
  <c r="L460" i="6"/>
  <c r="L459" i="6"/>
  <c r="G21" i="6"/>
  <c r="G20" i="6"/>
  <c r="G82" i="6"/>
  <c r="G80" i="6"/>
  <c r="G471" i="6"/>
  <c r="G469" i="6"/>
  <c r="S187" i="6"/>
  <c r="S523" i="6"/>
  <c r="U523" i="6" s="1"/>
  <c r="L141" i="6"/>
  <c r="L140" i="6"/>
  <c r="G386" i="6"/>
  <c r="G384" i="6"/>
  <c r="H385" i="6" s="1"/>
  <c r="G746" i="6"/>
  <c r="G744" i="6"/>
  <c r="G745" i="6"/>
  <c r="S44" i="6"/>
  <c r="U44" i="6" s="1"/>
  <c r="S704" i="6"/>
  <c r="U704" i="6" s="1"/>
  <c r="S471" i="6"/>
  <c r="U471" i="6" s="1"/>
  <c r="S713" i="6"/>
  <c r="U713" i="6" s="1"/>
  <c r="S418" i="6"/>
  <c r="U418" i="6" s="1"/>
  <c r="S587" i="6"/>
  <c r="U587" i="6" s="1"/>
  <c r="S364" i="6"/>
  <c r="U364" i="6" s="1"/>
  <c r="S431" i="6"/>
  <c r="U431" i="6" s="1"/>
  <c r="L147" i="6"/>
  <c r="L33" i="6"/>
  <c r="L30" i="6"/>
  <c r="L31" i="6"/>
  <c r="L37" i="6"/>
  <c r="L422" i="6"/>
  <c r="L421" i="6"/>
  <c r="L420" i="6"/>
  <c r="L419" i="6"/>
  <c r="L144" i="6"/>
  <c r="L591" i="6"/>
  <c r="L285" i="6"/>
  <c r="L284" i="6"/>
  <c r="L283" i="6"/>
  <c r="G385" i="6"/>
  <c r="G194" i="6"/>
  <c r="G192" i="6"/>
  <c r="G193" i="6"/>
  <c r="G267" i="6"/>
  <c r="G265" i="6"/>
  <c r="G266" i="6"/>
  <c r="S108" i="6"/>
  <c r="U108" i="6" s="1"/>
  <c r="S252" i="6"/>
  <c r="S110" i="6"/>
  <c r="U110" i="6" s="1"/>
  <c r="S254" i="6"/>
  <c r="U254" i="6" s="1"/>
  <c r="S111" i="6"/>
  <c r="U111" i="6" s="1"/>
  <c r="S76" i="6"/>
  <c r="U76" i="6" s="1"/>
  <c r="S101" i="6"/>
  <c r="U101" i="6" s="1"/>
  <c r="S245" i="6"/>
  <c r="U245" i="6" s="1"/>
  <c r="S114" i="6"/>
  <c r="U114" i="6" s="1"/>
  <c r="S139" i="6"/>
  <c r="U139" i="6" s="1"/>
  <c r="S155" i="6"/>
  <c r="U155" i="6" s="1"/>
  <c r="S299" i="6"/>
  <c r="U299" i="6" s="1"/>
  <c r="S282" i="6"/>
  <c r="U282" i="6" s="1"/>
  <c r="S426" i="6"/>
  <c r="U426" i="6" s="1"/>
  <c r="S570" i="6"/>
  <c r="U570" i="6" s="1"/>
  <c r="S714" i="6"/>
  <c r="U714" i="6" s="1"/>
  <c r="S247" i="6"/>
  <c r="U247" i="6" s="1"/>
  <c r="S391" i="6"/>
  <c r="U391" i="6" s="1"/>
  <c r="S92" i="6"/>
  <c r="U92" i="6" s="1"/>
  <c r="S296" i="6"/>
  <c r="U296" i="6" s="1"/>
  <c r="S440" i="6"/>
  <c r="U440" i="6" s="1"/>
  <c r="S584" i="6"/>
  <c r="U584" i="6" s="1"/>
  <c r="S728" i="6"/>
  <c r="U728" i="6" s="1"/>
  <c r="S129" i="6"/>
  <c r="U129" i="6" s="1"/>
  <c r="S273" i="6"/>
  <c r="U273" i="6" s="1"/>
  <c r="S154" i="6"/>
  <c r="U154" i="6" s="1"/>
  <c r="S336" i="6"/>
  <c r="U336" i="6" s="1"/>
  <c r="S480" i="6"/>
  <c r="U480" i="6" s="1"/>
  <c r="S624" i="6"/>
  <c r="U624" i="6" s="1"/>
  <c r="S207" i="6"/>
  <c r="U207" i="6" s="1"/>
  <c r="S351" i="6"/>
  <c r="U351" i="6" s="1"/>
  <c r="S495" i="6"/>
  <c r="U495" i="6" s="1"/>
  <c r="S305" i="6"/>
  <c r="U305" i="6" s="1"/>
  <c r="S449" i="6"/>
  <c r="U449" i="6" s="1"/>
  <c r="S593" i="6"/>
  <c r="U593" i="6" s="1"/>
  <c r="S737" i="6"/>
  <c r="U737" i="6" s="1"/>
  <c r="S583" i="6"/>
  <c r="U583" i="6" s="1"/>
  <c r="S727" i="6"/>
  <c r="U727" i="6" s="1"/>
  <c r="S309" i="6"/>
  <c r="U309" i="6" s="1"/>
  <c r="S453" i="6"/>
  <c r="S597" i="6"/>
  <c r="U597" i="6" s="1"/>
  <c r="S178" i="6"/>
  <c r="U178" i="6" s="1"/>
  <c r="S454" i="6"/>
  <c r="U454" i="6" s="1"/>
  <c r="S634" i="6"/>
  <c r="U634" i="6" s="1"/>
  <c r="S419" i="6"/>
  <c r="U419" i="6" s="1"/>
  <c r="S611" i="6"/>
  <c r="U611" i="6" s="1"/>
  <c r="S208" i="6"/>
  <c r="U208" i="6" s="1"/>
  <c r="S388" i="6"/>
  <c r="U388" i="6" s="1"/>
  <c r="S532" i="6"/>
  <c r="U532" i="6" s="1"/>
  <c r="S359" i="6"/>
  <c r="U359" i="6" s="1"/>
  <c r="S442" i="6"/>
  <c r="U442" i="6" s="1"/>
  <c r="S538" i="6"/>
  <c r="S649" i="6"/>
  <c r="U649" i="6" s="1"/>
  <c r="S470" i="6"/>
  <c r="U470" i="6" s="1"/>
  <c r="S614" i="6"/>
  <c r="U614" i="6" s="1"/>
  <c r="S335" i="6"/>
  <c r="U335" i="6" s="1"/>
  <c r="S640" i="6"/>
  <c r="U640" i="6" s="1"/>
  <c r="L27" i="6"/>
  <c r="L57" i="6"/>
  <c r="L55" i="6"/>
  <c r="L56" i="6"/>
  <c r="L54" i="6"/>
  <c r="L188" i="6"/>
  <c r="L187" i="6"/>
  <c r="L509" i="6"/>
  <c r="L311" i="6"/>
  <c r="L24" i="6"/>
  <c r="L180" i="6"/>
  <c r="L384" i="6"/>
  <c r="L564" i="6"/>
  <c r="L145" i="6"/>
  <c r="L322" i="6"/>
  <c r="L242" i="6"/>
  <c r="L410" i="6"/>
  <c r="L590" i="6"/>
  <c r="L589" i="6"/>
  <c r="L734" i="6"/>
  <c r="L733" i="6"/>
  <c r="L471" i="6"/>
  <c r="L615" i="6"/>
  <c r="L173" i="6"/>
  <c r="L172" i="6"/>
  <c r="L508" i="6"/>
  <c r="L652" i="6"/>
  <c r="L538" i="6"/>
  <c r="G19" i="6"/>
  <c r="G18" i="6"/>
  <c r="G163" i="6"/>
  <c r="H166" i="6" s="1"/>
  <c r="G162" i="6"/>
  <c r="G307" i="6"/>
  <c r="G306" i="6"/>
  <c r="G595" i="6"/>
  <c r="G594" i="6"/>
  <c r="G101" i="6"/>
  <c r="H104" i="6" s="1"/>
  <c r="G100" i="6"/>
  <c r="G593" i="6"/>
  <c r="G592" i="6"/>
  <c r="S667" i="6"/>
  <c r="U667" i="6" s="1"/>
  <c r="S221" i="6"/>
  <c r="U221" i="6" s="1"/>
  <c r="S367" i="6"/>
  <c r="U367" i="6" s="1"/>
  <c r="S560" i="6"/>
  <c r="U560" i="6" s="1"/>
  <c r="S559" i="6"/>
  <c r="U559" i="6" s="1"/>
  <c r="S610" i="6"/>
  <c r="U610" i="6" s="1"/>
  <c r="S508" i="6"/>
  <c r="U508" i="6" s="1"/>
  <c r="L609" i="6"/>
  <c r="L608" i="6"/>
  <c r="L607" i="6"/>
  <c r="S120" i="6"/>
  <c r="U120" i="6" s="1"/>
  <c r="S264" i="6"/>
  <c r="U264" i="6" s="1"/>
  <c r="S122" i="6"/>
  <c r="U122" i="6" s="1"/>
  <c r="S266" i="6"/>
  <c r="U266" i="6" s="1"/>
  <c r="S123" i="6"/>
  <c r="U123" i="6" s="1"/>
  <c r="S88" i="6"/>
  <c r="U88" i="6" s="1"/>
  <c r="S113" i="6"/>
  <c r="U113" i="6" s="1"/>
  <c r="S257" i="6"/>
  <c r="U257" i="6" s="1"/>
  <c r="S126" i="6"/>
  <c r="U126" i="6" s="1"/>
  <c r="S23" i="6"/>
  <c r="U23" i="6" s="1"/>
  <c r="S150" i="6"/>
  <c r="U150" i="6" s="1"/>
  <c r="S294" i="6"/>
  <c r="U294" i="6" s="1"/>
  <c r="S438" i="6"/>
  <c r="U438" i="6" s="1"/>
  <c r="S582" i="6"/>
  <c r="U582" i="6" s="1"/>
  <c r="S726" i="6"/>
  <c r="U726" i="6" s="1"/>
  <c r="S259" i="6"/>
  <c r="U259" i="6" s="1"/>
  <c r="S403" i="6"/>
  <c r="U403" i="6" s="1"/>
  <c r="S104" i="6"/>
  <c r="U104" i="6" s="1"/>
  <c r="S308" i="6"/>
  <c r="U308" i="6" s="1"/>
  <c r="S452" i="6"/>
  <c r="U452" i="6" s="1"/>
  <c r="S596" i="6"/>
  <c r="U596" i="6" s="1"/>
  <c r="S740" i="6"/>
  <c r="U740" i="6" s="1"/>
  <c r="S141" i="6"/>
  <c r="U141" i="6" s="1"/>
  <c r="S285" i="6"/>
  <c r="U285" i="6" s="1"/>
  <c r="S166" i="6"/>
  <c r="U166" i="6" s="1"/>
  <c r="S348" i="6"/>
  <c r="U348" i="6" s="1"/>
  <c r="S492" i="6"/>
  <c r="U492" i="6" s="1"/>
  <c r="S636" i="6"/>
  <c r="U636" i="6" s="1"/>
  <c r="S49" i="6"/>
  <c r="U49" i="6" s="1"/>
  <c r="S193" i="6"/>
  <c r="U193" i="6" s="1"/>
  <c r="S219" i="6"/>
  <c r="S363" i="6"/>
  <c r="U363" i="6" s="1"/>
  <c r="S507" i="6"/>
  <c r="U507" i="6" s="1"/>
  <c r="S317" i="6"/>
  <c r="U317" i="6" s="1"/>
  <c r="S461" i="6"/>
  <c r="U461" i="6" s="1"/>
  <c r="S605" i="6"/>
  <c r="U605" i="6" s="1"/>
  <c r="S595" i="6"/>
  <c r="U595" i="6" s="1"/>
  <c r="S739" i="6"/>
  <c r="U739" i="6" s="1"/>
  <c r="S321" i="6"/>
  <c r="U321" i="6" s="1"/>
  <c r="S465" i="6"/>
  <c r="U465" i="6" s="1"/>
  <c r="S609" i="6"/>
  <c r="S466" i="6"/>
  <c r="U466" i="6" s="1"/>
  <c r="S646" i="6"/>
  <c r="U646" i="6" s="1"/>
  <c r="S443" i="6"/>
  <c r="U443" i="6" s="1"/>
  <c r="S635" i="6"/>
  <c r="U635" i="6" s="1"/>
  <c r="S232" i="6"/>
  <c r="U232" i="6" s="1"/>
  <c r="S400" i="6"/>
  <c r="U400" i="6" s="1"/>
  <c r="S544" i="6"/>
  <c r="U544" i="6" s="1"/>
  <c r="S361" i="6"/>
  <c r="U361" i="6" s="1"/>
  <c r="S445" i="6"/>
  <c r="U445" i="6" s="1"/>
  <c r="S541" i="6"/>
  <c r="U541" i="6" s="1"/>
  <c r="S661" i="6"/>
  <c r="U661" i="6" s="1"/>
  <c r="S482" i="6"/>
  <c r="U482" i="6" s="1"/>
  <c r="S626" i="6"/>
  <c r="U626" i="6" s="1"/>
  <c r="S639" i="6"/>
  <c r="U639" i="6" s="1"/>
  <c r="S741" i="6"/>
  <c r="U741" i="6" s="1"/>
  <c r="L39" i="6"/>
  <c r="M43" i="6" s="1"/>
  <c r="L69" i="6"/>
  <c r="L68" i="6"/>
  <c r="L189" i="6"/>
  <c r="L155" i="6"/>
  <c r="L154" i="6"/>
  <c r="L323" i="6"/>
  <c r="L36" i="6"/>
  <c r="L192" i="6"/>
  <c r="L396" i="6"/>
  <c r="L576" i="6"/>
  <c r="L157" i="6"/>
  <c r="L301" i="6"/>
  <c r="L254" i="6"/>
  <c r="L458" i="6"/>
  <c r="L457" i="6"/>
  <c r="L602" i="6"/>
  <c r="L601" i="6"/>
  <c r="L627" i="6"/>
  <c r="L278" i="6"/>
  <c r="L333" i="6"/>
  <c r="L332" i="6"/>
  <c r="L331" i="6"/>
  <c r="L501" i="6"/>
  <c r="L500" i="6"/>
  <c r="L645" i="6"/>
  <c r="L644" i="6"/>
  <c r="L643" i="6"/>
  <c r="L78" i="6"/>
  <c r="L450" i="6"/>
  <c r="L648" i="6"/>
  <c r="L577" i="6"/>
  <c r="G242" i="6"/>
  <c r="G241" i="6"/>
  <c r="G240" i="6"/>
  <c r="L709" i="6"/>
  <c r="S329" i="6"/>
  <c r="U329" i="6" s="1"/>
  <c r="S473" i="6"/>
  <c r="U473" i="6" s="1"/>
  <c r="S617" i="6"/>
  <c r="U617" i="6" s="1"/>
  <c r="S184" i="6"/>
  <c r="U184" i="6" s="1"/>
  <c r="S607" i="6"/>
  <c r="U607" i="6" s="1"/>
  <c r="S621" i="6"/>
  <c r="U621" i="6" s="1"/>
  <c r="S250" i="6"/>
  <c r="U250" i="6" s="1"/>
  <c r="S455" i="6"/>
  <c r="U455" i="6" s="1"/>
  <c r="S647" i="6"/>
  <c r="U647" i="6" s="1"/>
  <c r="S244" i="6"/>
  <c r="U244" i="6" s="1"/>
  <c r="S556" i="6"/>
  <c r="U556" i="6" s="1"/>
  <c r="S371" i="6"/>
  <c r="U371" i="6" s="1"/>
  <c r="S673" i="6"/>
  <c r="U673" i="6" s="1"/>
  <c r="S350" i="6"/>
  <c r="U350" i="6" s="1"/>
  <c r="S494" i="6"/>
  <c r="U494" i="6" s="1"/>
  <c r="S638" i="6"/>
  <c r="U638" i="6" s="1"/>
  <c r="S651" i="6"/>
  <c r="U651" i="6" s="1"/>
  <c r="S664" i="6"/>
  <c r="U664" i="6" s="1"/>
  <c r="M55" i="6"/>
  <c r="L195" i="6"/>
  <c r="L81" i="6"/>
  <c r="L80" i="6"/>
  <c r="L79" i="6"/>
  <c r="L32" i="6"/>
  <c r="L167" i="6"/>
  <c r="L48" i="6"/>
  <c r="L216" i="6"/>
  <c r="L444" i="6"/>
  <c r="L169" i="6"/>
  <c r="L74" i="6"/>
  <c r="L266" i="6"/>
  <c r="L263" i="6"/>
  <c r="L264" i="6"/>
  <c r="L470" i="6"/>
  <c r="L614" i="6"/>
  <c r="L197" i="6"/>
  <c r="L164" i="6"/>
  <c r="L408" i="6"/>
  <c r="L613" i="6"/>
  <c r="G507" i="6"/>
  <c r="G505" i="6"/>
  <c r="H506" i="6" s="1"/>
  <c r="G687" i="6"/>
  <c r="G685" i="6"/>
  <c r="S223" i="6"/>
  <c r="U223" i="6" s="1"/>
  <c r="S269" i="6"/>
  <c r="U269" i="6" s="1"/>
  <c r="S738" i="6"/>
  <c r="U738" i="6" s="1"/>
  <c r="S271" i="6"/>
  <c r="U271" i="6" s="1"/>
  <c r="S415" i="6"/>
  <c r="U415" i="6" s="1"/>
  <c r="S608" i="6"/>
  <c r="S297" i="6"/>
  <c r="U297" i="6" s="1"/>
  <c r="S190" i="6"/>
  <c r="S61" i="6"/>
  <c r="U61" i="6" s="1"/>
  <c r="S205" i="6"/>
  <c r="U205" i="6" s="1"/>
  <c r="S231" i="6"/>
  <c r="U231" i="6" s="1"/>
  <c r="S375" i="6"/>
  <c r="U375" i="6" s="1"/>
  <c r="S519" i="6"/>
  <c r="U519" i="6" s="1"/>
  <c r="S144" i="6"/>
  <c r="U144" i="6" s="1"/>
  <c r="S288" i="6"/>
  <c r="U288" i="6" s="1"/>
  <c r="S146" i="6"/>
  <c r="U146" i="6" s="1"/>
  <c r="S290" i="6"/>
  <c r="U290" i="6" s="1"/>
  <c r="S147" i="6"/>
  <c r="U147" i="6" s="1"/>
  <c r="S112" i="6"/>
  <c r="U112" i="6" s="1"/>
  <c r="S137" i="6"/>
  <c r="U137" i="6" s="1"/>
  <c r="S31" i="6"/>
  <c r="U31" i="6" s="1"/>
  <c r="S47" i="6"/>
  <c r="U47" i="6" s="1"/>
  <c r="S191" i="6"/>
  <c r="U191" i="6" s="1"/>
  <c r="S174" i="6"/>
  <c r="U174" i="6" s="1"/>
  <c r="S318" i="6"/>
  <c r="U318" i="6" s="1"/>
  <c r="S462" i="6"/>
  <c r="U462" i="6" s="1"/>
  <c r="S606" i="6"/>
  <c r="U606" i="6" s="1"/>
  <c r="S283" i="6"/>
  <c r="U283" i="6" s="1"/>
  <c r="S427" i="6"/>
  <c r="U427" i="6" s="1"/>
  <c r="S128" i="6"/>
  <c r="U128" i="6" s="1"/>
  <c r="S332" i="6"/>
  <c r="U332" i="6" s="1"/>
  <c r="S476" i="6"/>
  <c r="U476" i="6" s="1"/>
  <c r="S620" i="6"/>
  <c r="U620" i="6" s="1"/>
  <c r="S21" i="6"/>
  <c r="U21" i="6" s="1"/>
  <c r="S165" i="6"/>
  <c r="U165" i="6" s="1"/>
  <c r="S22" i="6"/>
  <c r="U22" i="6" s="1"/>
  <c r="S202" i="6"/>
  <c r="U202" i="6" s="1"/>
  <c r="S372" i="6"/>
  <c r="U372" i="6" s="1"/>
  <c r="S516" i="6"/>
  <c r="U516" i="6" s="1"/>
  <c r="S73" i="6"/>
  <c r="U73" i="6" s="1"/>
  <c r="S217" i="6"/>
  <c r="U217" i="6" s="1"/>
  <c r="S243" i="6"/>
  <c r="U243" i="6" s="1"/>
  <c r="S387" i="6"/>
  <c r="U387" i="6" s="1"/>
  <c r="S531" i="6"/>
  <c r="U531" i="6" s="1"/>
  <c r="S341" i="6"/>
  <c r="U341" i="6" s="1"/>
  <c r="S485" i="6"/>
  <c r="U485" i="6" s="1"/>
  <c r="S629" i="6"/>
  <c r="U629" i="6" s="1"/>
  <c r="S619" i="6"/>
  <c r="U619" i="6" s="1"/>
  <c r="S68" i="6"/>
  <c r="U68" i="6" s="1"/>
  <c r="S345" i="6"/>
  <c r="U345" i="6" s="1"/>
  <c r="S489" i="6"/>
  <c r="U489" i="6" s="1"/>
  <c r="S645" i="6"/>
  <c r="U645" i="6" s="1"/>
  <c r="S310" i="6"/>
  <c r="U310" i="6" s="1"/>
  <c r="S502" i="6"/>
  <c r="U502" i="6" s="1"/>
  <c r="S670" i="6"/>
  <c r="U670" i="6" s="1"/>
  <c r="S467" i="6"/>
  <c r="U467" i="6" s="1"/>
  <c r="S671" i="6"/>
  <c r="U671" i="6" s="1"/>
  <c r="S268" i="6"/>
  <c r="U268" i="6" s="1"/>
  <c r="S424" i="6"/>
  <c r="U424" i="6" s="1"/>
  <c r="S568" i="6"/>
  <c r="U568" i="6" s="1"/>
  <c r="S373" i="6"/>
  <c r="U373" i="6" s="1"/>
  <c r="S469" i="6"/>
  <c r="U469" i="6" s="1"/>
  <c r="S565" i="6"/>
  <c r="U565" i="6" s="1"/>
  <c r="S685" i="6"/>
  <c r="U685" i="6" s="1"/>
  <c r="S362" i="6"/>
  <c r="U362" i="6" s="1"/>
  <c r="S506" i="6"/>
  <c r="U506" i="6" s="1"/>
  <c r="S650" i="6"/>
  <c r="U650" i="6" s="1"/>
  <c r="S663" i="6"/>
  <c r="U663" i="6" s="1"/>
  <c r="S676" i="6"/>
  <c r="U676" i="6" s="1"/>
  <c r="S346" i="6"/>
  <c r="U346" i="6" s="1"/>
  <c r="L351" i="6"/>
  <c r="L350" i="6"/>
  <c r="L348" i="6"/>
  <c r="L93" i="6"/>
  <c r="L92" i="6"/>
  <c r="L91" i="6"/>
  <c r="L46" i="6"/>
  <c r="L430" i="6"/>
  <c r="L179" i="6"/>
  <c r="L359" i="6"/>
  <c r="L60" i="6"/>
  <c r="L321" i="6"/>
  <c r="L319" i="6"/>
  <c r="L181" i="6"/>
  <c r="L98" i="6"/>
  <c r="L290" i="6"/>
  <c r="L482" i="6"/>
  <c r="L481" i="6"/>
  <c r="L626" i="6"/>
  <c r="L625" i="6"/>
  <c r="L446" i="6"/>
  <c r="L445" i="6"/>
  <c r="L447" i="6"/>
  <c r="L176" i="6"/>
  <c r="L355" i="6"/>
  <c r="L544" i="6"/>
  <c r="L688" i="6"/>
  <c r="L249" i="6"/>
  <c r="L574" i="6"/>
  <c r="G55" i="6"/>
  <c r="G54" i="6"/>
  <c r="G199" i="6"/>
  <c r="H202" i="6" s="1"/>
  <c r="G198" i="6"/>
  <c r="G197" i="6"/>
  <c r="G343" i="6"/>
  <c r="G342" i="6"/>
  <c r="G487" i="6"/>
  <c r="G486" i="6"/>
  <c r="G631" i="6"/>
  <c r="G630" i="6"/>
  <c r="L745" i="6"/>
  <c r="H566" i="6"/>
  <c r="H565" i="6"/>
  <c r="G305" i="6"/>
  <c r="G485" i="6"/>
  <c r="G484" i="6"/>
  <c r="G653" i="6"/>
  <c r="G652" i="6"/>
  <c r="S562" i="6"/>
  <c r="U562" i="6" s="1"/>
  <c r="L338" i="6"/>
  <c r="L336" i="6"/>
  <c r="L105" i="6"/>
  <c r="L104" i="6"/>
  <c r="L442" i="6"/>
  <c r="L191" i="6"/>
  <c r="L371" i="6"/>
  <c r="L72" i="6"/>
  <c r="L240" i="6"/>
  <c r="L468" i="6"/>
  <c r="L434" i="6"/>
  <c r="L432" i="6"/>
  <c r="L193" i="6"/>
  <c r="L337" i="6"/>
  <c r="L122" i="6"/>
  <c r="L302" i="6"/>
  <c r="L494" i="6"/>
  <c r="L493" i="6"/>
  <c r="L638" i="6"/>
  <c r="L637" i="6"/>
  <c r="L519" i="6"/>
  <c r="L663" i="6"/>
  <c r="L369" i="6"/>
  <c r="L368" i="6"/>
  <c r="L537" i="6"/>
  <c r="L536" i="6"/>
  <c r="L681" i="6"/>
  <c r="L679" i="6"/>
  <c r="L680" i="6"/>
  <c r="L67" i="6"/>
  <c r="L307" i="6"/>
  <c r="L44" i="6"/>
  <c r="L684" i="6"/>
  <c r="G542" i="6"/>
  <c r="G541" i="6"/>
  <c r="H542" i="6" s="1"/>
  <c r="G136" i="6"/>
  <c r="S195" i="6"/>
  <c r="U195" i="6" s="1"/>
  <c r="L530" i="6"/>
  <c r="L529" i="6"/>
  <c r="S77" i="6"/>
  <c r="U77" i="6" s="1"/>
  <c r="S302" i="6"/>
  <c r="U302" i="6" s="1"/>
  <c r="S124" i="6"/>
  <c r="U124" i="6" s="1"/>
  <c r="S293" i="6"/>
  <c r="U293" i="6" s="1"/>
  <c r="S203" i="6"/>
  <c r="U203" i="6" s="1"/>
  <c r="S330" i="6"/>
  <c r="U330" i="6" s="1"/>
  <c r="S295" i="6"/>
  <c r="U295" i="6" s="1"/>
  <c r="S152" i="6"/>
  <c r="U152" i="6" s="1"/>
  <c r="S177" i="6"/>
  <c r="U177" i="6" s="1"/>
  <c r="S226" i="6"/>
  <c r="U226" i="6" s="1"/>
  <c r="S528" i="6"/>
  <c r="U528" i="6" s="1"/>
  <c r="S85" i="6"/>
  <c r="U85" i="6" s="1"/>
  <c r="S255" i="6"/>
  <c r="U255" i="6" s="1"/>
  <c r="S543" i="6"/>
  <c r="U543" i="6" s="1"/>
  <c r="S487" i="6"/>
  <c r="U487" i="6" s="1"/>
  <c r="S140" i="6"/>
  <c r="S501" i="6"/>
  <c r="U501" i="6" s="1"/>
  <c r="S436" i="6"/>
  <c r="U436" i="6" s="1"/>
  <c r="S385" i="6"/>
  <c r="U385" i="6" s="1"/>
  <c r="S575" i="6"/>
  <c r="U575" i="6" s="1"/>
  <c r="S374" i="6"/>
  <c r="U374" i="6" s="1"/>
  <c r="S662" i="6"/>
  <c r="U662" i="6" s="1"/>
  <c r="S24" i="6"/>
  <c r="U24" i="6" s="1"/>
  <c r="S26" i="6"/>
  <c r="U26" i="6" s="1"/>
  <c r="S170" i="6"/>
  <c r="U170" i="6" s="1"/>
  <c r="S27" i="6"/>
  <c r="U27" i="6" s="1"/>
  <c r="S136" i="6"/>
  <c r="U136" i="6" s="1"/>
  <c r="S161" i="6"/>
  <c r="U161" i="6" s="1"/>
  <c r="S30" i="6"/>
  <c r="U30" i="6" s="1"/>
  <c r="S55" i="6"/>
  <c r="U55" i="6" s="1"/>
  <c r="S71" i="6"/>
  <c r="U71" i="6" s="1"/>
  <c r="S215" i="6"/>
  <c r="U215" i="6" s="1"/>
  <c r="S198" i="6"/>
  <c r="U198" i="6" s="1"/>
  <c r="S342" i="6"/>
  <c r="U342" i="6" s="1"/>
  <c r="S486" i="6"/>
  <c r="U486" i="6" s="1"/>
  <c r="S630" i="6"/>
  <c r="U630" i="6" s="1"/>
  <c r="S163" i="6"/>
  <c r="U163" i="6" s="1"/>
  <c r="S307" i="6"/>
  <c r="U307" i="6" s="1"/>
  <c r="S451" i="6"/>
  <c r="S164" i="6"/>
  <c r="U164" i="6" s="1"/>
  <c r="S356" i="6"/>
  <c r="U356" i="6" s="1"/>
  <c r="S500" i="6"/>
  <c r="U500" i="6" s="1"/>
  <c r="S644" i="6"/>
  <c r="U644" i="6" s="1"/>
  <c r="S45" i="6"/>
  <c r="U45" i="6" s="1"/>
  <c r="S189" i="6"/>
  <c r="U189" i="6" s="1"/>
  <c r="S46" i="6"/>
  <c r="U46" i="6" s="1"/>
  <c r="S238" i="6"/>
  <c r="U238" i="6" s="1"/>
  <c r="S396" i="6"/>
  <c r="U396" i="6" s="1"/>
  <c r="S540" i="6"/>
  <c r="U540" i="6" s="1"/>
  <c r="S684" i="6"/>
  <c r="U684" i="6" s="1"/>
  <c r="S97" i="6"/>
  <c r="U97" i="6" s="1"/>
  <c r="S241" i="6"/>
  <c r="U241" i="6" s="1"/>
  <c r="S267" i="6"/>
  <c r="U267" i="6" s="1"/>
  <c r="S411" i="6"/>
  <c r="U411" i="6" s="1"/>
  <c r="S555" i="6"/>
  <c r="U555" i="6" s="1"/>
  <c r="S365" i="6"/>
  <c r="U365" i="6" s="1"/>
  <c r="S509" i="6"/>
  <c r="U509" i="6" s="1"/>
  <c r="S653" i="6"/>
  <c r="U653" i="6" s="1"/>
  <c r="S499" i="6"/>
  <c r="U499" i="6" s="1"/>
  <c r="S643" i="6"/>
  <c r="U643" i="6" s="1"/>
  <c r="S369" i="6"/>
  <c r="U369" i="6" s="1"/>
  <c r="S513" i="6"/>
  <c r="U513" i="6" s="1"/>
  <c r="S681" i="6"/>
  <c r="U681" i="6" s="1"/>
  <c r="S334" i="6"/>
  <c r="U334" i="6" s="1"/>
  <c r="S526" i="6"/>
  <c r="U526" i="6" s="1"/>
  <c r="S694" i="6"/>
  <c r="U694" i="6" s="1"/>
  <c r="S503" i="6"/>
  <c r="U503" i="6" s="1"/>
  <c r="S707" i="6"/>
  <c r="U707" i="6" s="1"/>
  <c r="S304" i="6"/>
  <c r="U304" i="6" s="1"/>
  <c r="S448" i="6"/>
  <c r="U448" i="6" s="1"/>
  <c r="S592" i="6"/>
  <c r="U592" i="6" s="1"/>
  <c r="S394" i="6"/>
  <c r="U394" i="6" s="1"/>
  <c r="S481" i="6"/>
  <c r="U481" i="6" s="1"/>
  <c r="S577" i="6"/>
  <c r="U577" i="6" s="1"/>
  <c r="S697" i="6"/>
  <c r="U697" i="6" s="1"/>
  <c r="S386" i="6"/>
  <c r="U386" i="6" s="1"/>
  <c r="S530" i="6"/>
  <c r="U530" i="6" s="1"/>
  <c r="S687" i="6"/>
  <c r="U687" i="6" s="1"/>
  <c r="S700" i="6"/>
  <c r="U700" i="6" s="1"/>
  <c r="S633" i="6"/>
  <c r="U633" i="6" s="1"/>
  <c r="L87" i="6"/>
  <c r="L86" i="6"/>
  <c r="L117" i="6"/>
  <c r="M121" i="6" s="1"/>
  <c r="L116" i="6"/>
  <c r="L115" i="6"/>
  <c r="L238" i="6"/>
  <c r="L454" i="6"/>
  <c r="L23" i="6"/>
  <c r="L215" i="6"/>
  <c r="L383" i="6"/>
  <c r="L84" i="6"/>
  <c r="L252" i="6"/>
  <c r="L480" i="6"/>
  <c r="L61" i="6"/>
  <c r="L205" i="6"/>
  <c r="M209" i="6" s="1"/>
  <c r="L349" i="6"/>
  <c r="L146" i="6"/>
  <c r="L314" i="6"/>
  <c r="L506" i="6"/>
  <c r="L505" i="6"/>
  <c r="L650" i="6"/>
  <c r="L649" i="6"/>
  <c r="L196" i="6"/>
  <c r="L413" i="6"/>
  <c r="L212" i="6"/>
  <c r="L380" i="6"/>
  <c r="L103" i="6"/>
  <c r="L343" i="6"/>
  <c r="L152" i="6"/>
  <c r="L320" i="6"/>
  <c r="G38" i="6"/>
  <c r="G37" i="6"/>
  <c r="G36" i="6"/>
  <c r="G649" i="6"/>
  <c r="H650" i="6" s="1"/>
  <c r="G424" i="6"/>
  <c r="S212" i="6"/>
  <c r="U212" i="6" s="1"/>
  <c r="L335" i="6"/>
  <c r="G215" i="6"/>
  <c r="G214" i="6"/>
  <c r="G614" i="6"/>
  <c r="H617" i="6" s="1"/>
  <c r="G613" i="6"/>
  <c r="G612" i="6"/>
  <c r="S90" i="6"/>
  <c r="U90" i="6" s="1"/>
  <c r="S416" i="6"/>
  <c r="U416" i="6" s="1"/>
  <c r="S100" i="6"/>
  <c r="U100" i="6" s="1"/>
  <c r="S306" i="6"/>
  <c r="U306" i="6" s="1"/>
  <c r="S116" i="6"/>
  <c r="U116" i="6" s="1"/>
  <c r="S158" i="6"/>
  <c r="U158" i="6" s="1"/>
  <c r="S159" i="6"/>
  <c r="U159" i="6" s="1"/>
  <c r="S149" i="6"/>
  <c r="U149" i="6" s="1"/>
  <c r="S43" i="6"/>
  <c r="U43" i="6" s="1"/>
  <c r="S59" i="6"/>
  <c r="U59" i="6" s="1"/>
  <c r="S186" i="6"/>
  <c r="U186" i="6" s="1"/>
  <c r="S474" i="6"/>
  <c r="U474" i="6" s="1"/>
  <c r="S151" i="6"/>
  <c r="U151" i="6" s="1"/>
  <c r="S344" i="6"/>
  <c r="U344" i="6" s="1"/>
  <c r="S488" i="6"/>
  <c r="U488" i="6" s="1"/>
  <c r="S33" i="6"/>
  <c r="U33" i="6" s="1"/>
  <c r="S34" i="6"/>
  <c r="U34" i="6" s="1"/>
  <c r="S384" i="6"/>
  <c r="U384" i="6" s="1"/>
  <c r="S672" i="6"/>
  <c r="U672" i="6" s="1"/>
  <c r="S229" i="6"/>
  <c r="U229" i="6" s="1"/>
  <c r="S399" i="6"/>
  <c r="U399" i="6" s="1"/>
  <c r="S631" i="6"/>
  <c r="U631" i="6" s="1"/>
  <c r="S357" i="6"/>
  <c r="U357" i="6" s="1"/>
  <c r="S657" i="6"/>
  <c r="U657" i="6" s="1"/>
  <c r="S514" i="6"/>
  <c r="U514" i="6" s="1"/>
  <c r="S491" i="6"/>
  <c r="U491" i="6" s="1"/>
  <c r="S518" i="6"/>
  <c r="U518" i="6" s="1"/>
  <c r="S675" i="6"/>
  <c r="U675" i="6" s="1"/>
  <c r="S688" i="6"/>
  <c r="U688" i="6" s="1"/>
  <c r="S623" i="6"/>
  <c r="U623" i="6" s="1"/>
  <c r="S171" i="6"/>
  <c r="U171" i="6" s="1"/>
  <c r="S36" i="6"/>
  <c r="U36" i="6" s="1"/>
  <c r="S180" i="6"/>
  <c r="U180" i="6" s="1"/>
  <c r="S38" i="6"/>
  <c r="U38" i="6" s="1"/>
  <c r="S182" i="6"/>
  <c r="U182" i="6" s="1"/>
  <c r="S39" i="6"/>
  <c r="U39" i="6" s="1"/>
  <c r="S183" i="6"/>
  <c r="U183" i="6" s="1"/>
  <c r="S29" i="6"/>
  <c r="U29" i="6" s="1"/>
  <c r="S173" i="6"/>
  <c r="U173" i="6" s="1"/>
  <c r="S42" i="6"/>
  <c r="U42" i="6" s="1"/>
  <c r="S67" i="6"/>
  <c r="U67" i="6" s="1"/>
  <c r="S83" i="6"/>
  <c r="U83" i="6" s="1"/>
  <c r="S227" i="6"/>
  <c r="U227" i="6" s="1"/>
  <c r="S210" i="6"/>
  <c r="U210" i="6" s="1"/>
  <c r="S354" i="6"/>
  <c r="U354" i="6" s="1"/>
  <c r="S498" i="6"/>
  <c r="U498" i="6" s="1"/>
  <c r="S642" i="6"/>
  <c r="U642" i="6" s="1"/>
  <c r="S175" i="6"/>
  <c r="U175" i="6" s="1"/>
  <c r="S319" i="6"/>
  <c r="S463" i="6"/>
  <c r="U463" i="6" s="1"/>
  <c r="S188" i="6"/>
  <c r="U188" i="6" s="1"/>
  <c r="S368" i="6"/>
  <c r="U368" i="6" s="1"/>
  <c r="S512" i="6"/>
  <c r="U512" i="6" s="1"/>
  <c r="S656" i="6"/>
  <c r="U656" i="6" s="1"/>
  <c r="S57" i="6"/>
  <c r="U57" i="6" s="1"/>
  <c r="S201" i="6"/>
  <c r="U201" i="6" s="1"/>
  <c r="S58" i="6"/>
  <c r="U58" i="6" s="1"/>
  <c r="S262" i="6"/>
  <c r="U262" i="6" s="1"/>
  <c r="S408" i="6"/>
  <c r="U408" i="6" s="1"/>
  <c r="S552" i="6"/>
  <c r="U552" i="6" s="1"/>
  <c r="S696" i="6"/>
  <c r="U696" i="6" s="1"/>
  <c r="S109" i="6"/>
  <c r="U109" i="6" s="1"/>
  <c r="S253" i="6"/>
  <c r="U253" i="6" s="1"/>
  <c r="S279" i="6"/>
  <c r="U279" i="6" s="1"/>
  <c r="S423" i="6"/>
  <c r="U423" i="6" s="1"/>
  <c r="S567" i="6"/>
  <c r="U567" i="6" s="1"/>
  <c r="S377" i="6"/>
  <c r="U377" i="6" s="1"/>
  <c r="S521" i="6"/>
  <c r="U521" i="6" s="1"/>
  <c r="S665" i="6"/>
  <c r="U665" i="6" s="1"/>
  <c r="S511" i="6"/>
  <c r="U511" i="6" s="1"/>
  <c r="S655" i="6"/>
  <c r="U655" i="6" s="1"/>
  <c r="S176" i="6"/>
  <c r="U176" i="6" s="1"/>
  <c r="S381" i="6"/>
  <c r="U381" i="6" s="1"/>
  <c r="S525" i="6"/>
  <c r="U525" i="6" s="1"/>
  <c r="S693" i="6"/>
  <c r="U693" i="6" s="1"/>
  <c r="S358" i="6"/>
  <c r="U358" i="6" s="1"/>
  <c r="S550" i="6"/>
  <c r="U550" i="6" s="1"/>
  <c r="S706" i="6"/>
  <c r="U706" i="6" s="1"/>
  <c r="S515" i="6"/>
  <c r="U515" i="6" s="1"/>
  <c r="S719" i="6"/>
  <c r="U719" i="6" s="1"/>
  <c r="S316" i="6"/>
  <c r="U316" i="6" s="1"/>
  <c r="S460" i="6"/>
  <c r="U460" i="6" s="1"/>
  <c r="S604" i="6"/>
  <c r="S395" i="6"/>
  <c r="U395" i="6" s="1"/>
  <c r="S490" i="6"/>
  <c r="U490" i="6" s="1"/>
  <c r="S586" i="6"/>
  <c r="U586" i="6" s="1"/>
  <c r="S709" i="6"/>
  <c r="U709" i="6" s="1"/>
  <c r="S398" i="6"/>
  <c r="U398" i="6" s="1"/>
  <c r="S542" i="6"/>
  <c r="U542" i="6" s="1"/>
  <c r="S686" i="6"/>
  <c r="U686" i="6" s="1"/>
  <c r="S699" i="6"/>
  <c r="U699" i="6" s="1"/>
  <c r="S712" i="6"/>
  <c r="U712" i="6" s="1"/>
  <c r="S659" i="6"/>
  <c r="U659" i="6" s="1"/>
  <c r="L99" i="6"/>
  <c r="L136" i="6"/>
  <c r="L129" i="6"/>
  <c r="L128" i="6"/>
  <c r="L127" i="6"/>
  <c r="L94" i="6"/>
  <c r="L274" i="6"/>
  <c r="L453" i="6"/>
  <c r="L452" i="6"/>
  <c r="L451" i="6"/>
  <c r="L35" i="6"/>
  <c r="L227" i="6"/>
  <c r="L395" i="6"/>
  <c r="L96" i="6"/>
  <c r="L288" i="6"/>
  <c r="L73" i="6"/>
  <c r="L217" i="6"/>
  <c r="L361" i="6"/>
  <c r="L158" i="6"/>
  <c r="L156" i="6"/>
  <c r="L326" i="6"/>
  <c r="L518" i="6"/>
  <c r="L517" i="6"/>
  <c r="L662" i="6"/>
  <c r="L661" i="6"/>
  <c r="L543" i="6"/>
  <c r="L687" i="6"/>
  <c r="L412" i="6"/>
  <c r="L224" i="6"/>
  <c r="L139" i="6"/>
  <c r="L200" i="6"/>
  <c r="L599" i="6"/>
  <c r="G398" i="6"/>
  <c r="G396" i="6"/>
  <c r="G397" i="6"/>
  <c r="H539" i="6"/>
  <c r="H743" i="6"/>
  <c r="G158" i="6"/>
  <c r="G157" i="6"/>
  <c r="G156" i="6"/>
  <c r="L248" i="6"/>
  <c r="L297" i="6"/>
  <c r="L477" i="6"/>
  <c r="L534" i="6"/>
  <c r="L472" i="6"/>
  <c r="L628" i="6"/>
  <c r="L606" i="6"/>
  <c r="L162" i="6"/>
  <c r="L390" i="6"/>
  <c r="L211" i="6"/>
  <c r="L439" i="6"/>
  <c r="L522" i="6"/>
  <c r="L691" i="6"/>
  <c r="L642" i="6"/>
  <c r="L550" i="6"/>
  <c r="L611" i="6"/>
  <c r="L660" i="6"/>
  <c r="G14" i="6"/>
  <c r="H17" i="6" s="1"/>
  <c r="H503" i="6"/>
  <c r="G114" i="6"/>
  <c r="G294" i="6"/>
  <c r="G462" i="6"/>
  <c r="G666" i="6"/>
  <c r="H374" i="6"/>
  <c r="G60" i="6"/>
  <c r="G420" i="6"/>
  <c r="H423" i="6" s="1"/>
  <c r="G49" i="6"/>
  <c r="G206" i="6"/>
  <c r="H557" i="6"/>
  <c r="G113" i="6"/>
  <c r="G281" i="6"/>
  <c r="G437" i="6"/>
  <c r="G629" i="6"/>
  <c r="G474" i="6"/>
  <c r="H477" i="6" s="1"/>
  <c r="G483" i="6"/>
  <c r="G39" i="6"/>
  <c r="G135" i="6"/>
  <c r="G436" i="6"/>
  <c r="L364" i="6"/>
  <c r="L309" i="6"/>
  <c r="L489" i="6"/>
  <c r="L633" i="6"/>
  <c r="L484" i="6"/>
  <c r="L186" i="6"/>
  <c r="L402" i="6"/>
  <c r="L222" i="6"/>
  <c r="L523" i="6"/>
  <c r="L618" i="6"/>
  <c r="L703" i="6"/>
  <c r="L692" i="6"/>
  <c r="L308" i="6"/>
  <c r="L562" i="6"/>
  <c r="L479" i="6"/>
  <c r="L623" i="6"/>
  <c r="L672" i="6"/>
  <c r="G70" i="6"/>
  <c r="H29" i="6"/>
  <c r="G498" i="6"/>
  <c r="H501" i="6" s="1"/>
  <c r="G678" i="6"/>
  <c r="G12" i="6"/>
  <c r="H527" i="6"/>
  <c r="G489" i="6"/>
  <c r="G478" i="6"/>
  <c r="G621" i="6"/>
  <c r="G72" i="6"/>
  <c r="G624" i="6"/>
  <c r="G73" i="6"/>
  <c r="G125" i="6"/>
  <c r="G293" i="6"/>
  <c r="G449" i="6"/>
  <c r="G641" i="6"/>
  <c r="G40" i="6"/>
  <c r="G435" i="6"/>
  <c r="G87" i="6"/>
  <c r="H89" i="6" s="1"/>
  <c r="G268" i="6"/>
  <c r="G174" i="6"/>
  <c r="H177" i="6" s="1"/>
  <c r="L257" i="6"/>
  <c r="L165" i="6"/>
  <c r="L345" i="6"/>
  <c r="L513" i="6"/>
  <c r="L568" i="6"/>
  <c r="L520" i="6"/>
  <c r="L664" i="6"/>
  <c r="L210" i="6"/>
  <c r="L426" i="6"/>
  <c r="L235" i="6"/>
  <c r="L463" i="6"/>
  <c r="L546" i="6"/>
  <c r="L630" i="6"/>
  <c r="L715" i="6"/>
  <c r="L572" i="6"/>
  <c r="L503" i="6"/>
  <c r="M507" i="6" s="1"/>
  <c r="L647" i="6"/>
  <c r="L696" i="6"/>
  <c r="L236" i="6"/>
  <c r="G150" i="6"/>
  <c r="G522" i="6"/>
  <c r="H525" i="6" s="1"/>
  <c r="H552" i="6"/>
  <c r="G11" i="6"/>
  <c r="G96" i="6"/>
  <c r="H291" i="6"/>
  <c r="G121" i="6"/>
  <c r="G409" i="6"/>
  <c r="H411" i="6" s="1"/>
  <c r="G661" i="6"/>
  <c r="G254" i="6"/>
  <c r="G625" i="6"/>
  <c r="G149" i="6"/>
  <c r="G317" i="6"/>
  <c r="G497" i="6"/>
  <c r="G665" i="6"/>
  <c r="G51" i="6"/>
  <c r="G279" i="6"/>
  <c r="G519" i="6"/>
  <c r="G699" i="6"/>
  <c r="G64" i="6"/>
  <c r="G160" i="6"/>
  <c r="G363" i="6"/>
  <c r="G446" i="6"/>
  <c r="G566" i="6"/>
  <c r="H567" i="6" s="1"/>
  <c r="G234" i="6"/>
  <c r="L711" i="6"/>
  <c r="L244" i="6"/>
  <c r="L177" i="6"/>
  <c r="L357" i="6"/>
  <c r="L525" i="6"/>
  <c r="L533" i="6"/>
  <c r="L66" i="6"/>
  <c r="M70" i="6" s="1"/>
  <c r="L246" i="6"/>
  <c r="L438" i="6"/>
  <c r="L247" i="6"/>
  <c r="L366" i="6"/>
  <c r="L474" i="6"/>
  <c r="L547" i="6"/>
  <c r="L631" i="6"/>
  <c r="L726" i="6"/>
  <c r="L584" i="6"/>
  <c r="L728" i="6"/>
  <c r="L598" i="6"/>
  <c r="L515" i="6"/>
  <c r="L659" i="6"/>
  <c r="L707" i="6"/>
  <c r="G45" i="6"/>
  <c r="G44" i="6"/>
  <c r="G189" i="6"/>
  <c r="H192" i="6" s="1"/>
  <c r="G106" i="6"/>
  <c r="H134" i="6"/>
  <c r="G354" i="6"/>
  <c r="H357" i="6" s="1"/>
  <c r="G534" i="6"/>
  <c r="H537" i="6" s="1"/>
  <c r="G108" i="6"/>
  <c r="G480" i="6"/>
  <c r="G277" i="6"/>
  <c r="G17" i="6"/>
  <c r="G161" i="6"/>
  <c r="G329" i="6"/>
  <c r="G509" i="6"/>
  <c r="H512" i="6" s="1"/>
  <c r="G677" i="6"/>
  <c r="G75" i="6"/>
  <c r="G291" i="6"/>
  <c r="G531" i="6"/>
  <c r="G711" i="6"/>
  <c r="G63" i="6"/>
  <c r="G280" i="6"/>
  <c r="G375" i="6"/>
  <c r="G448" i="6"/>
  <c r="G568" i="6"/>
  <c r="G282" i="6"/>
  <c r="G180" i="6"/>
  <c r="H183" i="6" s="1"/>
  <c r="L475" i="6"/>
  <c r="L558" i="6"/>
  <c r="L727" i="6"/>
  <c r="L260" i="6"/>
  <c r="L740" i="6"/>
  <c r="L392" i="6"/>
  <c r="L702" i="6"/>
  <c r="L527" i="6"/>
  <c r="L671" i="6"/>
  <c r="L708" i="6"/>
  <c r="G61" i="6"/>
  <c r="G85" i="6"/>
  <c r="G30" i="6"/>
  <c r="G186" i="6"/>
  <c r="G366" i="6"/>
  <c r="G558" i="6"/>
  <c r="H587" i="6"/>
  <c r="H588" i="6"/>
  <c r="H470" i="6"/>
  <c r="G120" i="6"/>
  <c r="G324" i="6"/>
  <c r="G672" i="6"/>
  <c r="G253" i="6"/>
  <c r="G470" i="6"/>
  <c r="G650" i="6"/>
  <c r="G29" i="6"/>
  <c r="H30" i="6" s="1"/>
  <c r="G173" i="6"/>
  <c r="G341" i="6"/>
  <c r="H342" i="6" s="1"/>
  <c r="G521" i="6"/>
  <c r="G689" i="6"/>
  <c r="G99" i="6"/>
  <c r="G327" i="6"/>
  <c r="G543" i="6"/>
  <c r="G723" i="6"/>
  <c r="G292" i="6"/>
  <c r="G374" i="6"/>
  <c r="H375" i="6" s="1"/>
  <c r="G579" i="6"/>
  <c r="G710" i="6"/>
  <c r="H711" i="6" s="1"/>
  <c r="G233" i="6"/>
  <c r="G330" i="6"/>
  <c r="L305" i="6"/>
  <c r="L213" i="6"/>
  <c r="L381" i="6"/>
  <c r="L549" i="6"/>
  <c r="L556" i="6"/>
  <c r="L700" i="6"/>
  <c r="L90" i="6"/>
  <c r="L270" i="6"/>
  <c r="L462" i="6"/>
  <c r="L271" i="6"/>
  <c r="L379" i="6"/>
  <c r="L486" i="6"/>
  <c r="L559" i="6"/>
  <c r="L654" i="6"/>
  <c r="L738" i="6"/>
  <c r="L466" i="6"/>
  <c r="L539" i="6"/>
  <c r="L683" i="6"/>
  <c r="L588" i="6"/>
  <c r="L720" i="6"/>
  <c r="H538" i="6"/>
  <c r="G69" i="6"/>
  <c r="G213" i="6"/>
  <c r="H133" i="6"/>
  <c r="G42" i="6"/>
  <c r="G378" i="6"/>
  <c r="H381" i="6" s="1"/>
  <c r="G570" i="6"/>
  <c r="H504" i="6"/>
  <c r="G369" i="6"/>
  <c r="H372" i="6" s="1"/>
  <c r="H589" i="6"/>
  <c r="G477" i="6"/>
  <c r="G481" i="6"/>
  <c r="H484" i="6" s="1"/>
  <c r="G41" i="6"/>
  <c r="G185" i="6"/>
  <c r="G353" i="6"/>
  <c r="G533" i="6"/>
  <c r="G701" i="6"/>
  <c r="G123" i="6"/>
  <c r="G304" i="6"/>
  <c r="G376" i="6"/>
  <c r="G712" i="6"/>
  <c r="H715" i="6" s="1"/>
  <c r="G389" i="6"/>
  <c r="G402" i="6"/>
  <c r="L722" i="6"/>
  <c r="L304" i="6"/>
  <c r="L394" i="6"/>
  <c r="L149" i="6"/>
  <c r="L225" i="6"/>
  <c r="L405" i="6"/>
  <c r="L561" i="6"/>
  <c r="L569" i="6"/>
  <c r="L713" i="6"/>
  <c r="L102" i="6"/>
  <c r="L282" i="6"/>
  <c r="L163" i="6"/>
  <c r="L378" i="6"/>
  <c r="L487" i="6"/>
  <c r="L655" i="6"/>
  <c r="L739" i="6"/>
  <c r="L476" i="6"/>
  <c r="L620" i="6"/>
  <c r="L490" i="6"/>
  <c r="L634" i="6"/>
  <c r="L551" i="6"/>
  <c r="L695" i="6"/>
  <c r="L600" i="6"/>
  <c r="L732" i="6"/>
  <c r="G691" i="6"/>
  <c r="H694" i="6" s="1"/>
  <c r="G690" i="6"/>
  <c r="G81" i="6"/>
  <c r="G142" i="6"/>
  <c r="H145" i="6" s="1"/>
  <c r="G23" i="6"/>
  <c r="G210" i="6"/>
  <c r="H213" i="6" s="1"/>
  <c r="G390" i="6"/>
  <c r="G582" i="6"/>
  <c r="H585" i="6" s="1"/>
  <c r="G56" i="6"/>
  <c r="H601" i="6"/>
  <c r="G490" i="6"/>
  <c r="H493" i="6" s="1"/>
  <c r="H529" i="6"/>
  <c r="G348" i="6"/>
  <c r="G205" i="6"/>
  <c r="H541" i="6"/>
  <c r="G325" i="6"/>
  <c r="G673" i="6"/>
  <c r="G53" i="6"/>
  <c r="H55" i="6" s="1"/>
  <c r="G209" i="6"/>
  <c r="G365" i="6"/>
  <c r="G545" i="6"/>
  <c r="H716" i="6"/>
  <c r="G147" i="6"/>
  <c r="H150" i="6" s="1"/>
  <c r="G351" i="6"/>
  <c r="H353" i="6" s="1"/>
  <c r="G567" i="6"/>
  <c r="G747" i="6"/>
  <c r="G195" i="6"/>
  <c r="G303" i="6"/>
  <c r="G580" i="6"/>
  <c r="G722" i="6"/>
  <c r="G461" i="6"/>
  <c r="G546" i="6"/>
  <c r="H549" i="6" s="1"/>
  <c r="L448" i="6"/>
  <c r="L407" i="6"/>
  <c r="L237" i="6"/>
  <c r="L417" i="6"/>
  <c r="L573" i="6"/>
  <c r="L717" i="6"/>
  <c r="L580" i="6"/>
  <c r="L114" i="6"/>
  <c r="L318" i="6"/>
  <c r="L640" i="6"/>
  <c r="L174" i="6"/>
  <c r="L293" i="6"/>
  <c r="L497" i="6"/>
  <c r="L582" i="6"/>
  <c r="L666" i="6"/>
  <c r="L296" i="6"/>
  <c r="L488" i="6"/>
  <c r="L632" i="6"/>
  <c r="L676" i="6"/>
  <c r="L502" i="6"/>
  <c r="L646" i="6"/>
  <c r="L563" i="6"/>
  <c r="L719" i="6"/>
  <c r="L612" i="6"/>
  <c r="L744" i="6"/>
  <c r="G127" i="6"/>
  <c r="G271" i="6"/>
  <c r="H706" i="6"/>
  <c r="G66" i="6"/>
  <c r="G222" i="6"/>
  <c r="G414" i="6"/>
  <c r="G633" i="6"/>
  <c r="G226" i="6"/>
  <c r="G394" i="6"/>
  <c r="G168" i="6"/>
  <c r="G229" i="6"/>
  <c r="H232" i="6" s="1"/>
  <c r="G506" i="6"/>
  <c r="G686" i="6"/>
  <c r="G65" i="6"/>
  <c r="G221" i="6"/>
  <c r="G377" i="6"/>
  <c r="G557" i="6"/>
  <c r="G159" i="6"/>
  <c r="G399" i="6"/>
  <c r="G640" i="6"/>
  <c r="G112" i="6"/>
  <c r="G208" i="6"/>
  <c r="G316" i="6"/>
  <c r="G387" i="6"/>
  <c r="G591" i="6"/>
  <c r="G724" i="6"/>
  <c r="G473" i="6"/>
  <c r="G618" i="6"/>
  <c r="H621" i="6" s="1"/>
  <c r="L429" i="6"/>
  <c r="L592" i="6"/>
  <c r="L736" i="6"/>
  <c r="L126" i="6"/>
  <c r="L330" i="6"/>
  <c r="L175" i="6"/>
  <c r="L295" i="6"/>
  <c r="L403" i="6"/>
  <c r="L499" i="6"/>
  <c r="L583" i="6"/>
  <c r="L667" i="6"/>
  <c r="L678" i="6"/>
  <c r="L514" i="6"/>
  <c r="L575" i="6"/>
  <c r="L731" i="6"/>
  <c r="L624" i="6"/>
  <c r="G105" i="6"/>
  <c r="H108" i="6" s="1"/>
  <c r="G78" i="6"/>
  <c r="H81" i="6" s="1"/>
  <c r="G246" i="6"/>
  <c r="G426" i="6"/>
  <c r="G606" i="6"/>
  <c r="H609" i="6" s="1"/>
  <c r="G440" i="6"/>
  <c r="H384" i="6"/>
  <c r="G238" i="6"/>
  <c r="G622" i="6"/>
  <c r="H530" i="6"/>
  <c r="G169" i="6"/>
  <c r="G349" i="6"/>
  <c r="G77" i="6"/>
  <c r="G245" i="6"/>
  <c r="G401" i="6"/>
  <c r="G569" i="6"/>
  <c r="G171" i="6"/>
  <c r="G411" i="6"/>
  <c r="G627" i="6"/>
  <c r="G111" i="6"/>
  <c r="G218" i="6"/>
  <c r="G315" i="6"/>
  <c r="G400" i="6"/>
  <c r="G496" i="6"/>
  <c r="G590" i="6"/>
  <c r="G734" i="6"/>
  <c r="G605" i="6"/>
  <c r="H606" i="6" s="1"/>
  <c r="L393" i="6"/>
  <c r="L340" i="6"/>
  <c r="L185" i="6"/>
  <c r="L353" i="6"/>
  <c r="L273" i="6"/>
  <c r="L441" i="6"/>
  <c r="L597" i="6"/>
  <c r="M599" i="6" s="1"/>
  <c r="L220" i="6"/>
  <c r="L605" i="6"/>
  <c r="L138" i="6"/>
  <c r="L342" i="6"/>
  <c r="L306" i="6"/>
  <c r="L415" i="6"/>
  <c r="L510" i="6"/>
  <c r="L594" i="6"/>
  <c r="L344" i="6"/>
  <c r="L512" i="6"/>
  <c r="L656" i="6"/>
  <c r="L526" i="6"/>
  <c r="L670" i="6"/>
  <c r="L587" i="6"/>
  <c r="L743" i="6"/>
  <c r="L636" i="6"/>
  <c r="L721" i="6"/>
  <c r="G152" i="6"/>
  <c r="G296" i="6"/>
  <c r="H299" i="6" s="1"/>
  <c r="G117" i="6"/>
  <c r="H120" i="6" s="1"/>
  <c r="L461" i="6"/>
  <c r="G134" i="6"/>
  <c r="H136" i="6" s="1"/>
  <c r="G90" i="6"/>
  <c r="H93" i="6" s="1"/>
  <c r="G258" i="6"/>
  <c r="G438" i="6"/>
  <c r="G642" i="6"/>
  <c r="H455" i="6"/>
  <c r="G441" i="6"/>
  <c r="H314" i="6"/>
  <c r="G24" i="6"/>
  <c r="G204" i="6"/>
  <c r="G362" i="6"/>
  <c r="L498" i="6"/>
  <c r="G89" i="6"/>
  <c r="G257" i="6"/>
  <c r="G413" i="6"/>
  <c r="G581" i="6"/>
  <c r="G183" i="6"/>
  <c r="G423" i="6"/>
  <c r="G639" i="6"/>
  <c r="G124" i="6"/>
  <c r="G220" i="6"/>
  <c r="G314" i="6"/>
  <c r="H315" i="6" s="1"/>
  <c r="G412" i="6"/>
  <c r="G508" i="6"/>
  <c r="G736" i="6"/>
  <c r="H739" i="6" s="1"/>
  <c r="G617" i="6"/>
  <c r="H618" i="6" s="1"/>
  <c r="G628" i="6"/>
  <c r="T281" i="6"/>
  <c r="T185" i="6"/>
  <c r="T439" i="6"/>
  <c r="T329" i="6"/>
  <c r="T284" i="6"/>
  <c r="T188" i="6"/>
  <c r="T485" i="6"/>
  <c r="T336" i="6"/>
  <c r="T420" i="6"/>
  <c r="T103" i="6"/>
  <c r="T211" i="6"/>
  <c r="T261" i="6"/>
  <c r="T729" i="6"/>
  <c r="T400" i="6"/>
  <c r="T115" i="6"/>
  <c r="T487" i="6"/>
  <c r="T631" i="6"/>
  <c r="T161" i="6"/>
  <c r="T500" i="6"/>
  <c r="T442" i="6"/>
  <c r="T730" i="6"/>
  <c r="T461" i="6"/>
  <c r="T357" i="6"/>
  <c r="T747" i="6"/>
  <c r="T504" i="6"/>
  <c r="T562" i="6"/>
  <c r="T654" i="6"/>
  <c r="T720" i="6"/>
  <c r="T746" i="6"/>
  <c r="H446" i="6" l="1"/>
  <c r="H341" i="6"/>
  <c r="H521" i="6"/>
  <c r="H729" i="6"/>
  <c r="H727" i="6"/>
  <c r="H277" i="6"/>
  <c r="H276" i="6"/>
  <c r="H435" i="6"/>
  <c r="H657" i="6"/>
  <c r="H561" i="6"/>
  <c r="H686" i="6"/>
  <c r="H732" i="6"/>
  <c r="H203" i="6"/>
  <c r="T249" i="6"/>
  <c r="H656" i="6"/>
  <c r="H563" i="6"/>
  <c r="H77" i="6"/>
  <c r="H719" i="6"/>
  <c r="M592" i="6"/>
  <c r="H434" i="6"/>
  <c r="T51" i="6"/>
  <c r="H69" i="6"/>
  <c r="T240" i="6"/>
  <c r="H429" i="6"/>
  <c r="H405" i="6"/>
  <c r="T96" i="6"/>
  <c r="T715" i="6"/>
  <c r="H285" i="6"/>
  <c r="M252" i="6"/>
  <c r="H677" i="6"/>
  <c r="T414" i="6"/>
  <c r="H681" i="6"/>
  <c r="H60" i="6"/>
  <c r="H646" i="6"/>
  <c r="T545" i="6"/>
  <c r="M591" i="6"/>
  <c r="H59" i="6"/>
  <c r="H669" i="6"/>
  <c r="M292" i="6"/>
  <c r="H445" i="6"/>
  <c r="H386" i="6"/>
  <c r="T610" i="6"/>
  <c r="M740" i="6"/>
  <c r="M217" i="6"/>
  <c r="M293" i="6"/>
  <c r="T732" i="6"/>
  <c r="T585" i="6"/>
  <c r="T333" i="6"/>
  <c r="H431" i="6"/>
  <c r="H555" i="6"/>
  <c r="M439" i="6"/>
  <c r="M544" i="6"/>
  <c r="H699" i="6"/>
  <c r="H495" i="6"/>
  <c r="H456" i="6"/>
  <c r="M126" i="6"/>
  <c r="T73" i="6"/>
  <c r="H369" i="6"/>
  <c r="H647" i="6"/>
  <c r="T612" i="6"/>
  <c r="T257" i="6"/>
  <c r="H426" i="6"/>
  <c r="M241" i="6"/>
  <c r="M422" i="6"/>
  <c r="H348" i="6"/>
  <c r="H28" i="6"/>
  <c r="H303" i="6"/>
  <c r="H572" i="6"/>
  <c r="H645" i="6"/>
  <c r="T27" i="6"/>
  <c r="M543" i="6"/>
  <c r="H600" i="6"/>
  <c r="H742" i="6"/>
  <c r="H421" i="6"/>
  <c r="H409" i="6"/>
  <c r="H307" i="6"/>
  <c r="H218" i="6"/>
  <c r="M556" i="6"/>
  <c r="T286" i="6"/>
  <c r="M236" i="6"/>
  <c r="H602" i="6"/>
  <c r="H132" i="6"/>
  <c r="H467" i="6"/>
  <c r="H226" i="6"/>
  <c r="H741" i="6"/>
  <c r="H156" i="6"/>
  <c r="M235" i="6"/>
  <c r="H37" i="6"/>
  <c r="H420" i="6"/>
  <c r="T421" i="6"/>
  <c r="T701" i="6"/>
  <c r="H27" i="6"/>
  <c r="H20" i="6"/>
  <c r="H35" i="6"/>
  <c r="H358" i="6"/>
  <c r="T178" i="6"/>
  <c r="T468" i="6"/>
  <c r="H517" i="6"/>
  <c r="H322" i="6"/>
  <c r="H105" i="6"/>
  <c r="H469" i="6"/>
  <c r="M364" i="6"/>
  <c r="H487" i="6"/>
  <c r="H302" i="6"/>
  <c r="H658" i="6"/>
  <c r="H740" i="6"/>
  <c r="H535" i="6"/>
  <c r="M27" i="6"/>
  <c r="M114" i="6"/>
  <c r="H304" i="6"/>
  <c r="T441" i="6"/>
  <c r="H623" i="6"/>
  <c r="T660" i="6"/>
  <c r="T288" i="6"/>
  <c r="T668" i="6"/>
  <c r="H568" i="6"/>
  <c r="H188" i="6"/>
  <c r="H599" i="6"/>
  <c r="T516" i="6"/>
  <c r="H274" i="6"/>
  <c r="M535" i="6"/>
  <c r="M33" i="6"/>
  <c r="H637" i="6"/>
  <c r="T348" i="6"/>
  <c r="H419" i="6"/>
  <c r="H352" i="6"/>
  <c r="H486" i="6"/>
  <c r="H418" i="6"/>
  <c r="H457" i="6"/>
  <c r="M234" i="6"/>
  <c r="M31" i="6"/>
  <c r="H496" i="6"/>
  <c r="T586" i="6"/>
  <c r="H33" i="6"/>
  <c r="H250" i="6"/>
  <c r="H347" i="6"/>
  <c r="H265" i="6"/>
  <c r="H361" i="6"/>
  <c r="H444" i="6"/>
  <c r="H560" i="6"/>
  <c r="H464" i="6"/>
  <c r="M573" i="6"/>
  <c r="H88" i="6"/>
  <c r="M107" i="6"/>
  <c r="H34" i="6"/>
  <c r="H579" i="6"/>
  <c r="M21" i="6"/>
  <c r="H671" i="6"/>
  <c r="T722" i="6"/>
  <c r="M457" i="6"/>
  <c r="M268" i="6"/>
  <c r="H648" i="6"/>
  <c r="H335" i="6"/>
  <c r="T620" i="6"/>
  <c r="M407" i="6"/>
  <c r="T744" i="6"/>
  <c r="H452" i="6"/>
  <c r="M286" i="6"/>
  <c r="H653" i="6"/>
  <c r="M349" i="6"/>
  <c r="M288" i="6"/>
  <c r="H632" i="6"/>
  <c r="M66" i="6"/>
  <c r="T644" i="6"/>
  <c r="H254" i="6"/>
  <c r="M508" i="6"/>
  <c r="H709" i="6"/>
  <c r="H147" i="6"/>
  <c r="H260" i="6"/>
  <c r="M643" i="6"/>
  <c r="M691" i="6"/>
  <c r="H346" i="6"/>
  <c r="H553" i="6"/>
  <c r="M326" i="6"/>
  <c r="M402" i="6"/>
  <c r="H511" i="6"/>
  <c r="M446" i="6"/>
  <c r="H554" i="6"/>
  <c r="H266" i="6"/>
  <c r="H363" i="6"/>
  <c r="H499" i="6"/>
  <c r="H287" i="6"/>
  <c r="H362" i="6"/>
  <c r="H684" i="6"/>
  <c r="H638" i="6"/>
  <c r="H721" i="6"/>
  <c r="H45" i="6"/>
  <c r="H320" i="6"/>
  <c r="M65" i="6"/>
  <c r="M388" i="6"/>
  <c r="H142" i="6"/>
  <c r="H612" i="6"/>
  <c r="H334" i="6"/>
  <c r="H182" i="6"/>
  <c r="M370" i="6"/>
  <c r="M210" i="6"/>
  <c r="H359" i="6"/>
  <c r="H36" i="6"/>
  <c r="H172" i="6"/>
  <c r="H204" i="6"/>
  <c r="H406" i="6"/>
  <c r="H181" i="6"/>
  <c r="M348" i="6"/>
  <c r="H257" i="6"/>
  <c r="M651" i="6"/>
  <c r="M371" i="6"/>
  <c r="M427" i="6"/>
  <c r="T418" i="6"/>
  <c r="T24" i="6"/>
  <c r="H127" i="6"/>
  <c r="H417" i="6"/>
  <c r="M506" i="6"/>
  <c r="H393" i="6"/>
  <c r="M329" i="6"/>
  <c r="M233" i="6"/>
  <c r="H141" i="6"/>
  <c r="T138" i="6"/>
  <c r="H319" i="6"/>
  <c r="H225" i="6"/>
  <c r="H295" i="6"/>
  <c r="M338" i="6"/>
  <c r="M50" i="6"/>
  <c r="M52" i="6"/>
  <c r="M426" i="6"/>
  <c r="H238" i="6"/>
  <c r="T360" i="6"/>
  <c r="H249" i="6"/>
  <c r="T299" i="6"/>
  <c r="T285" i="6"/>
  <c r="M357" i="6"/>
  <c r="M190" i="6"/>
  <c r="M171" i="6"/>
  <c r="H194" i="6"/>
  <c r="H683" i="6"/>
  <c r="H680" i="6"/>
  <c r="H267" i="6"/>
  <c r="H465" i="6"/>
  <c r="M386" i="6"/>
  <c r="H85" i="6"/>
  <c r="H178" i="6"/>
  <c r="M421" i="6"/>
  <c r="H84" i="6"/>
  <c r="M152" i="6"/>
  <c r="H704" i="6"/>
  <c r="M728" i="6"/>
  <c r="H14" i="6"/>
  <c r="H271" i="6"/>
  <c r="H75" i="6"/>
  <c r="M654" i="6"/>
  <c r="M438" i="6"/>
  <c r="H310" i="6"/>
  <c r="H564" i="6"/>
  <c r="M69" i="6"/>
  <c r="T472" i="6"/>
  <c r="M470" i="6"/>
  <c r="T745" i="6"/>
  <c r="T672" i="6"/>
  <c r="H717" i="6"/>
  <c r="H718" i="6"/>
  <c r="H263" i="6"/>
  <c r="M655" i="6"/>
  <c r="H102" i="6"/>
  <c r="H123" i="6"/>
  <c r="M247" i="6"/>
  <c r="M471" i="6"/>
  <c r="M389" i="6"/>
  <c r="H394" i="6"/>
  <c r="H518" i="6"/>
  <c r="M650" i="6"/>
  <c r="H241" i="6"/>
  <c r="M411" i="6"/>
  <c r="H355" i="6"/>
  <c r="H722" i="6"/>
  <c r="M709" i="6"/>
  <c r="M428" i="6"/>
  <c r="M133" i="6"/>
  <c r="H639" i="6"/>
  <c r="H179" i="6"/>
  <c r="H611" i="6"/>
  <c r="H430" i="6"/>
  <c r="H261" i="6"/>
  <c r="H736" i="6"/>
  <c r="H397" i="6"/>
  <c r="M736" i="6"/>
  <c r="M167" i="6"/>
  <c r="M726" i="6"/>
  <c r="H216" i="6"/>
  <c r="H333" i="6"/>
  <c r="M270" i="6"/>
  <c r="M518" i="6"/>
  <c r="H451" i="6"/>
  <c r="H237" i="6"/>
  <c r="M391" i="6"/>
  <c r="T444" i="6"/>
  <c r="H229" i="6"/>
  <c r="M604" i="6"/>
  <c r="M706" i="6"/>
  <c r="M707" i="6"/>
  <c r="H466" i="6"/>
  <c r="H199" i="6"/>
  <c r="M113" i="6"/>
  <c r="M232" i="6"/>
  <c r="H734" i="6"/>
  <c r="H407" i="6"/>
  <c r="M110" i="6"/>
  <c r="T206" i="6"/>
  <c r="H318" i="6"/>
  <c r="M361" i="6"/>
  <c r="M429" i="6"/>
  <c r="M484" i="6"/>
  <c r="M90" i="6"/>
  <c r="M162" i="6"/>
  <c r="H697" i="6"/>
  <c r="H311" i="6"/>
  <c r="H312" i="6"/>
  <c r="T587" i="6"/>
  <c r="M189" i="6"/>
  <c r="M143" i="6"/>
  <c r="H458" i="6"/>
  <c r="H289" i="6"/>
  <c r="M320" i="6"/>
  <c r="H631" i="6"/>
  <c r="H425" i="6"/>
  <c r="M679" i="6"/>
  <c r="M584" i="6"/>
  <c r="H391" i="6"/>
  <c r="M483" i="6"/>
  <c r="M525" i="6"/>
  <c r="H460" i="6"/>
  <c r="H519" i="6"/>
  <c r="M628" i="6"/>
  <c r="H520" i="6"/>
  <c r="H101" i="6"/>
  <c r="H176" i="6"/>
  <c r="H438" i="6"/>
  <c r="M79" i="6"/>
  <c r="T583" i="6"/>
  <c r="M725" i="6"/>
  <c r="M624" i="6"/>
  <c r="M466" i="6"/>
  <c r="M395" i="6"/>
  <c r="H111" i="6"/>
  <c r="H48" i="6"/>
  <c r="H598" i="6"/>
  <c r="T512" i="6"/>
  <c r="M318" i="6"/>
  <c r="M81" i="6"/>
  <c r="H242" i="6"/>
  <c r="H670" i="6"/>
  <c r="H685" i="6"/>
  <c r="H162" i="6"/>
  <c r="H169" i="6"/>
  <c r="M325" i="6"/>
  <c r="T95" i="6"/>
  <c r="M607" i="6"/>
  <c r="H248" i="6"/>
  <c r="M433" i="6"/>
  <c r="M610" i="6"/>
  <c r="M231" i="6"/>
  <c r="H217" i="6"/>
  <c r="M195" i="6"/>
  <c r="M674" i="6"/>
  <c r="M587" i="6"/>
  <c r="M296" i="6"/>
  <c r="M339" i="6"/>
  <c r="H595" i="6"/>
  <c r="H21" i="6"/>
  <c r="H550" i="6"/>
  <c r="T686" i="6"/>
  <c r="T81" i="6"/>
  <c r="M142" i="6"/>
  <c r="H290" i="6"/>
  <c r="M687" i="6"/>
  <c r="M704" i="6"/>
  <c r="H534" i="6"/>
  <c r="M711" i="6"/>
  <c r="M204" i="6"/>
  <c r="M353" i="6"/>
  <c r="M120" i="6"/>
  <c r="H140" i="6"/>
  <c r="H597" i="6"/>
  <c r="M205" i="6"/>
  <c r="H605" i="6"/>
  <c r="M265" i="6"/>
  <c r="T656" i="6"/>
  <c r="H207" i="6"/>
  <c r="M130" i="6"/>
  <c r="H115" i="6"/>
  <c r="M118" i="6"/>
  <c r="H664" i="6"/>
  <c r="H117" i="6"/>
  <c r="M683" i="6"/>
  <c r="M108" i="6"/>
  <c r="H245" i="6"/>
  <c r="H494" i="6"/>
  <c r="H432" i="6"/>
  <c r="M109" i="6"/>
  <c r="T296" i="6"/>
  <c r="M660" i="6"/>
  <c r="H442" i="6"/>
  <c r="M636" i="6"/>
  <c r="H676" i="6"/>
  <c r="H330" i="6"/>
  <c r="M729" i="6"/>
  <c r="H702" i="6"/>
  <c r="H662" i="6"/>
  <c r="T629" i="6"/>
  <c r="T464" i="6"/>
  <c r="H642" i="6"/>
  <c r="M277" i="6"/>
  <c r="H157" i="6"/>
  <c r="H296" i="6"/>
  <c r="M200" i="6"/>
  <c r="M453" i="6"/>
  <c r="H131" i="6"/>
  <c r="M245" i="6"/>
  <c r="H198" i="6"/>
  <c r="M181" i="6"/>
  <c r="H99" i="6"/>
  <c r="H139" i="6"/>
  <c r="M376" i="6"/>
  <c r="M122" i="6"/>
  <c r="M377" i="6"/>
  <c r="T743" i="6"/>
  <c r="H186" i="6"/>
  <c r="H208" i="6"/>
  <c r="H26" i="6"/>
  <c r="H71" i="6"/>
  <c r="M441" i="6"/>
  <c r="H615" i="6"/>
  <c r="H543" i="6"/>
  <c r="H633" i="6"/>
  <c r="M461" i="6"/>
  <c r="H596" i="6"/>
  <c r="M413" i="6"/>
  <c r="M56" i="6"/>
  <c r="H233" i="6"/>
  <c r="M106" i="6"/>
  <c r="T70" i="6"/>
  <c r="H584" i="6"/>
  <c r="M585" i="6"/>
  <c r="M531" i="6"/>
  <c r="H280" i="6"/>
  <c r="M664" i="6"/>
  <c r="H398" i="6"/>
  <c r="H616" i="6"/>
  <c r="H103" i="6"/>
  <c r="M60" i="6"/>
  <c r="M144" i="6"/>
  <c r="H155" i="6"/>
  <c r="M452" i="6"/>
  <c r="H234" i="6"/>
  <c r="M404" i="6"/>
  <c r="M310" i="6"/>
  <c r="H68" i="6"/>
  <c r="M616" i="6"/>
  <c r="M324" i="6"/>
  <c r="H97" i="6"/>
  <c r="H433" i="6"/>
  <c r="T706" i="6"/>
  <c r="H416" i="6"/>
  <c r="M397" i="6"/>
  <c r="H390" i="6"/>
  <c r="H687" i="6"/>
  <c r="M251" i="6"/>
  <c r="H151" i="6"/>
  <c r="M266" i="6"/>
  <c r="M456" i="6"/>
  <c r="M375" i="6"/>
  <c r="M350" i="6"/>
  <c r="M225" i="6"/>
  <c r="H288" i="6"/>
  <c r="H251" i="6"/>
  <c r="T355" i="6"/>
  <c r="T682" i="6"/>
  <c r="T144" i="6"/>
  <c r="H578" i="6"/>
  <c r="M747" i="6"/>
  <c r="H174" i="6"/>
  <c r="H170" i="6"/>
  <c r="H725" i="6"/>
  <c r="H212" i="6"/>
  <c r="M308" i="6"/>
  <c r="H344" i="6"/>
  <c r="H67" i="6"/>
  <c r="H98" i="6"/>
  <c r="M665" i="6"/>
  <c r="M399" i="6"/>
  <c r="M497" i="6"/>
  <c r="M358" i="6"/>
  <c r="M96" i="6"/>
  <c r="M351" i="6"/>
  <c r="M159" i="6"/>
  <c r="H577" i="6"/>
  <c r="H286" i="6"/>
  <c r="H515" i="6"/>
  <c r="T624" i="6"/>
  <c r="M224" i="6"/>
  <c r="H608" i="6"/>
  <c r="M492" i="6"/>
  <c r="H713" i="6"/>
  <c r="H399" i="6"/>
  <c r="M521" i="6"/>
  <c r="M39" i="6"/>
  <c r="M185" i="6"/>
  <c r="T538" i="6"/>
  <c r="U538" i="6"/>
  <c r="T453" i="6"/>
  <c r="U453" i="6"/>
  <c r="M431" i="6"/>
  <c r="H696" i="6"/>
  <c r="M745" i="6"/>
  <c r="H404" i="6"/>
  <c r="M179" i="6"/>
  <c r="H613" i="6"/>
  <c r="M577" i="6"/>
  <c r="H305" i="6"/>
  <c r="M699" i="6"/>
  <c r="M614" i="6"/>
  <c r="H283" i="6"/>
  <c r="M730" i="6"/>
  <c r="M571" i="6"/>
  <c r="H678" i="6"/>
  <c r="M488" i="6"/>
  <c r="M522" i="6"/>
  <c r="H38" i="6"/>
  <c r="M653" i="6"/>
  <c r="M540" i="6"/>
  <c r="M258" i="6"/>
  <c r="H428" i="6"/>
  <c r="H22" i="6"/>
  <c r="M32" i="6"/>
  <c r="T588" i="6"/>
  <c r="U588" i="6"/>
  <c r="H682" i="6"/>
  <c r="H661" i="6"/>
  <c r="H473" i="6"/>
  <c r="M635" i="6"/>
  <c r="M637" i="6"/>
  <c r="M603" i="6"/>
  <c r="M330" i="6"/>
  <c r="M218" i="6"/>
  <c r="T252" i="6"/>
  <c r="U252" i="6"/>
  <c r="M281" i="6"/>
  <c r="M620" i="6"/>
  <c r="H187" i="6"/>
  <c r="H461" i="6"/>
  <c r="H95" i="6"/>
  <c r="H96" i="6"/>
  <c r="T597" i="6"/>
  <c r="M445" i="6"/>
  <c r="H130" i="6"/>
  <c r="M560" i="6"/>
  <c r="H714" i="6"/>
  <c r="H46" i="6"/>
  <c r="H668" i="6"/>
  <c r="M646" i="6"/>
  <c r="M160" i="6"/>
  <c r="M509" i="6"/>
  <c r="M372" i="6"/>
  <c r="H690" i="6"/>
  <c r="M83" i="6"/>
  <c r="M151" i="6"/>
  <c r="M134" i="6"/>
  <c r="M678" i="6"/>
  <c r="T595" i="6"/>
  <c r="H403" i="6"/>
  <c r="H701" i="6"/>
  <c r="M734" i="6"/>
  <c r="H211" i="6"/>
  <c r="M500" i="6"/>
  <c r="H173" i="6"/>
  <c r="H675" i="6"/>
  <c r="M264" i="6"/>
  <c r="M478" i="6"/>
  <c r="M714" i="6"/>
  <c r="M719" i="6"/>
  <c r="M169" i="6"/>
  <c r="M566" i="6"/>
  <c r="M693" i="6"/>
  <c r="M510" i="6"/>
  <c r="M84" i="6"/>
  <c r="M672" i="6"/>
  <c r="T604" i="6"/>
  <c r="U604" i="6"/>
  <c r="T564" i="6"/>
  <c r="M598" i="6"/>
  <c r="M596" i="6"/>
  <c r="H354" i="6"/>
  <c r="M564" i="6"/>
  <c r="H376" i="6"/>
  <c r="M741" i="6"/>
  <c r="M552" i="6"/>
  <c r="M731" i="6"/>
  <c r="H371" i="6"/>
  <c r="M227" i="6"/>
  <c r="M242" i="6"/>
  <c r="T140" i="6"/>
  <c r="U140" i="6"/>
  <c r="H258" i="6"/>
  <c r="H58" i="6"/>
  <c r="T190" i="6"/>
  <c r="U190" i="6"/>
  <c r="H510" i="6"/>
  <c r="M78" i="6"/>
  <c r="M336" i="6"/>
  <c r="M400" i="6"/>
  <c r="T219" i="6"/>
  <c r="U219" i="6"/>
  <c r="M176" i="6"/>
  <c r="M149" i="6"/>
  <c r="M61" i="6"/>
  <c r="H389" i="6"/>
  <c r="M314" i="6"/>
  <c r="M302" i="6"/>
  <c r="H339" i="6"/>
  <c r="H338" i="6"/>
  <c r="H698" i="6"/>
  <c r="M390" i="6"/>
  <c r="M378" i="6"/>
  <c r="H733" i="6"/>
  <c r="H168" i="6"/>
  <c r="M514" i="6"/>
  <c r="H221" i="6"/>
  <c r="M722" i="6"/>
  <c r="M409" i="6"/>
  <c r="M657" i="6"/>
  <c r="M561" i="6"/>
  <c r="H370" i="6"/>
  <c r="M550" i="6"/>
  <c r="H52" i="6"/>
  <c r="H160" i="6"/>
  <c r="M703" i="6"/>
  <c r="T451" i="6"/>
  <c r="U451" i="6"/>
  <c r="H87" i="6"/>
  <c r="M568" i="6"/>
  <c r="M147" i="6"/>
  <c r="H659" i="6"/>
  <c r="H593" i="6"/>
  <c r="T378" i="6"/>
  <c r="H298" i="6"/>
  <c r="M567" i="6"/>
  <c r="M644" i="6"/>
  <c r="H700" i="6"/>
  <c r="H628" i="6"/>
  <c r="M77" i="6"/>
  <c r="M244" i="6"/>
  <c r="T608" i="6"/>
  <c r="U608" i="6"/>
  <c r="M447" i="6"/>
  <c r="M282" i="6"/>
  <c r="M40" i="6"/>
  <c r="T609" i="6"/>
  <c r="U609" i="6"/>
  <c r="M44" i="6"/>
  <c r="H110" i="6"/>
  <c r="H424" i="6"/>
  <c r="M702" i="6"/>
  <c r="H191" i="6"/>
  <c r="M155" i="6"/>
  <c r="H49" i="6"/>
  <c r="H695" i="6"/>
  <c r="H516" i="6"/>
  <c r="H468" i="6"/>
  <c r="M405" i="6"/>
  <c r="M419" i="6"/>
  <c r="H154" i="6"/>
  <c r="M671" i="6"/>
  <c r="H548" i="6"/>
  <c r="H738" i="6"/>
  <c r="M309" i="6"/>
  <c r="H692" i="6"/>
  <c r="H436" i="6"/>
  <c r="H366" i="6"/>
  <c r="H437" i="6"/>
  <c r="H63" i="6"/>
  <c r="M393" i="6"/>
  <c r="M641" i="6"/>
  <c r="M76" i="6"/>
  <c r="M412" i="6"/>
  <c r="H195" i="6"/>
  <c r="M202" i="6"/>
  <c r="H575" i="6"/>
  <c r="H321" i="6"/>
  <c r="H708" i="6"/>
  <c r="M332" i="6"/>
  <c r="M589" i="6"/>
  <c r="H222" i="6"/>
  <c r="M345" i="6"/>
  <c r="H693" i="6"/>
  <c r="M398" i="6"/>
  <c r="H558" i="6"/>
  <c r="H480" i="6"/>
  <c r="H72" i="6"/>
  <c r="M383" i="6"/>
  <c r="H524" i="6"/>
  <c r="H331" i="6"/>
  <c r="H626" i="6"/>
  <c r="H42" i="6"/>
  <c r="H614" i="6"/>
  <c r="M100" i="6"/>
  <c r="M140" i="6"/>
  <c r="T319" i="6"/>
  <c r="U319" i="6"/>
  <c r="M128" i="6"/>
  <c r="M71" i="6"/>
  <c r="H488" i="6"/>
  <c r="H489" i="6"/>
  <c r="M425" i="6"/>
  <c r="T187" i="6"/>
  <c r="U187" i="6"/>
  <c r="M53" i="6"/>
  <c r="H576" i="6"/>
  <c r="M558" i="6"/>
  <c r="H275" i="6"/>
  <c r="H660" i="6"/>
  <c r="H351" i="6"/>
  <c r="H350" i="6"/>
  <c r="H349" i="6"/>
  <c r="H327" i="6"/>
  <c r="H326" i="6"/>
  <c r="H654" i="6"/>
  <c r="H591" i="6"/>
  <c r="M516" i="6"/>
  <c r="H737" i="6"/>
  <c r="H329" i="6"/>
  <c r="M662" i="6"/>
  <c r="H509" i="6"/>
  <c r="M322" i="6"/>
  <c r="H255" i="6"/>
  <c r="H118" i="6"/>
  <c r="M382" i="6"/>
  <c r="H379" i="6"/>
  <c r="H573" i="6"/>
  <c r="M490" i="6"/>
  <c r="H546" i="6"/>
  <c r="H184" i="6"/>
  <c r="M675" i="6"/>
  <c r="H571" i="6"/>
  <c r="H164" i="6"/>
  <c r="M529" i="6"/>
  <c r="H449" i="6"/>
  <c r="H674" i="6"/>
  <c r="H410" i="6"/>
  <c r="H219" i="6"/>
  <c r="M576" i="6"/>
  <c r="M517" i="6"/>
  <c r="H43" i="6"/>
  <c r="H76" i="6"/>
  <c r="M627" i="6"/>
  <c r="M645" i="6"/>
  <c r="H138" i="6"/>
  <c r="H316" i="6"/>
  <c r="H297" i="6"/>
  <c r="M166" i="6"/>
  <c r="H159" i="6"/>
  <c r="M536" i="6"/>
  <c r="H39" i="6"/>
  <c r="M57" i="6"/>
  <c r="M119" i="6"/>
  <c r="M684" i="6"/>
  <c r="M489" i="6"/>
  <c r="H231" i="6"/>
  <c r="H201" i="6"/>
  <c r="M102" i="6"/>
  <c r="H688" i="6"/>
  <c r="M201" i="6"/>
  <c r="M199" i="6"/>
  <c r="M504" i="6"/>
  <c r="M606" i="6"/>
  <c r="M158" i="6"/>
  <c r="H679" i="6"/>
  <c r="H309" i="6"/>
  <c r="M58" i="6"/>
  <c r="H388" i="6"/>
  <c r="M37" i="6"/>
  <c r="H24" i="6"/>
  <c r="M125" i="6"/>
  <c r="M356" i="6"/>
  <c r="M701" i="6"/>
  <c r="M279" i="6"/>
  <c r="M138" i="6"/>
  <c r="H450" i="6"/>
  <c r="M420" i="6"/>
  <c r="M366" i="6"/>
  <c r="M194" i="6"/>
  <c r="M380" i="6"/>
  <c r="M47" i="6"/>
  <c r="M75" i="6"/>
  <c r="M139" i="6"/>
  <c r="M515" i="6"/>
  <c r="M186" i="6"/>
  <c r="M154" i="6"/>
  <c r="H80" i="6"/>
  <c r="H50" i="6"/>
  <c r="M682" i="6"/>
  <c r="M733" i="6"/>
  <c r="H643" i="6"/>
  <c r="H149" i="6"/>
  <c r="M680" i="6"/>
  <c r="H106" i="6"/>
  <c r="M275" i="6"/>
  <c r="M129" i="6"/>
  <c r="H189" i="6"/>
  <c r="H378" i="6"/>
  <c r="H641" i="6"/>
  <c r="H227" i="6"/>
  <c r="M551" i="6"/>
  <c r="H163" i="6"/>
  <c r="H325" i="6"/>
  <c r="H215" i="6"/>
  <c r="M634" i="6"/>
  <c r="H498" i="6"/>
  <c r="H447" i="6"/>
  <c r="H485" i="6"/>
  <c r="M710" i="6"/>
  <c r="H666" i="6"/>
  <c r="M615" i="6"/>
  <c r="M632" i="6"/>
  <c r="H161" i="6"/>
  <c r="M666" i="6"/>
  <c r="M575" i="6"/>
  <c r="H41" i="6"/>
  <c r="H667" i="6"/>
  <c r="M685" i="6"/>
  <c r="M642" i="6"/>
  <c r="H655" i="6"/>
  <c r="H57" i="6"/>
  <c r="M451" i="6"/>
  <c r="M95" i="6"/>
  <c r="H508" i="6"/>
  <c r="M618" i="6"/>
  <c r="H135" i="6"/>
  <c r="M335" i="6"/>
  <c r="M462" i="6"/>
  <c r="M549" i="6"/>
  <c r="M295" i="6"/>
  <c r="H165" i="6"/>
  <c r="M177" i="6"/>
  <c r="M59" i="6"/>
  <c r="H396" i="6"/>
  <c r="H387" i="6"/>
  <c r="M539" i="6"/>
  <c r="M137" i="6"/>
  <c r="M49" i="6"/>
  <c r="M99" i="6"/>
  <c r="H220" i="6"/>
  <c r="M369" i="6"/>
  <c r="M557" i="6"/>
  <c r="M254" i="6"/>
  <c r="H703" i="6"/>
  <c r="H547" i="6"/>
  <c r="M432" i="6"/>
  <c r="M677" i="6"/>
  <c r="H402" i="6"/>
  <c r="M608" i="6"/>
  <c r="H368" i="6"/>
  <c r="M555" i="6"/>
  <c r="M717" i="6"/>
  <c r="H507" i="6"/>
  <c r="M274" i="6"/>
  <c r="M396" i="6"/>
  <c r="H66" i="6"/>
  <c r="H148" i="6"/>
  <c r="H82" i="6"/>
  <c r="M273" i="6"/>
  <c r="H214" i="6"/>
  <c r="M467" i="6"/>
  <c r="M261" i="6"/>
  <c r="M312" i="6"/>
  <c r="M493" i="6"/>
  <c r="H230" i="6"/>
  <c r="M554" i="6"/>
  <c r="M538" i="6"/>
  <c r="H343" i="6"/>
  <c r="M103" i="6"/>
  <c r="M156" i="6"/>
  <c r="M256" i="6"/>
  <c r="M379" i="6"/>
  <c r="H544" i="6"/>
  <c r="M541" i="6"/>
  <c r="M498" i="6"/>
  <c r="M511" i="6"/>
  <c r="M97" i="6"/>
  <c r="H246" i="6"/>
  <c r="M652" i="6"/>
  <c r="M337" i="6"/>
  <c r="M193" i="6"/>
  <c r="H272" i="6"/>
  <c r="M619" i="6"/>
  <c r="M184" i="6"/>
  <c r="M68" i="6"/>
  <c r="M418" i="6"/>
  <c r="M291" i="6"/>
  <c r="H74" i="6"/>
  <c r="H472" i="6"/>
  <c r="M464" i="6"/>
  <c r="M307" i="6"/>
  <c r="M468" i="6"/>
  <c r="M444" i="6"/>
  <c r="M198" i="6"/>
  <c r="M280" i="6"/>
  <c r="H193" i="6"/>
  <c r="M285" i="6"/>
  <c r="M101" i="6"/>
  <c r="M157" i="6"/>
  <c r="M112" i="6"/>
  <c r="M111" i="6"/>
  <c r="H40" i="6"/>
  <c r="H240" i="6"/>
  <c r="M718" i="6"/>
  <c r="H620" i="6"/>
  <c r="H619" i="6"/>
  <c r="H206" i="6"/>
  <c r="H16" i="6"/>
  <c r="M344" i="6"/>
  <c r="H443" i="6"/>
  <c r="M503" i="6"/>
  <c r="M300" i="6"/>
  <c r="M721" i="6"/>
  <c r="H482" i="6"/>
  <c r="M638" i="6"/>
  <c r="H607" i="6"/>
  <c r="H158" i="6"/>
  <c r="M94" i="6"/>
  <c r="H236" i="6"/>
  <c r="H235" i="6"/>
  <c r="M744" i="6"/>
  <c r="H663" i="6"/>
  <c r="M105" i="6"/>
  <c r="H522" i="6"/>
  <c r="H412" i="6"/>
  <c r="H153" i="6"/>
  <c r="H70" i="6"/>
  <c r="M239" i="6"/>
  <c r="H644" i="6"/>
  <c r="H624" i="6"/>
  <c r="H73" i="6"/>
  <c r="M696" i="6"/>
  <c r="M313" i="6"/>
  <c r="H86" i="6"/>
  <c r="M625" i="6"/>
  <c r="H175" i="6"/>
  <c r="M408" i="6"/>
  <c r="M455" i="6"/>
  <c r="M347" i="6"/>
  <c r="M88" i="6"/>
  <c r="M87" i="6"/>
  <c r="M720" i="6"/>
  <c r="H545" i="6"/>
  <c r="M306" i="6"/>
  <c r="M578" i="6"/>
  <c r="M449" i="6"/>
  <c r="M460" i="6"/>
  <c r="M104" i="6"/>
  <c r="M267" i="6"/>
  <c r="M206" i="6"/>
  <c r="M454" i="6"/>
  <c r="M716" i="6"/>
  <c r="M305" i="6"/>
  <c r="M26" i="6"/>
  <c r="M475" i="6"/>
  <c r="M28" i="6"/>
  <c r="M319" i="6"/>
  <c r="H269" i="6"/>
  <c r="M423" i="6"/>
  <c r="M360" i="6"/>
  <c r="H474" i="6"/>
  <c r="M172" i="6"/>
  <c r="M163" i="6"/>
  <c r="M469" i="6"/>
  <c r="M276" i="6"/>
  <c r="M401" i="6"/>
  <c r="M29" i="6"/>
  <c r="M520" i="6"/>
  <c r="M164" i="6"/>
  <c r="M482" i="6"/>
  <c r="H62" i="6"/>
  <c r="M670" i="6"/>
  <c r="H583" i="6"/>
  <c r="H56" i="6"/>
  <c r="H228" i="6"/>
  <c r="M494" i="6"/>
  <c r="H126" i="6"/>
  <c r="H64" i="6"/>
  <c r="H483" i="6"/>
  <c r="H65" i="6"/>
  <c r="M663" i="6"/>
  <c r="M442" i="6"/>
  <c r="M440" i="6"/>
  <c r="H282" i="6"/>
  <c r="H124" i="6"/>
  <c r="H735" i="6"/>
  <c r="M700" i="6"/>
  <c r="M430" i="6"/>
  <c r="M368" i="6"/>
  <c r="H205" i="6"/>
  <c r="M481" i="6"/>
  <c r="M228" i="6"/>
  <c r="M387" i="6"/>
  <c r="M367" i="6"/>
  <c r="M533" i="6"/>
  <c r="H100" i="6"/>
  <c r="M373" i="6"/>
  <c r="M230" i="6"/>
  <c r="H308" i="6"/>
  <c r="H634" i="6"/>
  <c r="M253" i="6"/>
  <c r="M450" i="6"/>
  <c r="M352" i="6"/>
  <c r="M36" i="6"/>
  <c r="M262" i="6"/>
  <c r="M705" i="6"/>
  <c r="M161" i="6"/>
  <c r="M72" i="6"/>
  <c r="M686" i="6"/>
  <c r="M737" i="6"/>
  <c r="M315" i="6"/>
  <c r="M175" i="6"/>
  <c r="H268" i="6"/>
  <c r="M287" i="6"/>
  <c r="M424" i="6"/>
  <c r="H210" i="6"/>
  <c r="M46" i="6"/>
  <c r="M18" i="6"/>
  <c r="M38" i="6"/>
  <c r="H129" i="6"/>
  <c r="M410" i="6"/>
  <c r="M257" i="6"/>
  <c r="M22" i="6"/>
  <c r="M559" i="6"/>
  <c r="M316" i="6"/>
  <c r="M20" i="6"/>
  <c r="M115" i="6"/>
  <c r="H627" i="6"/>
  <c r="M476" i="6"/>
  <c r="M323" i="6"/>
  <c r="H92" i="6"/>
  <c r="H630" i="6"/>
  <c r="H143" i="6"/>
  <c r="M299" i="6"/>
  <c r="H476" i="6"/>
  <c r="H475" i="6"/>
  <c r="H171" i="6"/>
  <c r="M586" i="6"/>
  <c r="M565" i="6"/>
  <c r="M626" i="6"/>
  <c r="H582" i="6"/>
  <c r="H32" i="6"/>
  <c r="H580" i="6"/>
  <c r="H19" i="6"/>
  <c r="H294" i="6"/>
  <c r="M519" i="6"/>
  <c r="M250" i="6"/>
  <c r="M248" i="6"/>
  <c r="H54" i="6"/>
  <c r="H651" i="6"/>
  <c r="H723" i="6"/>
  <c r="M214" i="6"/>
  <c r="H481" i="6"/>
  <c r="H622" i="6"/>
  <c r="M622" i="6"/>
  <c r="H440" i="6"/>
  <c r="H61" i="6"/>
  <c r="M695" i="6"/>
  <c r="M301" i="6"/>
  <c r="H427" i="6"/>
  <c r="M219" i="6"/>
  <c r="M91" i="6"/>
  <c r="M534" i="6"/>
  <c r="M688" i="6"/>
  <c r="M341" i="6"/>
  <c r="M74" i="6"/>
  <c r="M692" i="6"/>
  <c r="M629" i="6"/>
  <c r="M64" i="6"/>
  <c r="M354" i="6"/>
  <c r="M82" i="6"/>
  <c r="M580" i="6"/>
  <c r="M73" i="6"/>
  <c r="M542" i="6"/>
  <c r="M738" i="6"/>
  <c r="H270" i="6"/>
  <c r="M238" i="6"/>
  <c r="H91" i="6"/>
  <c r="M582" i="6"/>
  <c r="M303" i="6"/>
  <c r="M739" i="6"/>
  <c r="M639" i="6"/>
  <c r="M141" i="6"/>
  <c r="M24" i="6"/>
  <c r="M89" i="6"/>
  <c r="M633" i="6"/>
  <c r="M124" i="6"/>
  <c r="M271" i="6"/>
  <c r="M474" i="6"/>
  <c r="M600" i="6"/>
  <c r="H114" i="6"/>
  <c r="M502" i="6"/>
  <c r="M609" i="6"/>
  <c r="M499" i="6"/>
  <c r="H414" i="6"/>
  <c r="H574" i="6"/>
  <c r="H380" i="6"/>
  <c r="H31" i="6"/>
  <c r="M501" i="6"/>
  <c r="H306" i="6"/>
  <c r="H497" i="6"/>
  <c r="M480" i="6"/>
  <c r="H392" i="6"/>
  <c r="H536" i="6"/>
  <c r="H463" i="6"/>
  <c r="H121" i="6"/>
  <c r="M562" i="6"/>
  <c r="H78" i="6"/>
  <c r="M746" i="6"/>
  <c r="M715" i="6"/>
  <c r="H471" i="6"/>
  <c r="H53" i="6"/>
  <c r="M668" i="6"/>
  <c r="H128" i="6"/>
  <c r="H492" i="6"/>
  <c r="H491" i="6"/>
  <c r="H478" i="6"/>
  <c r="M527" i="6"/>
  <c r="M237" i="6"/>
  <c r="H284" i="6"/>
  <c r="H479" i="6"/>
  <c r="H144" i="6"/>
  <c r="M526" i="6"/>
  <c r="M416" i="6"/>
  <c r="M365" i="6"/>
  <c r="M278" i="6"/>
  <c r="M116" i="6"/>
  <c r="H724" i="6"/>
  <c r="M384" i="6"/>
  <c r="M48" i="6"/>
  <c r="M392" i="6"/>
  <c r="M197" i="6"/>
  <c r="H490" i="6"/>
  <c r="M548" i="6"/>
  <c r="M630" i="6"/>
  <c r="M363" i="6"/>
  <c r="M355" i="6"/>
  <c r="M617" i="6"/>
  <c r="M173" i="6"/>
  <c r="H523" i="6"/>
  <c r="M298" i="6"/>
  <c r="M80" i="6"/>
  <c r="M611" i="6"/>
  <c r="M708" i="6"/>
  <c r="M593" i="6"/>
  <c r="M513" i="6"/>
  <c r="H367" i="6"/>
  <c r="M289" i="6"/>
  <c r="M597" i="6"/>
  <c r="H112" i="6"/>
  <c r="M123" i="6"/>
  <c r="M415" i="6"/>
  <c r="M495" i="6"/>
  <c r="M260" i="6"/>
  <c r="M532" i="6"/>
  <c r="M23" i="6"/>
  <c r="M51" i="6"/>
  <c r="M689" i="6"/>
  <c r="M127" i="6"/>
  <c r="M437" i="6"/>
  <c r="H25" i="6"/>
  <c r="H415" i="6"/>
  <c r="H365" i="6"/>
  <c r="M117" i="6"/>
  <c r="M334" i="6"/>
  <c r="H594" i="6"/>
  <c r="H224" i="6"/>
  <c r="H113" i="6"/>
  <c r="M297" i="6"/>
  <c r="H328" i="6"/>
  <c r="H119" i="6"/>
  <c r="M743" i="6"/>
  <c r="M229" i="6"/>
  <c r="H356" i="6"/>
  <c r="M742" i="6"/>
  <c r="M697" i="6"/>
  <c r="H377" i="6"/>
  <c r="M479" i="6"/>
  <c r="H109" i="6"/>
  <c r="M602" i="6"/>
  <c r="M681" i="6"/>
  <c r="H673" i="6"/>
  <c r="H500" i="6"/>
  <c r="H629" i="6"/>
  <c r="M524" i="6"/>
  <c r="H90" i="6"/>
  <c r="H422" i="6"/>
  <c r="H190" i="6"/>
  <c r="M226" i="6"/>
  <c r="H116" i="6"/>
  <c r="M443" i="6"/>
  <c r="H400" i="6"/>
  <c r="M212" i="6"/>
  <c r="M221" i="6"/>
  <c r="M98" i="6"/>
  <c r="M223" i="6"/>
  <c r="H292" i="6"/>
  <c r="H652" i="6"/>
  <c r="M216" i="6"/>
  <c r="M458" i="6"/>
  <c r="M435" i="6"/>
  <c r="M694" i="6"/>
  <c r="M188" i="6"/>
  <c r="M436" i="6"/>
  <c r="H345" i="6"/>
  <c r="M574" i="6"/>
  <c r="M485" i="6"/>
  <c r="M183" i="6"/>
  <c r="M211" i="6"/>
  <c r="M93" i="6"/>
  <c r="M85" i="6"/>
  <c r="M713" i="6"/>
  <c r="M647" i="6"/>
  <c r="M631" i="6"/>
  <c r="M196" i="6"/>
  <c r="M331" i="6"/>
  <c r="M612" i="6"/>
  <c r="M174" i="6"/>
  <c r="H51" i="6"/>
  <c r="M263" i="6"/>
  <c r="M594" i="6"/>
  <c r="M374" i="6"/>
  <c r="H196" i="6"/>
  <c r="M284" i="6"/>
  <c r="M41" i="6"/>
  <c r="M304" i="6"/>
  <c r="H83" i="6"/>
  <c r="M477" i="6"/>
  <c r="M569" i="6"/>
  <c r="M243" i="6"/>
  <c r="M528" i="6"/>
  <c r="M727" i="6"/>
  <c r="M328" i="6"/>
  <c r="M25" i="6"/>
  <c r="M30" i="6"/>
  <c r="H531" i="6"/>
  <c r="M690" i="6"/>
  <c r="M255" i="6"/>
  <c r="M42" i="6"/>
  <c r="M473" i="6"/>
  <c r="H636" i="6"/>
  <c r="H635" i="6"/>
  <c r="M505" i="6"/>
  <c r="H137" i="6"/>
  <c r="M724" i="6"/>
  <c r="M698" i="6"/>
  <c r="M581" i="6"/>
  <c r="M463" i="6"/>
  <c r="M465" i="6"/>
  <c r="M346" i="6"/>
  <c r="H317" i="6"/>
  <c r="H185" i="6"/>
  <c r="M530" i="6"/>
  <c r="H278" i="6"/>
  <c r="M735" i="6"/>
  <c r="H281" i="6"/>
  <c r="M723" i="6"/>
  <c r="M178" i="6"/>
  <c r="M333" i="6"/>
  <c r="M659" i="6"/>
  <c r="M321" i="6"/>
  <c r="H581" i="6"/>
  <c r="H395" i="6"/>
  <c r="M658" i="6"/>
  <c r="M553" i="6"/>
  <c r="H293" i="6"/>
  <c r="H239" i="6"/>
  <c r="M732" i="6"/>
  <c r="M537" i="6"/>
  <c r="M240" i="6"/>
  <c r="M590" i="6"/>
  <c r="M572" i="6"/>
  <c r="H413" i="6"/>
  <c r="H15" i="6"/>
  <c r="M406" i="6"/>
  <c r="H439" i="6"/>
  <c r="H18" i="6"/>
  <c r="M215" i="6"/>
  <c r="M213" i="6"/>
  <c r="M131" i="6"/>
  <c r="H279" i="6"/>
  <c r="M417" i="6"/>
  <c r="M403" i="6"/>
  <c r="M311" i="6"/>
  <c r="M667" i="6"/>
  <c r="M340" i="6"/>
  <c r="M359" i="6"/>
  <c r="M486" i="6"/>
  <c r="M621" i="6"/>
  <c r="M67" i="6"/>
  <c r="M168" i="6"/>
  <c r="M448" i="6"/>
  <c r="M92" i="6"/>
  <c r="H243" i="6"/>
  <c r="M648" i="6"/>
  <c r="M487" i="6"/>
  <c r="M187" i="6"/>
  <c r="M613" i="6"/>
  <c r="M290" i="6"/>
  <c r="M656" i="6"/>
  <c r="M414" i="6"/>
  <c r="M191" i="6"/>
  <c r="M272" i="6"/>
  <c r="M35" i="6"/>
  <c r="M208" i="6"/>
  <c r="M362" i="6"/>
  <c r="M570" i="6"/>
  <c r="M259" i="6"/>
  <c r="M623" i="6"/>
  <c r="M583" i="6"/>
  <c r="M136" i="6"/>
  <c r="M135" i="6"/>
  <c r="H532" i="6"/>
  <c r="M545" i="6"/>
  <c r="M62" i="6"/>
  <c r="M317" i="6"/>
  <c r="H364" i="6"/>
  <c r="H691" i="6"/>
  <c r="M148" i="6"/>
  <c r="M146" i="6"/>
  <c r="M640" i="6"/>
  <c r="H223" i="6"/>
  <c r="H592" i="6"/>
  <c r="H441" i="6"/>
  <c r="M601" i="6"/>
  <c r="H625" i="6"/>
  <c r="H125" i="6"/>
  <c r="M579" i="6"/>
  <c r="H689" i="6"/>
  <c r="M165" i="6"/>
  <c r="H570" i="6"/>
  <c r="M491" i="6"/>
  <c r="M153" i="6"/>
  <c r="H462" i="6"/>
  <c r="H44" i="6"/>
  <c r="H107" i="6"/>
  <c r="M563" i="6"/>
  <c r="M385" i="6"/>
  <c r="H726" i="6"/>
  <c r="H256" i="6"/>
  <c r="M712" i="6"/>
  <c r="H332" i="6"/>
  <c r="H47" i="6"/>
  <c r="M588" i="6"/>
  <c r="M673" i="6"/>
  <c r="H569" i="6"/>
  <c r="H152" i="6"/>
  <c r="H122" i="6"/>
  <c r="M661" i="6"/>
  <c r="H259" i="6"/>
  <c r="H640" i="6"/>
  <c r="M676" i="6"/>
  <c r="H247" i="6"/>
  <c r="H209" i="6"/>
  <c r="M394" i="6"/>
  <c r="M45" i="6"/>
  <c r="H401" i="6"/>
  <c r="M547" i="6"/>
  <c r="M496" i="6"/>
  <c r="M132" i="6"/>
  <c r="H273" i="6"/>
  <c r="M249" i="6"/>
  <c r="M150" i="6"/>
  <c r="M86" i="6"/>
  <c r="M523" i="6"/>
  <c r="M472" i="6"/>
  <c r="M342" i="6"/>
  <c r="H712" i="6"/>
  <c r="H200" i="6"/>
  <c r="M180" i="6"/>
  <c r="M294" i="6"/>
  <c r="M434" i="6"/>
  <c r="H559" i="6"/>
  <c r="M381" i="6"/>
  <c r="M220" i="6"/>
  <c r="M343" i="6"/>
  <c r="H244" i="6"/>
  <c r="M649" i="6"/>
  <c r="M605" i="6"/>
  <c r="M327" i="6"/>
  <c r="M269" i="6"/>
  <c r="M512" i="6"/>
  <c r="M246" i="6"/>
  <c r="M192" i="6"/>
  <c r="H197" i="6"/>
  <c r="M595" i="6"/>
  <c r="M34" i="6"/>
  <c r="H747" i="6"/>
  <c r="H746" i="6"/>
  <c r="H745" i="6"/>
  <c r="M145" i="6"/>
  <c r="H23" i="6"/>
  <c r="M207" i="6"/>
  <c r="M170" i="6"/>
  <c r="H79" i="6"/>
  <c r="M222" i="6"/>
  <c r="M203" i="6"/>
  <c r="M669" i="6"/>
  <c r="M459" i="6"/>
  <c r="M283" i="6"/>
  <c r="H448" i="6"/>
  <c r="H533" i="6"/>
  <c r="M546" i="6"/>
  <c r="M63" i="6"/>
  <c r="M182" i="6"/>
  <c r="T372" i="6"/>
  <c r="T17" i="6"/>
  <c r="T289" i="6"/>
  <c r="T20" i="6"/>
  <c r="T717" i="6"/>
  <c r="T528" i="6"/>
  <c r="T129" i="6"/>
  <c r="T568" i="6"/>
  <c r="T328" i="6"/>
  <c r="T12" i="6"/>
  <c r="T432" i="6"/>
  <c r="T283" i="6"/>
  <c r="T636" i="6"/>
  <c r="T679" i="6"/>
  <c r="T449" i="6"/>
  <c r="T107" i="6"/>
  <c r="T415" i="6"/>
  <c r="T87" i="6"/>
  <c r="T740" i="6"/>
  <c r="T502" i="6"/>
  <c r="T643" i="6"/>
  <c r="T353" i="6"/>
  <c r="T310" i="6"/>
  <c r="T391" i="6"/>
  <c r="T150" i="6"/>
  <c r="T723" i="6"/>
  <c r="T431" i="6"/>
  <c r="T105" i="6"/>
  <c r="T134" i="6"/>
  <c r="T133" i="6"/>
  <c r="T244" i="6"/>
  <c r="T469" i="6"/>
  <c r="T223" i="6"/>
  <c r="T388" i="6"/>
  <c r="T589" i="6"/>
  <c r="T436" i="6"/>
  <c r="T32" i="6"/>
  <c r="T113" i="6"/>
  <c r="T182" i="6"/>
  <c r="T57" i="6"/>
  <c r="T49" i="6"/>
  <c r="T518" i="6"/>
  <c r="T351" i="6"/>
  <c r="T22" i="6"/>
  <c r="T473" i="6"/>
  <c r="T602" i="6"/>
  <c r="T647" i="6"/>
  <c r="T371" i="6"/>
  <c r="T495" i="6"/>
  <c r="T153" i="6"/>
  <c r="T522" i="6"/>
  <c r="T561" i="6"/>
  <c r="T50" i="6"/>
  <c r="T327" i="6"/>
  <c r="T64" i="6"/>
  <c r="T463" i="6"/>
  <c r="T121" i="6"/>
  <c r="T311" i="6"/>
  <c r="T28" i="6"/>
  <c r="T448" i="6"/>
  <c r="T541" i="6"/>
  <c r="T89" i="6"/>
  <c r="T184" i="6"/>
  <c r="T505" i="6"/>
  <c r="T251" i="6"/>
  <c r="T91" i="6"/>
  <c r="T600" i="6"/>
  <c r="T417" i="6"/>
  <c r="T92" i="6"/>
  <c r="T155" i="6"/>
  <c r="T710" i="6"/>
  <c r="T111" i="6"/>
  <c r="T425" i="6"/>
  <c r="T10" i="6"/>
  <c r="T166" i="6"/>
  <c r="T642" i="6"/>
  <c r="T186" i="6"/>
  <c r="T533" i="6"/>
  <c r="T266" i="6"/>
  <c r="T658" i="6"/>
  <c r="T312" i="6"/>
  <c r="T100" i="6"/>
  <c r="T501" i="6"/>
  <c r="T437" i="6"/>
  <c r="T242" i="6"/>
  <c r="T633" i="6"/>
  <c r="T606" i="6"/>
  <c r="T508" i="6"/>
  <c r="T435" i="6"/>
  <c r="T71" i="6"/>
  <c r="T580" i="6"/>
  <c r="T68" i="6"/>
  <c r="T741" i="6"/>
  <c r="T711" i="6"/>
  <c r="T145" i="6"/>
  <c r="T412" i="6"/>
  <c r="T677" i="6"/>
  <c r="T265" i="6"/>
  <c r="T404" i="6"/>
  <c r="T126" i="6"/>
  <c r="T196" i="6"/>
  <c r="T577" i="6"/>
  <c r="T536" i="6"/>
  <c r="T79" i="6"/>
  <c r="T101" i="6"/>
  <c r="T641" i="6"/>
  <c r="T33" i="6"/>
  <c r="T43" i="6"/>
  <c r="T507" i="6"/>
  <c r="T323" i="6"/>
  <c r="T368" i="6"/>
  <c r="T78" i="6"/>
  <c r="T573" i="6"/>
  <c r="T25" i="6"/>
  <c r="T560" i="6"/>
  <c r="T309" i="6"/>
  <c r="T626" i="6"/>
  <c r="T669" i="6"/>
  <c r="T40" i="6"/>
  <c r="T742" i="6"/>
  <c r="T217" i="6"/>
  <c r="T60" i="6"/>
  <c r="T356" i="6"/>
  <c r="T370" i="6"/>
  <c r="T396" i="6"/>
  <c r="T97" i="6"/>
  <c r="T376" i="6"/>
  <c r="T651" i="6"/>
  <c r="T511" i="6"/>
  <c r="T605" i="6"/>
  <c r="T707" i="6"/>
  <c r="T433" i="6"/>
  <c r="T179" i="6"/>
  <c r="T578" i="6"/>
  <c r="T598" i="6"/>
  <c r="T556" i="6"/>
  <c r="T661" i="6"/>
  <c r="T486" i="6"/>
  <c r="T275" i="6"/>
  <c r="T603" i="6"/>
  <c r="T151" i="6"/>
  <c r="T268" i="6"/>
  <c r="T637" i="6"/>
  <c r="T321" i="6"/>
  <c r="T282" i="6"/>
  <c r="T374" i="6"/>
  <c r="T422" i="6"/>
  <c r="T622" i="6"/>
  <c r="T440" i="6"/>
  <c r="T162" i="6"/>
  <c r="T676" i="6"/>
  <c r="T411" i="6"/>
  <c r="T563" i="6"/>
  <c r="T555" i="6"/>
  <c r="T687" i="6"/>
  <c r="T683" i="6"/>
  <c r="T540" i="6"/>
  <c r="T547" i="6"/>
  <c r="T29" i="6"/>
  <c r="T253" i="6"/>
  <c r="T212" i="6"/>
  <c r="T292" i="6"/>
  <c r="T725" i="6"/>
  <c r="T338" i="6"/>
  <c r="T678" i="6"/>
  <c r="T147" i="6"/>
  <c r="T171" i="6"/>
  <c r="T694" i="6"/>
  <c r="T666" i="6"/>
  <c r="T324" i="6"/>
  <c r="T237" i="6"/>
  <c r="T236" i="6"/>
  <c r="T314" i="6"/>
  <c r="T168" i="6"/>
  <c r="T457" i="6"/>
  <c r="T484" i="6"/>
  <c r="T274" i="6"/>
  <c r="T110" i="6"/>
  <c r="T259" i="6"/>
  <c r="T714" i="6"/>
  <c r="T419" i="6"/>
  <c r="T208" i="6"/>
  <c r="T403" i="6"/>
  <c r="T130" i="6"/>
  <c r="T220" i="6"/>
  <c r="T183" i="6"/>
  <c r="T359" i="6"/>
  <c r="T724" i="6"/>
  <c r="T245" i="6"/>
  <c r="T120" i="6"/>
  <c r="T137" i="6"/>
  <c r="T392" i="6"/>
  <c r="T339" i="6"/>
  <c r="T416" i="6"/>
  <c r="T192" i="6"/>
  <c r="T346" i="6"/>
  <c r="T204" i="6"/>
  <c r="T483" i="6"/>
  <c r="T673" i="6"/>
  <c r="T177" i="6"/>
  <c r="T38" i="6"/>
  <c r="T172" i="6"/>
  <c r="T112" i="6"/>
  <c r="T517" i="6"/>
  <c r="T154" i="6"/>
  <c r="T306" i="6"/>
  <c r="T294" i="6"/>
  <c r="T459" i="6"/>
  <c r="T700" i="6"/>
  <c r="T88" i="6"/>
  <c r="T493" i="6"/>
  <c r="T117" i="6"/>
  <c r="T146" i="6"/>
  <c r="T322" i="6"/>
  <c r="T230" i="6"/>
  <c r="T478" i="6"/>
  <c r="T260" i="6"/>
  <c r="T18" i="6"/>
  <c r="T290" i="6"/>
  <c r="T231" i="6"/>
  <c r="T239" i="6"/>
  <c r="T652" i="6"/>
  <c r="T543" i="6"/>
  <c r="T539" i="6"/>
  <c r="T343" i="6"/>
  <c r="T136" i="6"/>
  <c r="T675" i="6"/>
  <c r="T131" i="6"/>
  <c r="T480" i="6"/>
  <c r="T482" i="6"/>
  <c r="T77" i="6"/>
  <c r="T395" i="6"/>
  <c r="T534" i="6"/>
  <c r="T494" i="6"/>
  <c r="T13" i="6"/>
  <c r="T550" i="6"/>
  <c r="T198" i="6"/>
  <c r="T180" i="6"/>
  <c r="T667" i="6"/>
  <c r="T659" i="6"/>
  <c r="T277" i="6"/>
  <c r="T524" i="6"/>
  <c r="T58" i="6"/>
  <c r="T590" i="6"/>
  <c r="T726" i="6"/>
  <c r="T443" i="6"/>
  <c r="T670" i="6"/>
  <c r="T124" i="6"/>
  <c r="T280" i="6"/>
  <c r="T492" i="6"/>
  <c r="T721" i="6"/>
  <c r="T72" i="6"/>
  <c r="T614" i="6"/>
  <c r="T373" i="6"/>
  <c r="T650" i="6"/>
  <c r="T514" i="6"/>
  <c r="T462" i="6"/>
  <c r="T567" i="6"/>
  <c r="T617" i="6"/>
  <c r="T200" i="6"/>
  <c r="T525" i="6"/>
  <c r="T23" i="6"/>
  <c r="T413" i="6"/>
  <c r="T377" i="6"/>
  <c r="T337" i="6"/>
  <c r="T657" i="6"/>
  <c r="T170" i="6"/>
  <c r="T42" i="6"/>
  <c r="T279" i="6"/>
  <c r="T520" i="6"/>
  <c r="T269" i="6"/>
  <c r="T313" i="6"/>
  <c r="T576" i="6"/>
  <c r="T109" i="6"/>
  <c r="T704" i="6"/>
  <c r="T625" i="6"/>
  <c r="T298" i="6"/>
  <c r="T379" i="6"/>
  <c r="T258" i="6"/>
  <c r="T262" i="6"/>
  <c r="T39" i="6"/>
  <c r="T59" i="6"/>
  <c r="T460" i="6"/>
  <c r="T375" i="6"/>
  <c r="T383" i="6"/>
  <c r="T702" i="6"/>
  <c r="T394" i="6"/>
  <c r="T531" i="6"/>
  <c r="T671" i="6"/>
  <c r="T331" i="6"/>
  <c r="T340" i="6"/>
  <c r="T364" i="6"/>
  <c r="T709" i="6"/>
  <c r="T210" i="6"/>
  <c r="T727" i="6"/>
  <c r="T326" i="6"/>
  <c r="T406" i="6"/>
  <c r="T62" i="6"/>
  <c r="T695" i="6"/>
  <c r="T572" i="6"/>
  <c r="T476" i="6"/>
  <c r="T515" i="6"/>
  <c r="T132" i="6"/>
  <c r="T380" i="6"/>
  <c r="T16" i="6"/>
  <c r="T44" i="6"/>
  <c r="T582" i="6"/>
  <c r="T263" i="6"/>
  <c r="T526" i="6"/>
  <c r="T15" i="6"/>
  <c r="T247" i="6"/>
  <c r="T566" i="6"/>
  <c r="T408" i="6"/>
  <c r="T125" i="6"/>
  <c r="T458" i="6"/>
  <c r="T489" i="6"/>
  <c r="T127" i="6"/>
  <c r="T224" i="6"/>
  <c r="T680" i="6"/>
  <c r="T307" i="6"/>
  <c r="T645" i="6"/>
  <c r="T627" i="6"/>
  <c r="T315" i="6"/>
  <c r="T361" i="6"/>
  <c r="T135" i="6"/>
  <c r="T349" i="6"/>
  <c r="T739" i="6"/>
  <c r="T175" i="6"/>
  <c r="T638" i="6"/>
  <c r="T165" i="6"/>
  <c r="T193" i="6"/>
  <c r="T513" i="6"/>
  <c r="T26" i="6"/>
  <c r="T712" i="6"/>
  <c r="T389" i="6"/>
  <c r="T63" i="6"/>
  <c r="T735" i="6"/>
  <c r="T169" i="6"/>
  <c r="T628" i="6"/>
  <c r="T80" i="6"/>
  <c r="T365" i="6"/>
  <c r="T481" i="6"/>
  <c r="T118" i="6"/>
  <c r="T235" i="6"/>
  <c r="T85" i="6"/>
  <c r="T692" i="6"/>
  <c r="T221" i="6"/>
  <c r="T36" i="6"/>
  <c r="T423" i="6"/>
  <c r="T207" i="6"/>
  <c r="T215" i="6"/>
  <c r="T558" i="6"/>
  <c r="T128" i="6"/>
  <c r="T363" i="6"/>
  <c r="T527" i="6"/>
  <c r="T690" i="6"/>
  <c r="T506" i="6"/>
  <c r="T160" i="6"/>
  <c r="T565" i="6"/>
  <c r="T74" i="6"/>
  <c r="T559" i="6"/>
  <c r="T143" i="6"/>
  <c r="T684" i="6"/>
  <c r="T199" i="6"/>
  <c r="T551" i="6"/>
  <c r="T428" i="6"/>
  <c r="T655" i="6"/>
  <c r="T246" i="6"/>
  <c r="T347" i="6"/>
  <c r="T295" i="6"/>
  <c r="T570" i="6"/>
  <c r="T438" i="6"/>
  <c r="T699" i="6"/>
  <c r="T386" i="6"/>
  <c r="T369" i="6"/>
  <c r="T67" i="6"/>
  <c r="T11" i="6"/>
  <c r="T499" i="6"/>
  <c r="T454" i="6"/>
  <c r="T332" i="6"/>
  <c r="T106" i="6"/>
  <c r="T498" i="6"/>
  <c r="T599" i="6"/>
  <c r="T243" i="6"/>
  <c r="T65" i="6"/>
  <c r="T114" i="6"/>
  <c r="T648" i="6"/>
  <c r="T601" i="6"/>
  <c r="T470" i="6"/>
  <c r="T304" i="6"/>
  <c r="T66" i="6"/>
  <c r="T615" i="6"/>
  <c r="T104" i="6"/>
  <c r="T544" i="6"/>
  <c r="T254" i="6"/>
  <c r="T197" i="6"/>
  <c r="T591" i="6"/>
  <c r="T731" i="6"/>
  <c r="T596" i="6"/>
  <c r="T139" i="6"/>
  <c r="T82" i="6"/>
  <c r="T301" i="6"/>
  <c r="T156" i="6"/>
  <c r="T738" i="6"/>
  <c r="T276" i="6"/>
  <c r="T619" i="6"/>
  <c r="T398" i="6"/>
  <c r="T94" i="6"/>
  <c r="T542" i="6"/>
  <c r="T713" i="6"/>
  <c r="T35" i="6"/>
  <c r="T402" i="6"/>
  <c r="T387" i="6"/>
  <c r="T195" i="6"/>
  <c r="T203" i="6"/>
  <c r="T546" i="6"/>
  <c r="T201" i="6"/>
  <c r="T569" i="6"/>
  <c r="T409" i="6"/>
  <c r="T37" i="6"/>
  <c r="T689" i="6"/>
  <c r="T697" i="6"/>
  <c r="T693" i="6"/>
  <c r="T55" i="6"/>
  <c r="T407" i="6"/>
  <c r="T248" i="6"/>
  <c r="T646" i="6"/>
  <c r="T640" i="6"/>
  <c r="T191" i="6"/>
  <c r="T618" i="6"/>
  <c r="T344" i="6"/>
  <c r="T122" i="6"/>
  <c r="T552" i="6"/>
  <c r="T271" i="6"/>
  <c r="T52" i="6"/>
  <c r="T225" i="6"/>
  <c r="T302" i="6"/>
  <c r="T509" i="6"/>
  <c r="T335" i="6"/>
  <c r="T429" i="6"/>
  <c r="T653" i="6"/>
  <c r="T529" i="6"/>
  <c r="T497" i="6"/>
  <c r="T446" i="6"/>
  <c r="T535" i="6"/>
  <c r="T623" i="6"/>
  <c r="T557" i="6"/>
  <c r="T84" i="6"/>
  <c r="T471" i="6"/>
  <c r="T611" i="6"/>
  <c r="T703" i="6"/>
  <c r="T163" i="6"/>
  <c r="T318" i="6"/>
  <c r="T649" i="6"/>
  <c r="T410" i="6"/>
  <c r="T447" i="6"/>
  <c r="T83" i="6"/>
  <c r="T452" i="6"/>
  <c r="T174" i="6"/>
  <c r="T256" i="6"/>
  <c r="T157" i="6"/>
  <c r="T621" i="6"/>
  <c r="T594" i="6"/>
  <c r="T226" i="6"/>
  <c r="T475" i="6"/>
  <c r="T218" i="6"/>
  <c r="T93" i="6"/>
  <c r="T228" i="6"/>
  <c r="T362" i="6"/>
  <c r="T250" i="6"/>
  <c r="T234" i="6"/>
  <c r="T698" i="6"/>
  <c r="T665" i="6"/>
  <c r="T696" i="6"/>
  <c r="T390" i="6"/>
  <c r="T456" i="6"/>
  <c r="T716" i="6"/>
  <c r="T241" i="6"/>
  <c r="T102" i="6"/>
  <c r="T41" i="6"/>
  <c r="T553" i="6"/>
  <c r="T549" i="6"/>
  <c r="T90" i="6"/>
  <c r="T227" i="6"/>
  <c r="T342" i="6"/>
  <c r="T334" i="6"/>
  <c r="T510" i="6"/>
  <c r="T496" i="6"/>
  <c r="T681" i="6"/>
  <c r="T474" i="6"/>
  <c r="T278" i="6"/>
  <c r="T176" i="6"/>
  <c r="T718" i="6"/>
  <c r="T399" i="6"/>
  <c r="T523" i="6"/>
  <c r="T688" i="6"/>
  <c r="T445" i="6"/>
  <c r="T503" i="6"/>
  <c r="T267" i="6"/>
  <c r="T303" i="6"/>
  <c r="T341" i="6"/>
  <c r="T273" i="6"/>
  <c r="T571" i="6"/>
  <c r="T14" i="6"/>
  <c r="T381" i="6"/>
  <c r="T384" i="6"/>
  <c r="T691" i="6"/>
  <c r="T632" i="6"/>
  <c r="T45" i="6"/>
  <c r="T7" i="6"/>
  <c r="T488" i="6"/>
  <c r="T581" i="6"/>
  <c r="T9" i="6"/>
  <c r="T479" i="6"/>
  <c r="T320" i="6"/>
  <c r="T325" i="6"/>
  <c r="T264" i="6"/>
  <c r="T291" i="6"/>
  <c r="T467" i="6"/>
  <c r="T308" i="6"/>
  <c r="T19" i="6"/>
  <c r="T434" i="6"/>
  <c r="T181" i="6"/>
  <c r="T358" i="6"/>
  <c r="T255" i="6"/>
  <c r="T634" i="6"/>
  <c r="T272" i="6"/>
  <c r="T30" i="6"/>
  <c r="T76" i="6"/>
  <c r="T719" i="6"/>
  <c r="T477" i="6"/>
  <c r="T450" i="6"/>
  <c r="T232" i="6"/>
  <c r="T317" i="6"/>
  <c r="T401" i="6"/>
  <c r="T532" i="6"/>
  <c r="T214" i="6"/>
  <c r="T194" i="6"/>
  <c r="T46" i="6"/>
  <c r="T98" i="6"/>
  <c r="T530" i="6"/>
  <c r="T53" i="6"/>
  <c r="T238" i="6"/>
  <c r="T222" i="6"/>
  <c r="T354" i="6"/>
  <c r="T663" i="6"/>
  <c r="T662" i="6"/>
  <c r="T148" i="6"/>
  <c r="T385" i="6"/>
  <c r="T405" i="6"/>
  <c r="T123" i="6"/>
  <c r="T47" i="6"/>
  <c r="T142" i="6"/>
  <c r="T352" i="6"/>
  <c r="T607" i="6"/>
  <c r="T167" i="6"/>
  <c r="T537" i="6"/>
  <c r="T293" i="6"/>
  <c r="T635" i="6"/>
  <c r="T708" i="6"/>
  <c r="T108" i="6"/>
  <c r="T734" i="6"/>
  <c r="T574" i="6"/>
  <c r="T159" i="6"/>
  <c r="T300" i="6"/>
  <c r="T579" i="6"/>
  <c r="T548" i="6"/>
  <c r="T366" i="6"/>
  <c r="T674" i="6"/>
  <c r="T630" i="6"/>
  <c r="T584" i="6"/>
  <c r="T592" i="6"/>
  <c r="T316" i="6"/>
  <c r="T427" i="6"/>
  <c r="T330" i="6"/>
  <c r="T116" i="6"/>
  <c r="T205" i="6"/>
  <c r="T141" i="6"/>
  <c r="T736" i="6"/>
  <c r="T554" i="6"/>
  <c r="T8" i="6"/>
  <c r="T119" i="6"/>
  <c r="T164" i="6"/>
  <c r="T216" i="6"/>
  <c r="T48" i="6"/>
  <c r="T99" i="6"/>
  <c r="T287" i="6"/>
  <c r="T152" i="6"/>
  <c r="T54" i="6"/>
  <c r="T382" i="6"/>
  <c r="T455" i="6"/>
  <c r="T728" i="6"/>
  <c r="T75" i="6"/>
  <c r="T490" i="6"/>
  <c r="T21" i="6"/>
  <c r="T56" i="6"/>
  <c r="T209" i="6"/>
  <c r="T575" i="6"/>
  <c r="T297" i="6"/>
  <c r="T270" i="6"/>
  <c r="T737" i="6"/>
  <c r="T424" i="6"/>
  <c r="T613" i="6"/>
  <c r="T367" i="6"/>
  <c r="T189" i="6"/>
  <c r="T733" i="6"/>
  <c r="T69" i="6"/>
  <c r="T61" i="6"/>
  <c r="T426" i="6"/>
  <c r="T350" i="6"/>
  <c r="T34" i="6"/>
  <c r="T86" i="6"/>
  <c r="T616" i="6"/>
  <c r="T519" i="6"/>
  <c r="T202" i="6"/>
  <c r="T397" i="6"/>
  <c r="T521" i="6"/>
  <c r="T229" i="6"/>
  <c r="T213" i="6"/>
  <c r="T233" i="6"/>
  <c r="T345" i="6"/>
  <c r="T705" i="6"/>
  <c r="T305" i="6"/>
  <c r="T639" i="6"/>
  <c r="T31" i="6"/>
  <c r="T393" i="6"/>
  <c r="T664" i="6"/>
  <c r="T466" i="6"/>
  <c r="T158" i="6"/>
  <c r="T491" i="6"/>
  <c r="T173" i="6"/>
  <c r="T593" i="6"/>
  <c r="T430" i="6"/>
  <c r="T149" i="6"/>
  <c r="T685" i="6"/>
  <c r="T465" i="6"/>
  <c r="T752" i="6" l="1" a="1"/>
  <c r="T752" i="6" s="1"/>
  <c r="T750" i="6" a="1"/>
  <c r="T750" i="6" s="1"/>
  <c r="T751" i="6" s="1"/>
  <c r="T749" i="6" a="1"/>
  <c r="T749" i="6" s="1"/>
  <c r="N3" i="6" l="1"/>
  <c r="N4" i="6"/>
  <c r="N2" i="6"/>
  <c r="I3" i="6"/>
  <c r="I2" i="6"/>
  <c r="I402" i="6" l="1"/>
  <c r="I362" i="6"/>
  <c r="I212" i="6" l="1"/>
  <c r="I213" i="6"/>
  <c r="I591" i="6"/>
  <c r="I277" i="6"/>
  <c r="I553" i="6"/>
  <c r="I727" i="6"/>
  <c r="I547" i="6"/>
  <c r="I283" i="6"/>
  <c r="I14" i="6"/>
  <c r="I342" i="6"/>
  <c r="N523" i="6"/>
  <c r="N524" i="6"/>
  <c r="I259" i="6"/>
  <c r="I153" i="6"/>
  <c r="I397" i="6"/>
  <c r="I271" i="6"/>
  <c r="I343" i="6"/>
  <c r="I216" i="6"/>
  <c r="I613" i="6"/>
  <c r="I284" i="6"/>
  <c r="I536" i="6"/>
  <c r="I694" i="6"/>
  <c r="N544" i="6"/>
  <c r="I548" i="6"/>
  <c r="I86" i="6"/>
  <c r="I478" i="6"/>
  <c r="I581" i="6"/>
  <c r="I704" i="6"/>
  <c r="I451" i="6"/>
  <c r="I676" i="6"/>
  <c r="I49" i="6"/>
  <c r="I152" i="6"/>
  <c r="I489" i="6"/>
  <c r="I511" i="6"/>
  <c r="I344" i="6"/>
  <c r="I477" i="6"/>
  <c r="I150" i="6"/>
  <c r="I439" i="6"/>
  <c r="I300" i="6"/>
  <c r="I537" i="6"/>
  <c r="I299" i="6"/>
  <c r="N580" i="6"/>
  <c r="I13" i="6"/>
  <c r="I207" i="6"/>
  <c r="I64" i="6"/>
  <c r="I125" i="6"/>
  <c r="N335" i="6"/>
  <c r="I151" i="6"/>
  <c r="I345" i="6"/>
  <c r="I363" i="6"/>
  <c r="N113" i="6"/>
  <c r="I448" i="6"/>
  <c r="I310" i="6"/>
  <c r="I122" i="6"/>
  <c r="N562" i="6"/>
  <c r="I437" i="6"/>
  <c r="I172" i="6"/>
  <c r="I90" i="6"/>
  <c r="I149" i="6"/>
  <c r="I404" i="6"/>
  <c r="I725" i="6"/>
  <c r="I374" i="6"/>
  <c r="I614" i="6"/>
  <c r="N442" i="6"/>
  <c r="I438" i="6"/>
  <c r="I307" i="6"/>
  <c r="N525" i="6"/>
  <c r="I549" i="6"/>
  <c r="I205" i="6"/>
  <c r="I530" i="6"/>
  <c r="N37" i="6"/>
  <c r="I20" i="6"/>
  <c r="I403" i="6"/>
  <c r="I127" i="6"/>
  <c r="I476" i="6"/>
  <c r="I365" i="6"/>
  <c r="I629" i="6"/>
  <c r="I319" i="6"/>
  <c r="N159" i="6"/>
  <c r="I675" i="6"/>
  <c r="I379" i="6"/>
  <c r="I201" i="6"/>
  <c r="I485" i="6"/>
  <c r="I486" i="6"/>
  <c r="N380" i="6"/>
  <c r="I9" i="6"/>
  <c r="I287" i="6"/>
  <c r="I621" i="6"/>
  <c r="I44" i="6"/>
  <c r="I236" i="6"/>
  <c r="I586" i="6"/>
  <c r="I295" i="6"/>
  <c r="I697" i="6"/>
  <c r="I386" i="6"/>
  <c r="N189" i="6"/>
  <c r="I693" i="6"/>
  <c r="N196" i="6"/>
  <c r="I272" i="6"/>
  <c r="I618" i="6"/>
  <c r="I355" i="6"/>
  <c r="N142" i="6"/>
  <c r="I740" i="6"/>
  <c r="N730" i="6"/>
  <c r="N229" i="6"/>
  <c r="I195" i="6"/>
  <c r="I466" i="6"/>
  <c r="I293" i="6"/>
  <c r="I233" i="6"/>
  <c r="N345" i="6"/>
  <c r="I66" i="6"/>
  <c r="I24" i="6"/>
  <c r="I546" i="6"/>
  <c r="I126" i="6"/>
  <c r="I18" i="6"/>
  <c r="I332" i="6"/>
  <c r="N650" i="6"/>
  <c r="I461" i="6"/>
  <c r="I331" i="6"/>
  <c r="I628" i="6"/>
  <c r="N684" i="6"/>
  <c r="N632" i="6"/>
  <c r="I510" i="6"/>
  <c r="I138" i="6"/>
  <c r="I410" i="6"/>
  <c r="I700" i="6"/>
  <c r="I117" i="6"/>
  <c r="I330" i="6"/>
  <c r="I423" i="6"/>
  <c r="N150" i="6"/>
  <c r="I306" i="6"/>
  <c r="N420" i="6"/>
  <c r="I163" i="6"/>
  <c r="I583" i="6"/>
  <c r="N599" i="6"/>
  <c r="I121" i="6"/>
  <c r="I685" i="6"/>
  <c r="I575" i="6"/>
  <c r="I261" i="6"/>
  <c r="N543" i="6"/>
  <c r="N555" i="6"/>
  <c r="N351" i="6"/>
  <c r="I658" i="6"/>
  <c r="I389" i="6"/>
  <c r="I739" i="6"/>
  <c r="N479" i="6"/>
  <c r="N418" i="6"/>
  <c r="I427" i="6"/>
  <c r="I356" i="6"/>
  <c r="I483" i="6"/>
  <c r="I48" i="6"/>
  <c r="I594" i="6"/>
  <c r="I358" i="6"/>
  <c r="I254" i="6"/>
  <c r="I305" i="6"/>
  <c r="I523" i="6"/>
  <c r="N643" i="6"/>
  <c r="N137" i="6"/>
  <c r="N158" i="6"/>
  <c r="N425" i="6"/>
  <c r="N363" i="6"/>
  <c r="N611" i="6"/>
  <c r="I713" i="6"/>
  <c r="I180" i="6"/>
  <c r="I186" i="6"/>
  <c r="I40" i="6"/>
  <c r="I341" i="6"/>
  <c r="I189" i="6"/>
  <c r="N634" i="6"/>
  <c r="I603" i="6"/>
  <c r="I137" i="6"/>
  <c r="I12" i="6"/>
  <c r="N130" i="6"/>
  <c r="N38" i="6"/>
  <c r="N502" i="6"/>
  <c r="N500" i="6"/>
  <c r="I11" i="6"/>
  <c r="I338" i="6"/>
  <c r="I185" i="6"/>
  <c r="I312" i="6"/>
  <c r="I294" i="6"/>
  <c r="N43" i="6"/>
  <c r="I119" i="6"/>
  <c r="N645" i="6"/>
  <c r="I45" i="6"/>
  <c r="I136" i="6"/>
  <c r="I534" i="6"/>
  <c r="N68" i="6"/>
  <c r="N339" i="6"/>
  <c r="N212" i="6"/>
  <c r="N582" i="6"/>
  <c r="N170" i="6"/>
  <c r="I235" i="6"/>
  <c r="N581" i="6"/>
  <c r="I655" i="6"/>
  <c r="N51" i="6"/>
  <c r="I436" i="6"/>
  <c r="N104" i="6"/>
  <c r="I584" i="6"/>
  <c r="N322" i="6"/>
  <c r="I681" i="6"/>
  <c r="I57" i="6"/>
  <c r="I627" i="6"/>
  <c r="I109" i="6"/>
  <c r="I435" i="6"/>
  <c r="I491" i="6"/>
  <c r="N22" i="6"/>
  <c r="I426" i="6"/>
  <c r="N161" i="6"/>
  <c r="N412" i="6"/>
  <c r="I17" i="6"/>
  <c r="I266" i="6"/>
  <c r="I430" i="6"/>
  <c r="I161" i="6"/>
  <c r="I135" i="6"/>
  <c r="I519" i="6"/>
  <c r="I120" i="6"/>
  <c r="N326" i="6"/>
  <c r="N109" i="6"/>
  <c r="N307" i="6"/>
  <c r="N165" i="6"/>
  <c r="I357" i="6"/>
  <c r="I275" i="6"/>
  <c r="I554" i="6"/>
  <c r="I526" i="6"/>
  <c r="N651" i="6"/>
  <c r="N528" i="6"/>
  <c r="I270" i="6"/>
  <c r="I631" i="6"/>
  <c r="N166" i="6"/>
  <c r="I173" i="6"/>
  <c r="I555" i="6"/>
  <c r="I8" i="6"/>
  <c r="I568" i="6"/>
  <c r="I649" i="6"/>
  <c r="I106" i="6"/>
  <c r="I174" i="6"/>
  <c r="N300" i="6"/>
  <c r="I65" i="6"/>
  <c r="N24" i="6"/>
  <c r="N273" i="6"/>
  <c r="I43" i="6"/>
  <c r="I576" i="6"/>
  <c r="N517" i="6"/>
  <c r="I474" i="6"/>
  <c r="I462" i="6"/>
  <c r="N644" i="6"/>
  <c r="N31" i="6"/>
  <c r="I500" i="6"/>
  <c r="N552" i="6"/>
  <c r="I71" i="6"/>
  <c r="I130" i="6"/>
  <c r="I177" i="6"/>
  <c r="I401" i="6"/>
  <c r="I82" i="6"/>
  <c r="N28" i="6"/>
  <c r="N747" i="6"/>
  <c r="I569" i="6"/>
  <c r="N99" i="6"/>
  <c r="I565" i="6"/>
  <c r="N532" i="6"/>
  <c r="N574" i="6"/>
  <c r="I102" i="6"/>
  <c r="N241" i="6"/>
  <c r="N181" i="6"/>
  <c r="I604" i="6"/>
  <c r="N281" i="6"/>
  <c r="N123" i="6"/>
  <c r="I587" i="6"/>
  <c r="N75" i="6"/>
  <c r="N551" i="6"/>
  <c r="I281" i="6"/>
  <c r="I512" i="6"/>
  <c r="N490" i="6"/>
  <c r="N122" i="6"/>
  <c r="I560" i="6"/>
  <c r="I529" i="6"/>
  <c r="N14" i="6"/>
  <c r="I376" i="6"/>
  <c r="N661" i="6"/>
  <c r="N114" i="6"/>
  <c r="N23" i="6"/>
  <c r="I415" i="6"/>
  <c r="I467" i="6"/>
  <c r="I393" i="6"/>
  <c r="N699" i="6"/>
  <c r="I499" i="6"/>
  <c r="I320" i="6"/>
  <c r="N587" i="6"/>
  <c r="N82" i="6"/>
  <c r="I646" i="6"/>
  <c r="N598" i="6"/>
  <c r="I37" i="6"/>
  <c r="I46" i="6"/>
  <c r="I544" i="6"/>
  <c r="I288" i="6"/>
  <c r="N217" i="6"/>
  <c r="N39" i="6"/>
  <c r="N624" i="6"/>
  <c r="I29" i="6"/>
  <c r="I542" i="6"/>
  <c r="I131" i="6"/>
  <c r="I650" i="6"/>
  <c r="N308" i="6"/>
  <c r="N84" i="6"/>
  <c r="N509" i="6"/>
  <c r="N376" i="6"/>
  <c r="N268" i="6"/>
  <c r="N496" i="6"/>
  <c r="I224" i="6"/>
  <c r="I53" i="6"/>
  <c r="N171" i="6"/>
  <c r="I100" i="6"/>
  <c r="I513" i="6"/>
  <c r="I94" i="6"/>
  <c r="N279" i="6"/>
  <c r="N399" i="6"/>
  <c r="N722" i="6"/>
  <c r="N467" i="6"/>
  <c r="I58" i="6"/>
  <c r="I692" i="6"/>
  <c r="N154" i="6"/>
  <c r="N272" i="6"/>
  <c r="N246" i="6"/>
  <c r="N631" i="6"/>
  <c r="N481" i="6"/>
  <c r="N85" i="6"/>
  <c r="N160" i="6"/>
  <c r="I215" i="6"/>
  <c r="I197" i="6"/>
  <c r="I385" i="6"/>
  <c r="I381" i="6"/>
  <c r="I143" i="6"/>
  <c r="N404" i="6"/>
  <c r="N34" i="6"/>
  <c r="I210" i="6"/>
  <c r="I77" i="6"/>
  <c r="N360" i="6"/>
  <c r="N495" i="6"/>
  <c r="N98" i="6"/>
  <c r="I390" i="6"/>
  <c r="N301" i="6"/>
  <c r="I27" i="6"/>
  <c r="I113" i="6"/>
  <c r="N373" i="6"/>
  <c r="N746" i="6"/>
  <c r="I607" i="6"/>
  <c r="I98" i="6"/>
  <c r="I241" i="6"/>
  <c r="I745" i="6"/>
  <c r="N640" i="6"/>
  <c r="N413" i="6"/>
  <c r="N193" i="6"/>
  <c r="N226" i="6"/>
  <c r="I637" i="6"/>
  <c r="I651" i="6"/>
  <c r="N621" i="6"/>
  <c r="I28" i="6"/>
  <c r="N201" i="6"/>
  <c r="I76" i="6"/>
  <c r="N565" i="6"/>
  <c r="I721" i="6"/>
  <c r="N411" i="6"/>
  <c r="N221" i="6"/>
  <c r="I89" i="6"/>
  <c r="I372" i="6"/>
  <c r="I182" i="6"/>
  <c r="I95" i="6"/>
  <c r="I114" i="6"/>
  <c r="I652" i="6"/>
  <c r="N690" i="6"/>
  <c r="N208" i="6"/>
  <c r="N367" i="6"/>
  <c r="N47" i="6"/>
  <c r="N486" i="6"/>
  <c r="N626" i="6"/>
  <c r="I521" i="6"/>
  <c r="I493" i="6"/>
  <c r="N176" i="6"/>
  <c r="I412" i="6"/>
  <c r="N489" i="6"/>
  <c r="I428" i="6"/>
  <c r="I263" i="6"/>
  <c r="I472" i="6"/>
  <c r="I112" i="6"/>
  <c r="I641" i="6"/>
  <c r="I214" i="6"/>
  <c r="N737" i="6"/>
  <c r="N673" i="6"/>
  <c r="N67" i="6"/>
  <c r="N597" i="6"/>
  <c r="N257" i="6"/>
  <c r="N60" i="6"/>
  <c r="N508" i="6"/>
  <c r="I59" i="6"/>
  <c r="N676" i="6"/>
  <c r="I206" i="6"/>
  <c r="I351" i="6"/>
  <c r="I465" i="6"/>
  <c r="N443" i="6"/>
  <c r="N381" i="6"/>
  <c r="I669" i="6"/>
  <c r="I204" i="6"/>
  <c r="I23" i="6"/>
  <c r="I585" i="6"/>
  <c r="N224" i="6"/>
  <c r="N675" i="6"/>
  <c r="N586" i="6"/>
  <c r="N179" i="6"/>
  <c r="N606" i="6"/>
  <c r="N573" i="6"/>
  <c r="N365" i="6"/>
  <c r="I573" i="6"/>
  <c r="N558" i="6"/>
  <c r="N400" i="6"/>
  <c r="I369" i="6"/>
  <c r="N121" i="6"/>
  <c r="I148" i="6"/>
  <c r="I744" i="6"/>
  <c r="I432" i="6"/>
  <c r="N725" i="6"/>
  <c r="N429" i="6"/>
  <c r="N550" i="6"/>
  <c r="I640" i="6"/>
  <c r="N357" i="6"/>
  <c r="N90" i="6"/>
  <c r="N87" i="6"/>
  <c r="N609" i="6"/>
  <c r="I118" i="6"/>
  <c r="N372" i="6"/>
  <c r="N169" i="6"/>
  <c r="I318" i="6"/>
  <c r="I664" i="6"/>
  <c r="N530" i="6"/>
  <c r="N695" i="6"/>
  <c r="I164" i="6"/>
  <c r="I734" i="6"/>
  <c r="I368" i="6"/>
  <c r="I367" i="6"/>
  <c r="I632" i="6"/>
  <c r="I688" i="6"/>
  <c r="I16" i="6"/>
  <c r="I636" i="6"/>
  <c r="N397" i="6"/>
  <c r="N118" i="6"/>
  <c r="I78" i="6"/>
  <c r="N630" i="6"/>
  <c r="N245" i="6"/>
  <c r="N262" i="6"/>
  <c r="N482" i="6"/>
  <c r="N254" i="6"/>
  <c r="N33" i="6"/>
  <c r="N240" i="6"/>
  <c r="N477" i="6"/>
  <c r="N465" i="6"/>
  <c r="N432" i="6"/>
  <c r="N682" i="6"/>
  <c r="N120" i="6"/>
  <c r="I716" i="6"/>
  <c r="I590" i="6"/>
  <c r="I52" i="6"/>
  <c r="I417" i="6"/>
  <c r="I561" i="6"/>
  <c r="I87" i="6"/>
  <c r="I596" i="6"/>
  <c r="I495" i="6"/>
  <c r="N536" i="6"/>
  <c r="N220" i="6"/>
  <c r="N569" i="6"/>
  <c r="N56" i="6"/>
  <c r="I617" i="6"/>
  <c r="N64" i="6"/>
  <c r="N664" i="6"/>
  <c r="N115" i="6"/>
  <c r="N590" i="6"/>
  <c r="N534" i="6"/>
  <c r="N703" i="6"/>
  <c r="N393" i="6"/>
  <c r="I105" i="6"/>
  <c r="I446" i="6"/>
  <c r="I322" i="6"/>
  <c r="N503" i="6"/>
  <c r="I30" i="6"/>
  <c r="N622" i="6"/>
  <c r="I304" i="6"/>
  <c r="I170" i="6"/>
  <c r="I645" i="6"/>
  <c r="I464" i="6"/>
  <c r="I196" i="6"/>
  <c r="I223" i="6"/>
  <c r="N25" i="6"/>
  <c r="N276" i="6"/>
  <c r="N647" i="6"/>
  <c r="I329" i="6"/>
  <c r="N44" i="6"/>
  <c r="N576" i="6"/>
  <c r="N694" i="6"/>
  <c r="N409" i="6"/>
  <c r="N704" i="6"/>
  <c r="N390" i="6"/>
  <c r="I490" i="6"/>
  <c r="I248" i="6"/>
  <c r="N459" i="6"/>
  <c r="I211" i="6"/>
  <c r="N100" i="6"/>
  <c r="I242" i="6"/>
  <c r="I321" i="6"/>
  <c r="I516" i="6"/>
  <c r="I458" i="6"/>
  <c r="I179" i="6"/>
  <c r="N280" i="6"/>
  <c r="N96" i="6"/>
  <c r="N205" i="6"/>
  <c r="N356" i="6"/>
  <c r="N349" i="6"/>
  <c r="N62" i="6"/>
  <c r="N173" i="6"/>
  <c r="N313" i="6"/>
  <c r="I62" i="6"/>
  <c r="I302" i="6"/>
  <c r="N369" i="6"/>
  <c r="N648" i="6"/>
  <c r="I366" i="6"/>
  <c r="N475" i="6"/>
  <c r="N708" i="6"/>
  <c r="N101" i="6"/>
  <c r="I245" i="6"/>
  <c r="I7" i="6"/>
  <c r="I220" i="6"/>
  <c r="I657" i="6"/>
  <c r="I672" i="6"/>
  <c r="I463" i="6"/>
  <c r="I169" i="6"/>
  <c r="I635" i="6"/>
  <c r="I663" i="6"/>
  <c r="I622" i="6"/>
  <c r="N692" i="6"/>
  <c r="N683" i="6"/>
  <c r="N460" i="6"/>
  <c r="N331" i="6"/>
  <c r="N184" i="6"/>
  <c r="N531" i="6"/>
  <c r="N438" i="6"/>
  <c r="N744" i="6"/>
  <c r="N233" i="6"/>
  <c r="I411" i="6"/>
  <c r="N151" i="6"/>
  <c r="N488" i="6"/>
  <c r="N250" i="6"/>
  <c r="N134" i="6"/>
  <c r="N613" i="6"/>
  <c r="N145" i="6"/>
  <c r="N370" i="6"/>
  <c r="I350" i="6"/>
  <c r="N605" i="6"/>
  <c r="N709" i="6"/>
  <c r="N119" i="6"/>
  <c r="I19" i="6"/>
  <c r="N457" i="6"/>
  <c r="I147" i="6"/>
  <c r="I253" i="6"/>
  <c r="I475" i="6"/>
  <c r="I35" i="6"/>
  <c r="I317" i="6"/>
  <c r="I695" i="6"/>
  <c r="N711" i="6"/>
  <c r="N548" i="6"/>
  <c r="N566" i="6"/>
  <c r="N455" i="6"/>
  <c r="N663" i="6"/>
  <c r="N264" i="6"/>
  <c r="N554" i="6"/>
  <c r="N252" i="6"/>
  <c r="N94" i="6"/>
  <c r="N646" i="6"/>
  <c r="N414" i="6"/>
  <c r="N199" i="6"/>
  <c r="I444" i="6"/>
  <c r="N501" i="6"/>
  <c r="N325" i="6"/>
  <c r="N564" i="6"/>
  <c r="I473" i="6"/>
  <c r="N654" i="6"/>
  <c r="N49" i="6"/>
  <c r="I639" i="6"/>
  <c r="I579" i="6"/>
  <c r="N487" i="6"/>
  <c r="N687" i="6"/>
  <c r="N668" i="6"/>
  <c r="N111" i="6"/>
  <c r="N519" i="6"/>
  <c r="N209" i="6"/>
  <c r="N625" i="6"/>
  <c r="N327" i="6"/>
  <c r="I282" i="6"/>
  <c r="N583" i="6"/>
  <c r="N290" i="6"/>
  <c r="I88" i="6"/>
  <c r="N514" i="6"/>
  <c r="N20" i="6"/>
  <c r="N450" i="6"/>
  <c r="N81" i="6"/>
  <c r="I246" i="6"/>
  <c r="N714" i="6"/>
  <c r="I599" i="6"/>
  <c r="I572" i="6"/>
  <c r="I720" i="6"/>
  <c r="I441" i="6"/>
  <c r="N236" i="6"/>
  <c r="N466" i="6"/>
  <c r="N371" i="6"/>
  <c r="N148" i="6"/>
  <c r="I414" i="6"/>
  <c r="N639" i="6"/>
  <c r="N146" i="6"/>
  <c r="N74" i="6"/>
  <c r="N427" i="6"/>
  <c r="N295" i="6"/>
  <c r="I326" i="6"/>
  <c r="N729" i="6"/>
  <c r="N451" i="6"/>
  <c r="N498" i="6"/>
  <c r="N18" i="6"/>
  <c r="I392" i="6"/>
  <c r="I731" i="6"/>
  <c r="I280" i="6"/>
  <c r="I297" i="6"/>
  <c r="I144" i="6"/>
  <c r="I375" i="6"/>
  <c r="N604" i="6"/>
  <c r="I498" i="6"/>
  <c r="N188" i="6"/>
  <c r="N527" i="6"/>
  <c r="N135" i="6"/>
  <c r="N194" i="6"/>
  <c r="N296" i="6"/>
  <c r="N195" i="6"/>
  <c r="N733" i="6"/>
  <c r="N337" i="6"/>
  <c r="N721" i="6"/>
  <c r="N672" i="6"/>
  <c r="N461" i="6"/>
  <c r="N452" i="6"/>
  <c r="N537" i="6"/>
  <c r="I257" i="6"/>
  <c r="N594" i="6"/>
  <c r="N567" i="6"/>
  <c r="N288" i="6"/>
  <c r="N316" i="6"/>
  <c r="I225" i="6"/>
  <c r="I247" i="6"/>
  <c r="N216" i="6"/>
  <c r="N321" i="6"/>
  <c r="N232" i="6"/>
  <c r="I686" i="6"/>
  <c r="I384" i="6"/>
  <c r="I482" i="6"/>
  <c r="I308" i="6"/>
  <c r="N293" i="6"/>
  <c r="N541" i="6"/>
  <c r="N388" i="6"/>
  <c r="N269" i="6"/>
  <c r="N385" i="6"/>
  <c r="N310" i="6"/>
  <c r="N520" i="6"/>
  <c r="N713" i="6"/>
  <c r="N642" i="6"/>
  <c r="N361" i="6"/>
  <c r="N274" i="6"/>
  <c r="I222" i="6"/>
  <c r="N343" i="6"/>
  <c r="N717" i="6"/>
  <c r="N401" i="6"/>
  <c r="N493" i="6"/>
  <c r="N389" i="6"/>
  <c r="N406" i="6"/>
  <c r="N710" i="6"/>
  <c r="N601" i="6"/>
  <c r="N382" i="6"/>
  <c r="N436" i="6"/>
  <c r="N284" i="6"/>
  <c r="N434" i="6"/>
  <c r="N275" i="6"/>
  <c r="N732" i="6"/>
  <c r="N408" i="6"/>
  <c r="N83" i="6"/>
  <c r="N46" i="6"/>
  <c r="N513" i="6"/>
  <c r="N702" i="6"/>
  <c r="N540" i="6"/>
  <c r="N294" i="6"/>
  <c r="N253" i="6"/>
  <c r="N309" i="6"/>
  <c r="N318" i="6"/>
  <c r="N681" i="6"/>
  <c r="N80" i="6"/>
  <c r="N667" i="6"/>
  <c r="I545" i="6"/>
  <c r="N474" i="6"/>
  <c r="N396" i="6"/>
  <c r="N95" i="6"/>
  <c r="N16" i="6"/>
  <c r="N655" i="6"/>
  <c r="N619" i="6"/>
  <c r="N106" i="6"/>
  <c r="N175" i="6"/>
  <c r="N174" i="6"/>
  <c r="N615" i="6"/>
  <c r="N485" i="6"/>
  <c r="N483" i="6"/>
  <c r="N492" i="6"/>
  <c r="N198" i="6"/>
  <c r="I728" i="6"/>
  <c r="I85" i="6"/>
  <c r="I556" i="6"/>
  <c r="I256" i="6"/>
  <c r="I531" i="6"/>
  <c r="I494" i="6"/>
  <c r="I447" i="6"/>
  <c r="N79" i="6"/>
  <c r="N638" i="6"/>
  <c r="N680" i="6"/>
  <c r="N231" i="6"/>
  <c r="N671" i="6"/>
  <c r="N29" i="6"/>
  <c r="N306" i="6"/>
  <c r="N453" i="6"/>
  <c r="N375" i="6"/>
  <c r="N48" i="6"/>
  <c r="N228" i="6"/>
  <c r="N19" i="6"/>
  <c r="N244" i="6"/>
  <c r="N471" i="6"/>
  <c r="N180" i="6"/>
  <c r="N54" i="6"/>
  <c r="N724" i="6"/>
  <c r="N341" i="6"/>
  <c r="N577" i="6"/>
  <c r="N358" i="6"/>
  <c r="I101" i="6"/>
  <c r="N298" i="6"/>
  <c r="N478" i="6"/>
  <c r="N53" i="6"/>
  <c r="N559" i="6"/>
  <c r="N153" i="6"/>
  <c r="N614" i="6"/>
  <c r="N379" i="6"/>
  <c r="N40" i="6"/>
  <c r="N662" i="6"/>
  <c r="N585" i="6"/>
  <c r="N394" i="6"/>
  <c r="N342" i="6"/>
  <c r="N117" i="6"/>
  <c r="N323" i="6"/>
  <c r="N403" i="6"/>
  <c r="N705" i="6"/>
  <c r="N110" i="6"/>
  <c r="N203" i="6"/>
  <c r="N476" i="6"/>
  <c r="N315" i="6"/>
  <c r="N596" i="6"/>
  <c r="N723" i="6"/>
  <c r="N177" i="6"/>
  <c r="I424" i="6"/>
  <c r="N324" i="6"/>
  <c r="I746" i="6"/>
  <c r="I665" i="6"/>
  <c r="I349" i="6"/>
  <c r="I337" i="6"/>
  <c r="I445" i="6"/>
  <c r="N285" i="6"/>
  <c r="N712" i="6"/>
  <c r="N243" i="6"/>
  <c r="I269" i="6"/>
  <c r="N636" i="6"/>
  <c r="N256" i="6"/>
  <c r="N297" i="6"/>
  <c r="N183" i="6"/>
  <c r="N635" i="6"/>
  <c r="N36" i="6"/>
  <c r="I630" i="6"/>
  <c r="N69" i="6"/>
  <c r="N743" i="6"/>
  <c r="N149" i="6"/>
  <c r="N433" i="6"/>
  <c r="N190" i="6"/>
  <c r="N693" i="6"/>
  <c r="N311" i="6"/>
  <c r="N333" i="6"/>
  <c r="N547" i="6"/>
  <c r="N560" i="6"/>
  <c r="N77" i="6"/>
  <c r="N468" i="6"/>
  <c r="N691" i="6"/>
  <c r="N13" i="6"/>
  <c r="N41" i="6"/>
  <c r="N736" i="6"/>
  <c r="N441" i="6"/>
  <c r="N219" i="6"/>
  <c r="N561" i="6"/>
  <c r="N210" i="6"/>
  <c r="N204" i="6"/>
  <c r="N168" i="6"/>
  <c r="N330" i="6"/>
  <c r="I535" i="6"/>
  <c r="N579" i="6"/>
  <c r="N421" i="6"/>
  <c r="N178" i="6"/>
  <c r="I391" i="6"/>
  <c r="I647" i="6"/>
  <c r="N138" i="6"/>
  <c r="N629" i="6"/>
  <c r="I503" i="6"/>
  <c r="N472" i="6"/>
  <c r="N32" i="6"/>
  <c r="N595" i="6"/>
  <c r="I533" i="6"/>
  <c r="I541" i="6"/>
  <c r="I431" i="6"/>
  <c r="I268" i="6"/>
  <c r="I73" i="6"/>
  <c r="I75" i="6"/>
  <c r="I301" i="6"/>
  <c r="I540" i="6"/>
  <c r="N516" i="6"/>
  <c r="N720" i="6"/>
  <c r="N392" i="6"/>
  <c r="N383" i="6"/>
  <c r="N387" i="6"/>
  <c r="N72" i="6"/>
  <c r="N55" i="6"/>
  <c r="N656" i="6"/>
  <c r="N27" i="6"/>
  <c r="N359" i="6"/>
  <c r="N206" i="6"/>
  <c r="N15" i="6"/>
  <c r="N491" i="6"/>
  <c r="N63" i="6"/>
  <c r="N338" i="6"/>
  <c r="N623" i="6"/>
  <c r="N608" i="6"/>
  <c r="N147" i="6"/>
  <c r="I522" i="6"/>
  <c r="N214" i="6"/>
  <c r="N735" i="6"/>
  <c r="N289" i="6"/>
  <c r="N70" i="6"/>
  <c r="N249" i="6"/>
  <c r="N410" i="6"/>
  <c r="N312" i="6"/>
  <c r="N334" i="6"/>
  <c r="I449" i="6"/>
  <c r="N402" i="6"/>
  <c r="I425" i="6"/>
  <c r="N469" i="6"/>
  <c r="N738" i="6"/>
  <c r="N546" i="6"/>
  <c r="N143" i="6"/>
  <c r="N42" i="6"/>
  <c r="N76" i="6"/>
  <c r="N302" i="6"/>
  <c r="N156" i="6"/>
  <c r="I450" i="6"/>
  <c r="N570" i="6"/>
  <c r="N417" i="6"/>
  <c r="N126" i="6"/>
  <c r="N617" i="6"/>
  <c r="I487" i="6"/>
  <c r="N332" i="6"/>
  <c r="I83" i="6"/>
  <c r="N435" i="6"/>
  <c r="N277" i="6"/>
  <c r="N58" i="6"/>
  <c r="N125" i="6"/>
  <c r="N618" i="6"/>
  <c r="N620" i="6"/>
  <c r="I710" i="6"/>
  <c r="I61" i="6"/>
  <c r="I56" i="6"/>
  <c r="I325" i="6"/>
  <c r="I157" i="6"/>
  <c r="I84" i="6"/>
  <c r="N542" i="6"/>
  <c r="N539" i="6"/>
  <c r="N652" i="6"/>
  <c r="N386" i="6"/>
  <c r="N215" i="6"/>
  <c r="N304" i="6"/>
  <c r="N207" i="6"/>
  <c r="N659" i="6"/>
  <c r="N512" i="6"/>
  <c r="N506" i="6"/>
  <c r="N678" i="6"/>
  <c r="N494" i="6"/>
  <c r="N347" i="6"/>
  <c r="N464" i="6"/>
  <c r="N602" i="6"/>
  <c r="N571" i="6"/>
  <c r="N213" i="6"/>
  <c r="N591" i="6"/>
  <c r="N716" i="6"/>
  <c r="N108" i="6"/>
  <c r="N163" i="6"/>
  <c r="N162" i="6"/>
  <c r="N628" i="6"/>
  <c r="N415" i="6"/>
  <c r="N157" i="6"/>
  <c r="N740" i="6"/>
  <c r="N665" i="6"/>
  <c r="N237" i="6"/>
  <c r="I60" i="6"/>
  <c r="N484" i="6"/>
  <c r="I520" i="6"/>
  <c r="N144" i="6"/>
  <c r="N549" i="6"/>
  <c r="N292" i="6"/>
  <c r="N261" i="6"/>
  <c r="N473" i="6"/>
  <c r="N305" i="6"/>
  <c r="N538" i="6"/>
  <c r="N282" i="6"/>
  <c r="N86" i="6"/>
  <c r="N522" i="6"/>
  <c r="N291" i="6"/>
  <c r="N97" i="6"/>
  <c r="N511" i="6"/>
  <c r="N107" i="6"/>
  <c r="N287" i="6"/>
  <c r="N319" i="6"/>
  <c r="N741" i="6"/>
  <c r="N423" i="6"/>
  <c r="N21" i="6"/>
  <c r="N286" i="6"/>
  <c r="N507" i="6"/>
  <c r="N91" i="6"/>
  <c r="I74" i="6"/>
  <c r="I99" i="6"/>
  <c r="I612" i="6"/>
  <c r="I335" i="6"/>
  <c r="I566" i="6"/>
  <c r="I738" i="6"/>
  <c r="I539" i="6"/>
  <c r="I691" i="6"/>
  <c r="I564" i="6"/>
  <c r="I588" i="6"/>
  <c r="N186" i="6"/>
  <c r="N271" i="6"/>
  <c r="N398" i="6"/>
  <c r="N395" i="6"/>
  <c r="N141" i="6"/>
  <c r="N504" i="6"/>
  <c r="N259" i="6"/>
  <c r="N218" i="6"/>
  <c r="N59" i="6"/>
  <c r="N266" i="6"/>
  <c r="N515" i="6"/>
  <c r="N242" i="6"/>
  <c r="N368" i="6"/>
  <c r="N362" i="6"/>
  <c r="N35" i="6"/>
  <c r="N152" i="6"/>
  <c r="N350" i="6"/>
  <c r="N167" i="6"/>
  <c r="N344" i="6"/>
  <c r="N6" i="6"/>
  <c r="N7" i="6"/>
  <c r="N8" i="6"/>
  <c r="N5" i="6"/>
  <c r="N255" i="6"/>
  <c r="N320" i="6"/>
  <c r="N458" i="6"/>
  <c r="N299" i="6"/>
  <c r="N592" i="6"/>
  <c r="N328" i="6"/>
  <c r="N447" i="6"/>
  <c r="N132" i="6"/>
  <c r="N30" i="6"/>
  <c r="N572" i="6"/>
  <c r="N50" i="6"/>
  <c r="N164" i="6"/>
  <c r="N348" i="6"/>
  <c r="N416" i="6"/>
  <c r="I258" i="6"/>
  <c r="N521" i="6"/>
  <c r="N238" i="6"/>
  <c r="N633" i="6"/>
  <c r="N124" i="6"/>
  <c r="I234" i="6"/>
  <c r="N588" i="6"/>
  <c r="N329" i="6"/>
  <c r="N61" i="6"/>
  <c r="N65" i="6"/>
  <c r="N88" i="6"/>
  <c r="N283" i="6"/>
  <c r="N78" i="6"/>
  <c r="N707" i="6"/>
  <c r="N102" i="6"/>
  <c r="N140" i="6"/>
  <c r="N658" i="6"/>
  <c r="N456" i="6"/>
  <c r="N265" i="6"/>
  <c r="N112" i="6"/>
  <c r="N172" i="6"/>
  <c r="N364" i="6"/>
  <c r="N267" i="6"/>
  <c r="N391" i="6"/>
  <c r="N612" i="6"/>
  <c r="I142" i="6"/>
  <c r="I602" i="6"/>
  <c r="I348" i="6"/>
  <c r="I291" i="6"/>
  <c r="I407" i="6"/>
  <c r="I38" i="6"/>
  <c r="I129" i="6"/>
  <c r="I506" i="6"/>
  <c r="I420" i="6"/>
  <c r="I190" i="6"/>
  <c r="N463" i="6"/>
  <c r="N230" i="6"/>
  <c r="N239" i="6"/>
  <c r="N462" i="6"/>
  <c r="N26" i="6"/>
  <c r="N742" i="6"/>
  <c r="N136" i="6"/>
  <c r="N518" i="6"/>
  <c r="N726" i="6"/>
  <c r="N235" i="6"/>
  <c r="N182" i="6"/>
  <c r="N718" i="6"/>
  <c r="N556" i="6"/>
  <c r="N223" i="6"/>
  <c r="N211" i="6"/>
  <c r="N9" i="6"/>
  <c r="N155" i="6"/>
  <c r="N116" i="6"/>
  <c r="N314" i="6"/>
  <c r="N131" i="6"/>
  <c r="I221" i="6"/>
  <c r="N728" i="6"/>
  <c r="N303" i="6"/>
  <c r="N719" i="6"/>
  <c r="I378" i="6"/>
  <c r="N510" i="6"/>
  <c r="N426" i="6"/>
  <c r="N696" i="6"/>
  <c r="N715" i="6"/>
  <c r="N248" i="6"/>
  <c r="N378" i="6"/>
  <c r="N377" i="6"/>
  <c r="I615" i="6"/>
  <c r="N200" i="6"/>
  <c r="N317" i="6"/>
  <c r="N127" i="6"/>
  <c r="N641" i="6"/>
  <c r="I353" i="6"/>
  <c r="N589" i="6"/>
  <c r="N234" i="6"/>
  <c r="N227" i="6"/>
  <c r="N66" i="6"/>
  <c r="N600" i="6"/>
  <c r="N185" i="6"/>
  <c r="N192" i="6"/>
  <c r="N563" i="6"/>
  <c r="N444" i="6"/>
  <c r="N739" i="6"/>
  <c r="N270" i="6"/>
  <c r="N346" i="6"/>
  <c r="I209" i="6"/>
  <c r="I228" i="6"/>
  <c r="I230" i="6"/>
  <c r="I470" i="6"/>
  <c r="I10" i="6"/>
  <c r="I162" i="6"/>
  <c r="I558" i="6"/>
  <c r="I501" i="6"/>
  <c r="I286" i="6"/>
  <c r="I661" i="6"/>
  <c r="I481" i="6"/>
  <c r="I708" i="6"/>
  <c r="I92" i="6"/>
  <c r="N727" i="6"/>
  <c r="N593" i="6"/>
  <c r="N71" i="6"/>
  <c r="I488" i="6"/>
  <c r="N568" i="6"/>
  <c r="I377" i="6"/>
  <c r="N616" i="6"/>
  <c r="N374" i="6"/>
  <c r="N191" i="6"/>
  <c r="N52" i="6"/>
  <c r="N701" i="6"/>
  <c r="N649" i="6"/>
  <c r="N424" i="6"/>
  <c r="N689" i="6"/>
  <c r="N12" i="6"/>
  <c r="N706" i="6"/>
  <c r="N677" i="6"/>
  <c r="N11" i="6"/>
  <c r="N187" i="6"/>
  <c r="N670" i="6"/>
  <c r="N584" i="6"/>
  <c r="N575" i="6"/>
  <c r="N428" i="6"/>
  <c r="N697" i="6"/>
  <c r="N407" i="6"/>
  <c r="N669" i="6"/>
  <c r="N222" i="6"/>
  <c r="N499" i="6"/>
  <c r="N679" i="6"/>
  <c r="N497" i="6"/>
  <c r="I364" i="6"/>
  <c r="N731" i="6"/>
  <c r="N366" i="6"/>
  <c r="N73" i="6"/>
  <c r="N92" i="6"/>
  <c r="I328" i="6"/>
  <c r="N405" i="6"/>
  <c r="N688" i="6"/>
  <c r="I354" i="6"/>
  <c r="N700" i="6"/>
  <c r="N422" i="6"/>
  <c r="N419" i="6"/>
  <c r="N103" i="6"/>
  <c r="N445" i="6"/>
  <c r="I413" i="6"/>
  <c r="I166" i="6"/>
  <c r="N89" i="6"/>
  <c r="N627" i="6"/>
  <c r="I735" i="6"/>
  <c r="N139" i="6"/>
  <c r="I327" i="6"/>
  <c r="I497" i="6"/>
  <c r="I724" i="6"/>
  <c r="I232" i="6"/>
  <c r="I517" i="6"/>
  <c r="I698" i="6"/>
  <c r="I193" i="6"/>
  <c r="I699" i="6"/>
  <c r="I457" i="6"/>
  <c r="I316" i="6"/>
  <c r="I626" i="6"/>
  <c r="I543" i="6"/>
  <c r="N448" i="6"/>
  <c r="N480" i="6"/>
  <c r="N449" i="6"/>
  <c r="N685" i="6"/>
  <c r="N610" i="6"/>
  <c r="N439" i="6"/>
  <c r="N340" i="6"/>
  <c r="N437" i="6"/>
  <c r="N529" i="6"/>
  <c r="N454" i="6"/>
  <c r="N93" i="6"/>
  <c r="N247" i="6"/>
  <c r="N355" i="6"/>
  <c r="N336" i="6"/>
  <c r="N557" i="6"/>
  <c r="N505" i="6"/>
  <c r="N430" i="6"/>
  <c r="N607" i="6"/>
  <c r="N105" i="6"/>
  <c r="N545" i="6"/>
  <c r="N637" i="6"/>
  <c r="N734" i="6"/>
  <c r="N533" i="6"/>
  <c r="N10" i="6"/>
  <c r="N653" i="6"/>
  <c r="N745" i="6"/>
  <c r="N526" i="6"/>
  <c r="N686" i="6"/>
  <c r="N440" i="6"/>
  <c r="N578" i="6"/>
  <c r="N431" i="6"/>
  <c r="N698" i="6"/>
  <c r="N260" i="6"/>
  <c r="N553" i="6"/>
  <c r="N251" i="6"/>
  <c r="N45" i="6"/>
  <c r="N133" i="6"/>
  <c r="N225" i="6"/>
  <c r="N197" i="6"/>
  <c r="N446" i="6"/>
  <c r="N674" i="6"/>
  <c r="N384" i="6"/>
  <c r="N354" i="6"/>
  <c r="N535" i="6"/>
  <c r="N470" i="6"/>
  <c r="N353" i="6"/>
  <c r="N202" i="6"/>
  <c r="N128" i="6"/>
  <c r="I352" i="6"/>
  <c r="N660" i="6"/>
  <c r="N57" i="6"/>
  <c r="N603" i="6"/>
  <c r="N666" i="6"/>
  <c r="I42" i="6"/>
  <c r="N129" i="6"/>
  <c r="I41" i="6"/>
  <c r="N352" i="6"/>
  <c r="N278" i="6"/>
  <c r="N263" i="6"/>
  <c r="N17" i="6"/>
  <c r="N657" i="6"/>
  <c r="N258" i="6"/>
  <c r="I156" i="6"/>
  <c r="I360" i="6"/>
  <c r="I684" i="6"/>
  <c r="I400" i="6"/>
  <c r="I726" i="6"/>
  <c r="I134" i="6"/>
  <c r="I508" i="6"/>
  <c r="I110" i="6"/>
  <c r="I528" i="6"/>
  <c r="I55" i="6"/>
  <c r="I108" i="6"/>
  <c r="I54" i="6"/>
  <c r="I339" i="6"/>
  <c r="I525" i="6"/>
  <c r="I736" i="6"/>
  <c r="I722" i="6"/>
  <c r="I563" i="6"/>
  <c r="I336" i="6"/>
  <c r="I159" i="6"/>
  <c r="I217" i="6"/>
  <c r="I670" i="6"/>
  <c r="I418" i="6"/>
  <c r="I416" i="6"/>
  <c r="I267" i="6"/>
  <c r="I395" i="6"/>
  <c r="I648" i="6"/>
  <c r="I208" i="6"/>
  <c r="I382" i="6"/>
  <c r="I380" i="6"/>
  <c r="I240" i="6"/>
  <c r="I273" i="6"/>
  <c r="I72" i="6"/>
  <c r="I733" i="6"/>
  <c r="I429" i="6"/>
  <c r="I107" i="6"/>
  <c r="I574" i="6"/>
  <c r="I507" i="6"/>
  <c r="I623" i="6"/>
  <c r="I396" i="6"/>
  <c r="I399" i="6"/>
  <c r="I141" i="6"/>
  <c r="I361" i="6"/>
  <c r="I455" i="6"/>
  <c r="I454" i="6"/>
  <c r="I580" i="6"/>
  <c r="I578" i="6"/>
  <c r="I419" i="6"/>
  <c r="I737" i="6"/>
  <c r="I668" i="6"/>
  <c r="I262" i="6"/>
  <c r="I260" i="6"/>
  <c r="I111" i="6"/>
  <c r="I123" i="6"/>
  <c r="I239" i="6"/>
  <c r="I689" i="6"/>
  <c r="I155" i="6"/>
  <c r="I194" i="6"/>
  <c r="I469" i="6"/>
  <c r="I634" i="6"/>
  <c r="I285" i="6"/>
  <c r="I226" i="6"/>
  <c r="I601" i="6"/>
  <c r="I421" i="6"/>
  <c r="I334" i="6"/>
  <c r="I589" i="6"/>
  <c r="I624" i="6"/>
  <c r="I484" i="6"/>
  <c r="I502" i="6"/>
  <c r="I570" i="6"/>
  <c r="I571" i="6"/>
  <c r="I252" i="6"/>
  <c r="I255" i="6"/>
  <c r="I116" i="6"/>
  <c r="I115" i="6"/>
  <c r="I387" i="6"/>
  <c r="I559" i="6"/>
  <c r="I200" i="6"/>
  <c r="I199" i="6"/>
  <c r="I674" i="6"/>
  <c r="I562" i="6"/>
  <c r="I406" i="6"/>
  <c r="I22" i="6"/>
  <c r="I620" i="6"/>
  <c r="I679" i="6"/>
  <c r="I610" i="6"/>
  <c r="I340" i="6"/>
  <c r="I219" i="6"/>
  <c r="I347" i="6"/>
  <c r="I524" i="6"/>
  <c r="I34" i="6"/>
  <c r="I68" i="6"/>
  <c r="I67" i="6"/>
  <c r="I730" i="6"/>
  <c r="I292" i="6"/>
  <c r="I673" i="6"/>
  <c r="I492" i="6"/>
  <c r="I203" i="6"/>
  <c r="I712" i="6"/>
  <c r="I227" i="6"/>
  <c r="I551" i="6"/>
  <c r="I96" i="6"/>
  <c r="I388" i="6"/>
  <c r="I625" i="6"/>
  <c r="I667" i="6"/>
  <c r="I706" i="6"/>
  <c r="I124" i="6"/>
  <c r="I70" i="6"/>
  <c r="I181" i="6"/>
  <c r="I582" i="6"/>
  <c r="I715" i="6"/>
  <c r="I313" i="6"/>
  <c r="I140" i="6"/>
  <c r="I139" i="6"/>
  <c r="I314" i="6"/>
  <c r="I678" i="6"/>
  <c r="I608" i="6"/>
  <c r="I184" i="6"/>
  <c r="I202" i="6"/>
  <c r="I422" i="6"/>
  <c r="I39" i="6"/>
  <c r="I705" i="6"/>
  <c r="I616" i="6"/>
  <c r="I154" i="6"/>
  <c r="I63" i="6"/>
  <c r="I690" i="6"/>
  <c r="I251" i="6"/>
  <c r="I26" i="6"/>
  <c r="I25" i="6"/>
  <c r="I659" i="6"/>
  <c r="I36" i="6"/>
  <c r="I456" i="6"/>
  <c r="I538" i="6"/>
  <c r="I515" i="6"/>
  <c r="I606" i="6"/>
  <c r="I653" i="6"/>
  <c r="I600" i="6"/>
  <c r="I557" i="6"/>
  <c r="I743" i="6"/>
  <c r="I592" i="6"/>
  <c r="I480" i="6"/>
  <c r="I471" i="6"/>
  <c r="I398" i="6"/>
  <c r="I97" i="6"/>
  <c r="I47" i="6"/>
  <c r="I696" i="6"/>
  <c r="I333" i="6"/>
  <c r="I238" i="6"/>
  <c r="I229" i="6"/>
  <c r="I742" i="6"/>
  <c r="I468" i="6"/>
  <c r="I168" i="6"/>
  <c r="I383" i="6"/>
  <c r="I394" i="6"/>
  <c r="I532" i="6"/>
  <c r="I671" i="6"/>
  <c r="I274" i="6"/>
  <c r="I611" i="6"/>
  <c r="I243" i="6"/>
  <c r="I359" i="6"/>
  <c r="I619" i="6"/>
  <c r="I276" i="6"/>
  <c r="I460" i="6"/>
  <c r="I593" i="6"/>
  <c r="I158" i="6"/>
  <c r="I15" i="6"/>
  <c r="I577" i="6"/>
  <c r="I598" i="6"/>
  <c r="I93" i="6"/>
  <c r="I91" i="6"/>
  <c r="I178" i="6"/>
  <c r="I479" i="6"/>
  <c r="I303" i="6"/>
  <c r="I218" i="6"/>
  <c r="I718" i="6"/>
  <c r="I373" i="6"/>
  <c r="I249" i="6"/>
  <c r="I409" i="6"/>
  <c r="I6" i="6"/>
  <c r="I5" i="6"/>
  <c r="I4" i="6"/>
  <c r="I192" i="6"/>
  <c r="I459" i="6"/>
  <c r="I719" i="6"/>
  <c r="I442" i="6"/>
  <c r="I440" i="6"/>
  <c r="I682" i="6"/>
  <c r="I21" i="6"/>
  <c r="I707" i="6"/>
  <c r="I633" i="6"/>
  <c r="I703" i="6"/>
  <c r="I324" i="6"/>
  <c r="I250" i="6"/>
  <c r="I550" i="6"/>
  <c r="I188" i="6"/>
  <c r="I656" i="6"/>
  <c r="I244" i="6"/>
  <c r="I660" i="6"/>
  <c r="I741" i="6"/>
  <c r="I732" i="6"/>
  <c r="I405" i="6"/>
  <c r="I167" i="6"/>
  <c r="I132" i="6"/>
  <c r="I237" i="6"/>
  <c r="I231" i="6"/>
  <c r="I642" i="6"/>
  <c r="I552" i="6"/>
  <c r="I709" i="6"/>
  <c r="I605" i="6"/>
  <c r="I433" i="6"/>
  <c r="I434" i="6"/>
  <c r="I702" i="6"/>
  <c r="I191" i="6"/>
  <c r="I567" i="6"/>
  <c r="I346" i="6"/>
  <c r="I527" i="6"/>
  <c r="I265" i="6"/>
  <c r="I183" i="6"/>
  <c r="I443" i="6"/>
  <c r="I315" i="6"/>
  <c r="I32" i="6"/>
  <c r="I298" i="6"/>
  <c r="I680" i="6"/>
  <c r="I452" i="6"/>
  <c r="I128" i="6"/>
  <c r="I609" i="6"/>
  <c r="I187" i="6"/>
  <c r="I176" i="6"/>
  <c r="I175" i="6"/>
  <c r="I309" i="6"/>
  <c r="I644" i="6"/>
  <c r="I662" i="6"/>
  <c r="I597" i="6"/>
  <c r="I643" i="6"/>
  <c r="I729" i="6"/>
  <c r="I514" i="6"/>
  <c r="I81" i="6"/>
  <c r="I79" i="6"/>
  <c r="I747" i="6"/>
  <c r="I595" i="6"/>
  <c r="I408" i="6"/>
  <c r="I133" i="6"/>
  <c r="I289" i="6"/>
  <c r="I104" i="6"/>
  <c r="I103" i="6"/>
  <c r="I290" i="6"/>
  <c r="I711" i="6"/>
  <c r="I296" i="6"/>
  <c r="I279" i="6"/>
  <c r="I51" i="6"/>
  <c r="I160" i="6"/>
  <c r="I666" i="6"/>
  <c r="I504" i="6"/>
  <c r="I171" i="6"/>
  <c r="I80" i="6"/>
  <c r="I33" i="6"/>
  <c r="I31" i="6"/>
  <c r="I50" i="6"/>
  <c r="I509" i="6"/>
  <c r="I505" i="6"/>
  <c r="I69" i="6"/>
  <c r="I723" i="6"/>
  <c r="I701" i="6"/>
  <c r="I677" i="6"/>
  <c r="I683" i="6"/>
  <c r="I165" i="6"/>
  <c r="I714" i="6"/>
  <c r="I518" i="6"/>
  <c r="I453" i="6"/>
  <c r="I496" i="6"/>
  <c r="I370" i="6"/>
  <c r="I278" i="6"/>
  <c r="I638" i="6"/>
  <c r="I717" i="6"/>
  <c r="I264" i="6"/>
  <c r="I311" i="6"/>
  <c r="I654" i="6"/>
  <c r="I145" i="6"/>
  <c r="I198" i="6"/>
  <c r="I146" i="6"/>
  <c r="I687" i="6"/>
  <c r="I323" i="6"/>
  <c r="I371" i="6"/>
  <c r="N752" i="6" l="1" a="1"/>
  <c r="N752" i="6" s="1"/>
  <c r="I752" i="6" a="1"/>
  <c r="I752" i="6" s="1"/>
  <c r="I750" i="6" a="1"/>
  <c r="I750" i="6" s="1"/>
  <c r="I751" i="6" s="1"/>
  <c r="I749" i="6" a="1"/>
  <c r="I749" i="6" s="1"/>
  <c r="N750" i="6" a="1"/>
  <c r="N750" i="6" s="1"/>
  <c r="N751" i="6" s="1"/>
  <c r="N749" i="6" a="1"/>
  <c r="N749" i="6" s="1"/>
  <c r="D2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<sst xmlns="http://schemas.openxmlformats.org/spreadsheetml/2006/main" count="181" uniqueCount="174">
  <si>
    <r>
      <t>Do </t>
    </r>
    <r>
      <rPr>
        <b/>
        <u/>
        <sz val="10"/>
        <color rgb="FF526069"/>
        <rFont val="Arial"/>
        <family val="2"/>
      </rPr>
      <t>NOT</t>
    </r>
    <r>
      <rPr>
        <sz val="10"/>
        <color rgb="FF526069"/>
        <rFont val="Arial"/>
        <family val="2"/>
      </rPr>
      <t>: </t>
    </r>
  </si>
  <si>
    <t>-communicate loudly or in any language except for English</t>
  </si>
  <si>
    <t>-distract/interact with other groups</t>
  </si>
  <si>
    <r>
      <t>-use or have your cell phone/tablet/laptop/smart watch/</t>
    </r>
    <r>
      <rPr>
        <sz val="10"/>
        <color rgb="FF526069"/>
        <rFont val="Inherit"/>
      </rPr>
      <t>devices </t>
    </r>
    <r>
      <rPr>
        <sz val="9.8000000000000007"/>
        <color rgb="FF526069"/>
        <rFont val="Arial"/>
        <family val="2"/>
      </rPr>
      <t>on your person, or in view (of anyone)</t>
    </r>
  </si>
  <si>
    <t>-use any devices/equipment (such as a calculator, paper, pen...) other than the in-class terminals (unless the instructor says so)</t>
  </si>
  <si>
    <t>-pack up your belongings, leave your seat, exit the class until instructed to do so</t>
  </si>
  <si>
    <t>-use other people's code or directly recycle (copy and paste) code from class</t>
  </si>
  <si>
    <t>-include student numbers, only use names + emails if needed.</t>
  </si>
  <si>
    <t>-start late</t>
  </si>
  <si>
    <r>
      <t>You </t>
    </r>
    <r>
      <rPr>
        <b/>
        <u/>
        <sz val="10"/>
        <color rgb="FF526069"/>
        <rFont val="Arial"/>
        <family val="2"/>
      </rPr>
      <t>MUST</t>
    </r>
    <r>
      <rPr>
        <sz val="10"/>
        <color rgb="FF526069"/>
        <rFont val="Arial"/>
        <family val="2"/>
      </rPr>
      <t>: </t>
    </r>
  </si>
  <si>
    <t>-raise your hand if done early and either sleep with your head down on the table or stare at only your screen (once you do this, you will not be allowed to alter your submission)</t>
  </si>
  <si>
    <t>-include your name and e-mail in the file. (You will NOT receive credit otherwise.)</t>
  </si>
  <si>
    <t>-submit using the moodle submission function. (Email submissions will be ignored.)  </t>
  </si>
  <si>
    <t>-check your work</t>
  </si>
  <si>
    <t>-budget your time</t>
  </si>
  <si>
    <r>
      <t>-leave your possessions </t>
    </r>
    <r>
      <rPr>
        <u/>
        <sz val="10"/>
        <color theme="1"/>
        <rFont val="Calibri"/>
        <family val="2"/>
        <scheme val="minor"/>
      </rPr>
      <t>under</t>
    </r>
    <r>
      <rPr>
        <sz val="10"/>
        <color theme="1"/>
        <rFont val="Inherit"/>
      </rPr>
      <t> the table in a closed bag and do not attempt to access it during the assessment</t>
    </r>
  </si>
  <si>
    <t>-contribute sufficiently to the group or be removed and get a zero</t>
  </si>
  <si>
    <t>-read, understand and be responsible for the final submitted assignment in its entirety</t>
  </si>
  <si>
    <t>-be in class during your time slot (no exceptions will be made)</t>
  </si>
  <si>
    <t>-stay until the very end of the class and/or exit quietly only when allowed to do so</t>
  </si>
  <si>
    <t>-provide detailed answers wherever you are asked to "explain"</t>
  </si>
  <si>
    <r>
      <t>You </t>
    </r>
    <r>
      <rPr>
        <b/>
        <u/>
        <sz val="10"/>
        <color rgb="FF526069"/>
        <rFont val="Inherit"/>
      </rPr>
      <t>MAY</t>
    </r>
  </si>
  <si>
    <t>______________________________</t>
  </si>
  <si>
    <t>Please follow all instructions.  Academic Dishonesty Reports will be filed for any violations.  </t>
  </si>
  <si>
    <r>
      <t>Any technical accommodations will require support from the IT team. </t>
    </r>
    <r>
      <rPr>
        <b/>
        <sz val="11"/>
        <color rgb="FF526069"/>
        <rFont val="Arial"/>
        <family val="2"/>
      </rPr>
      <t> </t>
    </r>
  </si>
  <si>
    <r>
      <t>-use any </t>
    </r>
    <r>
      <rPr>
        <sz val="10"/>
        <color rgb="FF526069"/>
        <rFont val="Inherit"/>
      </rPr>
      <t>unauthorized </t>
    </r>
    <r>
      <rPr>
        <sz val="9.8000000000000007"/>
        <color rgb="FF526069"/>
        <rFont val="Arial"/>
        <family val="2"/>
      </rPr>
      <t>software (excel/python are okay)</t>
    </r>
  </si>
  <si>
    <r>
      <t>-raise your hand in order to gain the instructor/invigilator's attention and wait until answered and if not answered reasonably soon, speak to get my attention </t>
    </r>
    <r>
      <rPr>
        <u/>
        <sz val="9.8000000000000007"/>
        <color rgb="FF526069"/>
        <rFont val="Arial"/>
        <family val="2"/>
      </rPr>
      <t>without</t>
    </r>
    <r>
      <rPr>
        <sz val="9.8000000000000007"/>
        <color rgb="FF526069"/>
        <rFont val="Arial"/>
        <family val="2"/>
      </rPr>
      <t> looking where you should not</t>
    </r>
  </si>
  <si>
    <t>-use your course notes, lectures, slides, and exercises.</t>
  </si>
  <si>
    <r>
      <t>Please note the unicheck plagiarism module </t>
    </r>
    <r>
      <rPr>
        <b/>
        <sz val="11"/>
        <color rgb="FF526069"/>
        <rFont val="Arial"/>
        <family val="2"/>
      </rPr>
      <t>WILL </t>
    </r>
    <r>
      <rPr>
        <sz val="11"/>
        <color rgb="FF526069"/>
        <rFont val="Inherit"/>
      </rPr>
      <t>be used after the submission,  but will not affect your submission time.  </t>
    </r>
  </si>
  <si>
    <t>A number of factors cause the variations.</t>
  </si>
  <si>
    <t>Marks</t>
  </si>
  <si>
    <t>Mechanics - use the methodologies you learned in class correctly</t>
  </si>
  <si>
    <t>Bonus</t>
  </si>
  <si>
    <t>Penalties</t>
  </si>
  <si>
    <t>-you may have 3 classroom terminals open per group</t>
  </si>
  <si>
    <t>-submit before 1:59PM to avoid late penalties</t>
  </si>
  <si>
    <r>
      <t xml:space="preserve">-document your contribution </t>
    </r>
    <r>
      <rPr>
        <u/>
        <sz val="9.8000000000000007"/>
        <color rgb="FF526069"/>
        <rFont val="Arial"/>
        <family val="2"/>
      </rPr>
      <t>in detail</t>
    </r>
    <r>
      <rPr>
        <sz val="9.8000000000000007"/>
        <color rgb="FF526069"/>
        <rFont val="Arial"/>
        <family val="2"/>
      </rPr>
      <t xml:space="preserve"> to the project including how much time was spent, what was achieved etc.; failure to do so will be understood as you not having contributed</t>
    </r>
  </si>
  <si>
    <t>-submit each member's substantial contributions; uncredited work will not be graded, and duplicated work will receive fractional credit (i.e. if two people work on the same thing, it will be reduced by 50%, 3 people -&gt; 33%...)</t>
  </si>
  <si>
    <t>Explanation of phenomena - it is not enough to recover the signals, explain what you are seeing and why -don't be afraid to conjecture but support it in the data.</t>
  </si>
  <si>
    <t>Visualizations of each step - employ best practices and don't be sloppy (labels, axes, etc.)</t>
  </si>
  <si>
    <t>Justifications - make sure you can justify your steps. You will have to explain each step in detail -including stopping criteria.  Make sure you can explain the order of your steps, why you chose each method etc.</t>
  </si>
  <si>
    <t>Hours</t>
  </si>
  <si>
    <t>Algal Growth</t>
  </si>
  <si>
    <t xml:space="preserve">A scientist is measuring algal growth (g/L) in the Gulf of Mexico by sampling water buckets with replacement.  </t>
  </si>
  <si>
    <t>The sensor passes electric current through the sample, measures the resistance, then extrapolates concentration based on that.</t>
  </si>
  <si>
    <t>The data is to the left, starting when the scientist deploys the sensor.</t>
  </si>
  <si>
    <t xml:space="preserve">Explain what is going on here by drawing insights from the data.  </t>
  </si>
  <si>
    <t>You must use all your data science know how and expertise from class.</t>
  </si>
  <si>
    <t>Make sure your solution uses best practices, such as good graphing best practices.</t>
  </si>
  <si>
    <t>Explain and justify your steps.</t>
  </si>
  <si>
    <t>You may need to do some research to help you explain phenomenon -but it is not necessary.</t>
  </si>
  <si>
    <t>You may not consult any sources to solve the problem</t>
  </si>
  <si>
    <t>If you do so, you must cite it.</t>
  </si>
  <si>
    <t>The full set of rules is listed in the titled tab -read it first.</t>
  </si>
  <si>
    <t>The late penalty is 100% starting at 1:59:00.0PM on Thursday, July 11th, 2024. Please take into account submission time etc.</t>
  </si>
  <si>
    <t xml:space="preserve">There is a lot of work to do.  This is group work of size up to 10 -there is no accommodation for group size.  </t>
  </si>
  <si>
    <t>Please communicate your group members to me within 15 minutes of starting by email and grouping student cards at front of the class.</t>
  </si>
  <si>
    <r>
      <t>-use any resources external to the class to solve the proble (</t>
    </r>
    <r>
      <rPr>
        <u/>
        <sz val="10"/>
        <color rgb="FF526069"/>
        <rFont val="Arial"/>
        <family val="2"/>
      </rPr>
      <t>i.e.</t>
    </r>
    <r>
      <rPr>
        <sz val="10"/>
        <color rgb="FF526069"/>
        <rFont val="Arial"/>
        <family val="2"/>
      </rPr>
      <t> any assistance -human or otherwise, including the internet, AI tools, social media chats, apps, or in any way connected to other people/devices)</t>
    </r>
  </si>
  <si>
    <r>
      <t xml:space="preserve">-use prior/current course notes from any </t>
    </r>
    <r>
      <rPr>
        <b/>
        <sz val="10"/>
        <color rgb="FF526069"/>
        <rFont val="Arial"/>
        <family val="2"/>
      </rPr>
      <t>other</t>
    </r>
    <r>
      <rPr>
        <sz val="10"/>
        <color rgb="FF526069"/>
        <rFont val="Arial"/>
        <family val="2"/>
      </rPr>
      <t xml:space="preserve"> course.  </t>
    </r>
  </si>
  <si>
    <t>-look at any other group's screens</t>
  </si>
  <si>
    <t>-use a class terminal on the school network (no VPNs)</t>
  </si>
  <si>
    <t>-use blackbox solutions (e.g. python/excel analytical libraries)</t>
  </si>
  <si>
    <t>-alter the question or rule pages</t>
  </si>
  <si>
    <t>-submit only 1 of the following accepted file types: .docx .doc.pdf .xls .xlsx (embed as needed)</t>
  </si>
  <si>
    <t>-bring your student card and leave it out at the front of the class with your group's cards arranged in a column</t>
  </si>
  <si>
    <t>-clearly label your solution either in tabs or on one sheet without my having to hunt down sections/components (I will not search for your answers and if they are not placed obviously, they will be graded zero)</t>
  </si>
  <si>
    <t>-you may use google to research explanations only but must cite any work in APA style</t>
  </si>
  <si>
    <t>Governing Equations - figure out the underlying equation -with justificationss</t>
  </si>
  <si>
    <t>MAD</t>
  </si>
  <si>
    <t>MSE</t>
  </si>
  <si>
    <t>RMSE</t>
  </si>
  <si>
    <t>MAPE</t>
  </si>
  <si>
    <t>1. The Reason for above plot is to check for any linear relationship exists or not to see how the growth of algae is over a period of time.</t>
  </si>
  <si>
    <t xml:space="preserve">3. May be if smoothing can eliminate the noise and short term fluctuations, so that we can capture the real relation of the data. </t>
  </si>
  <si>
    <t>Visualizations</t>
  </si>
  <si>
    <t>4. Next steps would be doing 3period simple moving average, 2SMA, exponential,  double moving exponential smoothing. Will compare all the smoothig techniques by calculating residuals and error metrics like MSE, MAD, RMSE etc.</t>
  </si>
  <si>
    <t>3-period-2Order-MA</t>
  </si>
  <si>
    <t>3-period-3rdOrder-MA</t>
  </si>
  <si>
    <t>3-period-4thOrder-MA</t>
  </si>
  <si>
    <t>4-period-2ndOrder-MA</t>
  </si>
  <si>
    <t>4-period-3rdOrder-MA</t>
  </si>
  <si>
    <t>4-period-4thOrder-MA</t>
  </si>
  <si>
    <t>Residuals_for 3period_4thorderMA</t>
  </si>
  <si>
    <t>Residuals_4period_4orderMA</t>
  </si>
  <si>
    <t>4. I can calculate 5th order, but I will be lossing  data points</t>
  </si>
  <si>
    <t>5-period-2Order-MA</t>
  </si>
  <si>
    <t>6-period-2Order-MA</t>
  </si>
  <si>
    <t>6-period-3Order-MA</t>
  </si>
  <si>
    <t>Residuals_6period_3order</t>
  </si>
  <si>
    <t>1. Both 4period 4th orderMA and 6period- 3rd order MA have smoothen the data by reducing short term fluctuation, where 6period, 3rd order reduced more noise and fluctuations compared to the others.</t>
  </si>
  <si>
    <t>2. Evaluation metrics for both are also similar, So I want to analyze for long term and want to reduce shorterm flucations more, so I am considering 6-period-3rd order MA</t>
  </si>
  <si>
    <t>3. But also, we will try other smoothing techniques like Exponential amoothing and will compare.</t>
  </si>
  <si>
    <t>Residuals_analyses</t>
  </si>
  <si>
    <t>1. There are no outlers in the data. Because outliers can affect mean squared error. Now as there are no outliers, we can choose MSE or RMSE to select best smoothening technique.</t>
  </si>
  <si>
    <t>Exponential_smoothing(0.1)</t>
  </si>
  <si>
    <t>ES_0.2</t>
  </si>
  <si>
    <t>ES_0.3</t>
  </si>
  <si>
    <t>Error_ES(0.1)</t>
  </si>
  <si>
    <t>Error_ES(0.2)</t>
  </si>
  <si>
    <t>Error_ES(0.3)</t>
  </si>
  <si>
    <t>From above exponentoial smoothing with 0.1 as lamda value, ES(0.1) seems to handle flucuations better than other two and also metrics are low compared to 0.2, 0.3 and 6 period 3rdorder_MV</t>
  </si>
  <si>
    <t>So, we are going to use ES_0.1 as our smoothing technique and will procedd further.</t>
  </si>
  <si>
    <t>Detrended</t>
  </si>
  <si>
    <t>2-period-2Order-MA</t>
  </si>
  <si>
    <t>vertical_shift(d)</t>
  </si>
  <si>
    <t>phaseshift_horizontal(s)</t>
  </si>
  <si>
    <t>Period(p)</t>
  </si>
  <si>
    <t>Amplitude(A)</t>
  </si>
  <si>
    <t>Governing equation</t>
  </si>
  <si>
    <t>Residuals_GE</t>
  </si>
  <si>
    <t>Names</t>
  </si>
  <si>
    <t>Emails</t>
  </si>
  <si>
    <t>Contribution</t>
  </si>
  <si>
    <t xml:space="preserve">Om Patel </t>
  </si>
  <si>
    <t xml:space="preserve"> omkiranbhaipatel@loyalistcollege.com </t>
  </si>
  <si>
    <t xml:space="preserve">Smit Patel </t>
  </si>
  <si>
    <t xml:space="preserve"> smitrajendraprasa@loyalistcollege.com </t>
  </si>
  <si>
    <t xml:space="preserve">Preet Soni </t>
  </si>
  <si>
    <t xml:space="preserve"> preetkalpeshbhais@loyalistcollege.com </t>
  </si>
  <si>
    <t xml:space="preserve">Resti Cenia </t>
  </si>
  <si>
    <t xml:space="preserve"> restiangelocenia@loyalistcollege.com</t>
  </si>
  <si>
    <t xml:space="preserve">Mueez Ur Rehman Amjad </t>
  </si>
  <si>
    <t xml:space="preserve"> mueezurrehmanamja@loyalistcollege.com </t>
  </si>
  <si>
    <t xml:space="preserve"> subhashpavanchakr@loyalistcollege.com </t>
  </si>
  <si>
    <t xml:space="preserve">Arjun Kumar </t>
  </si>
  <si>
    <t xml:space="preserve"> arjunkumar@loyalistcollege.com</t>
  </si>
  <si>
    <t xml:space="preserve">Pranay Sai </t>
  </si>
  <si>
    <t xml:space="preserve"> pranaysaijangeti@loyalistcollege.com </t>
  </si>
  <si>
    <t xml:space="preserve">Nithish Janagam </t>
  </si>
  <si>
    <t xml:space="preserve"> nithishjanagam@loyalistcollege.com</t>
  </si>
  <si>
    <t xml:space="preserve">Watapotha K. Chalithya Sangeeth K. </t>
  </si>
  <si>
    <t xml:space="preserve"> watapothakosinnag@loyalistcollege.com</t>
  </si>
  <si>
    <t>Subhash Pavan Chakravarthy Somarouthu</t>
  </si>
  <si>
    <t>0.00075*x + 5.509 + (A*SIN((x/p)+ s))+ (A*COS((x/p) + s))+ d</t>
  </si>
  <si>
    <t>Governing Equation</t>
  </si>
  <si>
    <t>plotted ( algae growth with linear trend line) and Box plot of Algae growth(to check outliers)</t>
  </si>
  <si>
    <t>MSE, MAD, RMSE, MAPE</t>
  </si>
  <si>
    <t>5 and 6 period moving average calculations</t>
  </si>
  <si>
    <t>Residual calculations</t>
  </si>
  <si>
    <t>Visualizing 3, 4,5 and 6 period moving averages and analysis</t>
  </si>
  <si>
    <t>visualizing Exponential smoothing  and removal of trend from the smoothed data.</t>
  </si>
  <si>
    <t>Formatting, merging the work and proof reading of calculations</t>
  </si>
  <si>
    <t>Governing Equation,visualizing the equation with algae growth original data and Residual analyses</t>
  </si>
  <si>
    <t xml:space="preserve">3 and 4 period moving average calculation </t>
  </si>
  <si>
    <t>1. Governing Equation of the graph is 0.00075*x + 5.509 + (A*SIN((x/p)+ s))+ (A*COS((x/p) + s))+ d</t>
  </si>
  <si>
    <t>1. Residuals are randomly distributed around zero,there is no pattern, which is a good sign that smoothed data did not miss any underlying patterns or trends and can be used to forecast the growth of algae</t>
  </si>
  <si>
    <t>Visualizing_Moving_averages</t>
  </si>
  <si>
    <t>Visualizing_Initial Data</t>
  </si>
  <si>
    <t>Visualizing_Exponential_data</t>
  </si>
  <si>
    <t>Governing_Equation</t>
  </si>
  <si>
    <t>2. After multiple trial and error with amplitude, phase shift, period, we came up with this equation</t>
  </si>
  <si>
    <t>Residual_Analyses</t>
  </si>
  <si>
    <t>1. From the above graph, we removed to trend from the smoothened data to see clearly the seasonality, residuala or any other irregularities that are not captured during trend.</t>
  </si>
  <si>
    <t>2. With the smoothened data, we can do short term forecasting,but combining the linear trend as well we can do longterm forecast of algae growth.</t>
  </si>
  <si>
    <t>3. This equation captures trend, seasonality and any other irregularities and can used for long term forecasting of algae growth.</t>
  </si>
  <si>
    <t>Error Metrics for Governing Equation</t>
  </si>
  <si>
    <t xml:space="preserve">AISC1001-S24-week 10- TSA_presented </t>
  </si>
  <si>
    <t>k=2-period-1st-Order-MA</t>
  </si>
  <si>
    <t>3-period-1st-Order-MA(k=3)</t>
  </si>
  <si>
    <t>4-Period-1stOrder-MA(k=4)</t>
  </si>
  <si>
    <t>5-period-1Order-MA(k=5)</t>
  </si>
  <si>
    <t>6-period-1Order-MA(k=6)</t>
  </si>
  <si>
    <t>1. First, started with visualization of the data and plotted a linear trend line to check how it is related.  Also, plotted box plot to check for any extreme values so that to decide on the error metrics to be used.</t>
  </si>
  <si>
    <t>Steps</t>
  </si>
  <si>
    <t>2. From the above graph, It can bee seen that, although there is increase in algae growth over time, it is not completely linear. Clearly, we can see the repeating patterns over time which means seasonality. Also, the growth rate is following incresing trend over time.</t>
  </si>
  <si>
    <t>Exponential smoothing  , Moving Average(2period -1 and 2 order)</t>
  </si>
  <si>
    <t>Observed that there is seasonality, increasing trend, short term fluctuations and noise in the data. Decided to apply smoothing techniques like moving averages and exponential smoothing to reduce fluctuations and noise in the data.</t>
  </si>
  <si>
    <t>2. we applied 2,3,4,5,6 period moving averages and exponential smoothening techniques.</t>
  </si>
  <si>
    <t>selected exponential smoothening technique as the best one based on MAD and RMSE</t>
  </si>
  <si>
    <t>3. Next, we removed trend from the selcted  exponential function to capture the seasonality properly.</t>
  </si>
  <si>
    <t>the linear trend and seasonal activities can be combined both to do long term forecasting.</t>
  </si>
  <si>
    <t>4. Finally, generated a governing equation by updating the parameters like amplitude, phase shift, period  and vertical shift.</t>
  </si>
  <si>
    <t>References</t>
  </si>
  <si>
    <t>Action points/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</si>
</sst>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sz val="10"/>
      <color rgb="FF526069"/>
      <name val="Arial"/>
      <family val="2"/>
    </font>
    <font>
      <b/>
      <u/>
      <sz val="10"/>
      <color rgb="FF526069"/>
      <name val="Arial"/>
      <family val="2"/>
    </font>
    <font>
      <u/>
      <sz val="10"/>
      <color rgb="FF526069"/>
      <name val="Arial"/>
      <family val="2"/>
    </font>
    <font>
      <sz val="9.8000000000000007"/>
      <color rgb="FF526069"/>
      <name val="Arial"/>
      <family val="2"/>
    </font>
    <font>
      <sz val="10"/>
      <color rgb="FF526069"/>
      <name val="Inherit"/>
    </font>
    <font>
      <u/>
      <sz val="9.8000000000000007"/>
      <color rgb="FF526069"/>
      <name val="Arial"/>
      <family val="2"/>
    </font>
    <font>
      <sz val="10"/>
      <color theme="1"/>
      <name val="Inherit"/>
    </font>
    <font>
      <u/>
      <sz val="10"/>
      <color theme="1"/>
      <name val="Calibri"/>
      <family val="2"/>
      <scheme val="minor"/>
    </font>
    <font>
      <b/>
      <u/>
      <sz val="10"/>
      <color rgb="FF526069"/>
      <name val="Inherit"/>
    </font>
    <font>
      <sz val="11"/>
      <color rgb="FF526069"/>
      <name val="Arial"/>
      <family val="2"/>
    </font>
    <font>
      <b/>
      <sz val="11"/>
      <color rgb="FF526069"/>
      <name val="Arial"/>
      <family val="2"/>
    </font>
    <font>
      <sz val="11"/>
      <color rgb="FF526069"/>
      <name val="Inherit"/>
    </font>
    <font>
      <u/>
      <sz val="11"/>
      <color theme="1"/>
      <name val="Calibri"/>
      <family val="2"/>
      <scheme val="minor"/>
    </font>
    <font>
      <b/>
      <sz val="10"/>
      <color rgb="FF526069"/>
      <name val="Arial"/>
      <family val="2"/>
    </font>
    <font>
      <b/>
      <sz val="11"/>
      <color theme="1"/>
      <name val="Calibri"/>
      <family val="2"/>
      <scheme val="minor"/>
    </font>
    <font>
      <sz val="12"/>
      <color rgb="FF000000"/>
      <name val="Aptos"/>
      <family val="2"/>
    </font>
    <font>
      <sz val="11"/>
      <color theme="9"/>
      <name val="Calibri"/>
      <family val="2"/>
      <scheme val="minor"/>
    </font>
    <font>
      <b/>
      <sz val="12"/>
      <color rgb="FF000000"/>
      <name val="Aptos"/>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3" fillId="0" borderId="0" xfId="0" applyFont="1"/>
    <xf numFmtId="49" fontId="1" fillId="0" borderId="0" xfId="0" applyNumberFormat="1" applyFont="1" applyAlignment="1">
      <alignment vertical="center"/>
    </xf>
    <xf numFmtId="49" fontId="0" fillId="0" borderId="0" xfId="0" applyNumberFormat="1"/>
    <xf numFmtId="49" fontId="1" fillId="0" borderId="0" xfId="0" quotePrefix="1" applyNumberFormat="1" applyFont="1" applyAlignment="1">
      <alignment vertical="center"/>
    </xf>
    <xf numFmtId="49" fontId="4" fillId="0" borderId="0" xfId="0" quotePrefix="1" applyNumberFormat="1" applyFont="1" applyAlignment="1">
      <alignment vertical="center"/>
    </xf>
    <xf numFmtId="49" fontId="4" fillId="0" borderId="0" xfId="0" applyNumberFormat="1" applyFont="1" applyAlignment="1">
      <alignment vertical="center"/>
    </xf>
    <xf numFmtId="49" fontId="1" fillId="0" borderId="0" xfId="0" applyNumberFormat="1" applyFont="1"/>
    <xf numFmtId="49" fontId="4" fillId="0" borderId="0" xfId="0" quotePrefix="1" applyNumberFormat="1" applyFont="1"/>
    <xf numFmtId="49" fontId="4" fillId="0" borderId="0" xfId="0" applyNumberFormat="1" applyFont="1"/>
    <xf numFmtId="49" fontId="5" fillId="0" borderId="0" xfId="0" quotePrefix="1" applyNumberFormat="1" applyFont="1"/>
    <xf numFmtId="49" fontId="5" fillId="0" borderId="0" xfId="0" applyNumberFormat="1" applyFont="1" applyAlignment="1">
      <alignment horizontal="left" vertical="center"/>
    </xf>
    <xf numFmtId="49" fontId="10" fillId="0" borderId="0" xfId="0" applyNumberFormat="1" applyFont="1"/>
    <xf numFmtId="49" fontId="10" fillId="0" borderId="0" xfId="0" applyNumberFormat="1" applyFont="1" applyAlignment="1">
      <alignment horizontal="left" vertical="center"/>
    </xf>
    <xf numFmtId="49" fontId="12" fillId="0" borderId="0" xfId="0" applyNumberFormat="1" applyFont="1" applyAlignment="1">
      <alignment horizontal="left" vertical="center"/>
    </xf>
    <xf numFmtId="49" fontId="0" fillId="0" borderId="0" xfId="0" applyNumberFormat="1" applyAlignment="1">
      <alignment vertical="center"/>
    </xf>
    <xf numFmtId="0" fontId="0" fillId="2" borderId="0" xfId="0" applyFill="1"/>
    <xf numFmtId="0" fontId="15" fillId="0" borderId="0" xfId="0" applyFont="1"/>
    <xf numFmtId="0" fontId="0" fillId="3" borderId="0" xfId="0" applyFill="1"/>
    <xf numFmtId="0" fontId="16" fillId="0" borderId="0" xfId="0" applyFont="1" applyAlignment="1">
      <alignment vertical="center" wrapText="1"/>
    </xf>
    <xf numFmtId="0" fontId="16" fillId="0" borderId="0" xfId="0" applyFont="1" applyAlignment="1">
      <alignment horizontal="left" vertical="center" wrapText="1"/>
    </xf>
    <xf numFmtId="0" fontId="0" fillId="0" borderId="0" xfId="0" applyAlignment="1">
      <alignment vertical="center" wrapText="1"/>
    </xf>
    <xf numFmtId="0" fontId="17" fillId="0" borderId="0" xfId="0" applyFont="1"/>
    <xf numFmtId="0" fontId="18" fillId="0" borderId="0" xfId="0" applyFont="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2E61646A-4011-4004-80BA-E3B243D4978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Algal Growth over time with Linear Trend</a:t>
            </a:r>
            <a:r>
              <a:rPr lang="en-US" baseline="0"/>
              <a: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solution'!$B$1</c:f>
              <c:strCache>
                <c:ptCount val="1"/>
                <c:pt idx="0">
                  <c:v>Algal Growth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powe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poly"/>
            <c:order val="6"/>
            <c:dispRSqr val="0"/>
            <c:dispEq val="0"/>
          </c:trendline>
          <c:trendline>
            <c:spPr>
              <a:ln w="19050" cap="rnd">
                <a:solidFill>
                  <a:schemeClr val="tx1"/>
                </a:solidFill>
                <a:prstDash val="sysDot"/>
              </a:ln>
              <a:effectLst/>
            </c:spPr>
            <c:trendlineType val="linear"/>
            <c:dispRSqr val="1"/>
            <c:dispEq val="1"/>
            <c:trendlineLbl>
              <c:layout>
                <c:manualLayout>
                  <c:x val="2.8807086614173229E-2"/>
                  <c:y val="-0.252646908719743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movingAvg"/>
            <c:period val="3"/>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yVal>
          <c:smooth val="1"/>
          <c:extLst>
            <c:ext xmlns:c16="http://schemas.microsoft.com/office/drawing/2014/chart" uri="{C3380CC4-5D6E-409C-BE32-E72D297353CC}">
              <c16:uniqueId val="{00000000-E700-48AB-A53F-8BFC56642B1E}"/>
            </c:ext>
          </c:extLst>
        </c:ser>
        <c:dLbls>
          <c:showLegendKey val="0"/>
          <c:showVal val="0"/>
          <c:showCatName val="0"/>
          <c:showSerName val="0"/>
          <c:showPercent val="0"/>
          <c:showBubbleSize val="0"/>
        </c:dLbls>
        <c:axId val="65269904"/>
        <c:axId val="65271344"/>
      </c:scatterChart>
      <c:valAx>
        <c:axId val="6526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1344"/>
        <c:crosses val="autoZero"/>
        <c:crossBetween val="midCat"/>
      </c:valAx>
      <c:valAx>
        <c:axId val="6527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9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4-period-4th</a:t>
            </a:r>
            <a:r>
              <a:rPr lang="en-IN" baseline="0"/>
              <a:t> order-MA with Original data</a:t>
            </a:r>
            <a:endParaRPr lang="en-IN"/>
          </a:p>
        </c:rich>
      </c:tx>
      <c:overlay val="0"/>
      <c:spPr>
        <a:noFill/>
        <a:ln>
          <a:noFill/>
        </a:ln>
        <a:effectLst/>
      </c:spPr>
    </c:title>
    <c:autoTitleDeleted val="0"/>
    <c:plotArea>
      <c:layout/>
      <c:scatterChart>
        <c:scatterStyle val="smoothMarker"/>
        <c:varyColors val="0"/>
        <c:ser>
          <c:idx val="2"/>
          <c:order val="0"/>
          <c:tx>
            <c:strRef>
              <c:f>'Analyses and solution'!$M$1</c:f>
              <c:strCache>
                <c:ptCount val="1"/>
                <c:pt idx="0">
                  <c:v>4-period-4thOrder-MA</c:v>
                </c:pt>
              </c:strCache>
            </c:strRef>
          </c:tx>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solution'!$M$2:$M$747</c:f>
              <c:numCache>
                <c:formatCode>General</c:formatCode>
                <c:ptCount val="746"/>
                <c:pt idx="0">
                  <c:v>6.9345063332049524</c:v>
                </c:pt>
                <c:pt idx="1">
                  <c:v>8.5979184250940595</c:v>
                </c:pt>
                <c:pt idx="2">
                  <c:v>9.3137399550813367</c:v>
                </c:pt>
                <c:pt idx="3">
                  <c:v>6.9331676929999997</c:v>
                </c:pt>
                <c:pt idx="4">
                  <c:v>7.9448331019999996</c:v>
                </c:pt>
                <c:pt idx="5">
                  <c:v>7.6824857519999998</c:v>
                </c:pt>
                <c:pt idx="6">
                  <c:v>7.348536513</c:v>
                </c:pt>
                <c:pt idx="7">
                  <c:v>6.8907626349999997</c:v>
                </c:pt>
                <c:pt idx="8">
                  <c:v>7.4666544999999998</c:v>
                </c:pt>
                <c:pt idx="9">
                  <c:v>7.1591093170000004</c:v>
                </c:pt>
                <c:pt idx="10">
                  <c:v>7.1208646440000001</c:v>
                </c:pt>
                <c:pt idx="11">
                  <c:v>7.212017103</c:v>
                </c:pt>
                <c:pt idx="12">
                  <c:v>7.2396613910000003</c:v>
                </c:pt>
                <c:pt idx="13">
                  <c:v>7.1946533109999997</c:v>
                </c:pt>
                <c:pt idx="14">
                  <c:v>7.2704381140000001</c:v>
                </c:pt>
                <c:pt idx="15">
                  <c:v>7.3080121489999996</c:v>
                </c:pt>
                <c:pt idx="16">
                  <c:v>7.2531912412787367</c:v>
                </c:pt>
                <c:pt idx="17">
                  <c:v>7.2519390116610332</c:v>
                </c:pt>
                <c:pt idx="18">
                  <c:v>7.232212327099413</c:v>
                </c:pt>
                <c:pt idx="19">
                  <c:v>7.1349663909656487</c:v>
                </c:pt>
                <c:pt idx="20">
                  <c:v>6.9723084878457895</c:v>
                </c:pt>
                <c:pt idx="21">
                  <c:v>6.7911107152454768</c:v>
                </c:pt>
                <c:pt idx="22">
                  <c:v>6.595175496034221</c:v>
                </c:pt>
                <c:pt idx="23">
                  <c:v>6.42027500668559</c:v>
                </c:pt>
                <c:pt idx="24">
                  <c:v>6.2627467573644129</c:v>
                </c:pt>
                <c:pt idx="25">
                  <c:v>6.1008563270295282</c:v>
                </c:pt>
                <c:pt idx="26">
                  <c:v>5.9483165311346262</c:v>
                </c:pt>
                <c:pt idx="27">
                  <c:v>5.8073313770305912</c:v>
                </c:pt>
                <c:pt idx="28">
                  <c:v>5.6849343270243891</c:v>
                </c:pt>
                <c:pt idx="29">
                  <c:v>5.5836205336981717</c:v>
                </c:pt>
                <c:pt idx="30">
                  <c:v>5.5193770717726718</c:v>
                </c:pt>
                <c:pt idx="31">
                  <c:v>5.5092402273057415</c:v>
                </c:pt>
                <c:pt idx="32">
                  <c:v>5.5904051546113438</c:v>
                </c:pt>
                <c:pt idx="33">
                  <c:v>5.7988357857398816</c:v>
                </c:pt>
                <c:pt idx="34">
                  <c:v>6.1053027277697254</c:v>
                </c:pt>
                <c:pt idx="35">
                  <c:v>6.4409377933957943</c:v>
                </c:pt>
                <c:pt idx="36">
                  <c:v>6.6913998477312138</c:v>
                </c:pt>
                <c:pt idx="37">
                  <c:v>6.7593897358974884</c:v>
                </c:pt>
                <c:pt idx="38">
                  <c:v>6.6285757475795268</c:v>
                </c:pt>
                <c:pt idx="39">
                  <c:v>6.3579179115624482</c:v>
                </c:pt>
                <c:pt idx="40">
                  <c:v>6.0450695232627734</c:v>
                </c:pt>
                <c:pt idx="41">
                  <c:v>5.7877628531854057</c:v>
                </c:pt>
                <c:pt idx="42">
                  <c:v>5.6261456414071915</c:v>
                </c:pt>
                <c:pt idx="43">
                  <c:v>5.5465022450062182</c:v>
                </c:pt>
                <c:pt idx="44">
                  <c:v>5.5477686146772323</c:v>
                </c:pt>
                <c:pt idx="45">
                  <c:v>5.5957450810514953</c:v>
                </c:pt>
                <c:pt idx="46">
                  <c:v>5.682243974101965</c:v>
                </c:pt>
                <c:pt idx="47">
                  <c:v>5.801225969159197</c:v>
                </c:pt>
                <c:pt idx="48">
                  <c:v>5.8885782890108116</c:v>
                </c:pt>
                <c:pt idx="49">
                  <c:v>5.9122455743752003</c:v>
                </c:pt>
                <c:pt idx="50">
                  <c:v>5.8281195956823764</c:v>
                </c:pt>
                <c:pt idx="51">
                  <c:v>5.624923187173211</c:v>
                </c:pt>
                <c:pt idx="52">
                  <c:v>5.349896177420848</c:v>
                </c:pt>
                <c:pt idx="53">
                  <c:v>5.0445465546251587</c:v>
                </c:pt>
                <c:pt idx="54">
                  <c:v>4.7634074572637424</c:v>
                </c:pt>
                <c:pt idx="55">
                  <c:v>4.5452274947853004</c:v>
                </c:pt>
                <c:pt idx="56">
                  <c:v>4.3924679182675064</c:v>
                </c:pt>
                <c:pt idx="57">
                  <c:v>4.3138411555624847</c:v>
                </c:pt>
                <c:pt idx="58">
                  <c:v>4.3121354338745155</c:v>
                </c:pt>
                <c:pt idx="59">
                  <c:v>4.3464783155611775</c:v>
                </c:pt>
                <c:pt idx="60">
                  <c:v>4.4133491220835452</c:v>
                </c:pt>
                <c:pt idx="61">
                  <c:v>4.5039661305551606</c:v>
                </c:pt>
                <c:pt idx="62">
                  <c:v>4.6048079946095699</c:v>
                </c:pt>
                <c:pt idx="63">
                  <c:v>4.7853142969597098</c:v>
                </c:pt>
                <c:pt idx="64">
                  <c:v>5.0612772254933933</c:v>
                </c:pt>
                <c:pt idx="65">
                  <c:v>5.4027075804935176</c:v>
                </c:pt>
                <c:pt idx="66">
                  <c:v>5.7798529450364882</c:v>
                </c:pt>
                <c:pt idx="67">
                  <c:v>6.0876020440186949</c:v>
                </c:pt>
                <c:pt idx="68">
                  <c:v>6.2449296101086658</c:v>
                </c:pt>
                <c:pt idx="69">
                  <c:v>6.2600420014639635</c:v>
                </c:pt>
                <c:pt idx="70">
                  <c:v>6.1324596422984357</c:v>
                </c:pt>
                <c:pt idx="71">
                  <c:v>5.8949821775619986</c:v>
                </c:pt>
                <c:pt idx="72">
                  <c:v>5.618431769366218</c:v>
                </c:pt>
                <c:pt idx="73">
                  <c:v>5.2891389250052185</c:v>
                </c:pt>
                <c:pt idx="74">
                  <c:v>4.9287595761902061</c:v>
                </c:pt>
                <c:pt idx="75">
                  <c:v>4.5715151479689329</c:v>
                </c:pt>
                <c:pt idx="76">
                  <c:v>4.2086436803660074</c:v>
                </c:pt>
                <c:pt idx="77">
                  <c:v>3.899956064879337</c:v>
                </c:pt>
                <c:pt idx="78">
                  <c:v>3.6769534119201959</c:v>
                </c:pt>
                <c:pt idx="79">
                  <c:v>3.5565529740582202</c:v>
                </c:pt>
                <c:pt idx="80">
                  <c:v>3.5511534632939252</c:v>
                </c:pt>
                <c:pt idx="81">
                  <c:v>3.6356621355490724</c:v>
                </c:pt>
                <c:pt idx="82">
                  <c:v>3.7748317103632827</c:v>
                </c:pt>
                <c:pt idx="83">
                  <c:v>3.9266691479830866</c:v>
                </c:pt>
                <c:pt idx="84">
                  <c:v>4.0770594403010332</c:v>
                </c:pt>
                <c:pt idx="85">
                  <c:v>4.1928362667001622</c:v>
                </c:pt>
                <c:pt idx="86">
                  <c:v>4.2715687008379977</c:v>
                </c:pt>
                <c:pt idx="87">
                  <c:v>4.3252920692416374</c:v>
                </c:pt>
                <c:pt idx="88">
                  <c:v>4.3381076687698448</c:v>
                </c:pt>
                <c:pt idx="89">
                  <c:v>4.3515023205925818</c:v>
                </c:pt>
                <c:pt idx="90">
                  <c:v>4.3832631081207341</c:v>
                </c:pt>
                <c:pt idx="91">
                  <c:v>4.4161465174047665</c:v>
                </c:pt>
                <c:pt idx="92">
                  <c:v>4.4630618466160534</c:v>
                </c:pt>
                <c:pt idx="93">
                  <c:v>4.4758761916716576</c:v>
                </c:pt>
                <c:pt idx="94">
                  <c:v>4.406214500895361</c:v>
                </c:pt>
                <c:pt idx="95">
                  <c:v>4.2623933585800451</c:v>
                </c:pt>
                <c:pt idx="96">
                  <c:v>4.0445802464334646</c:v>
                </c:pt>
                <c:pt idx="97">
                  <c:v>3.809488096925187</c:v>
                </c:pt>
                <c:pt idx="98">
                  <c:v>3.6514799946509844</c:v>
                </c:pt>
                <c:pt idx="99">
                  <c:v>3.621386658921927</c:v>
                </c:pt>
                <c:pt idx="100">
                  <c:v>3.7260809096193501</c:v>
                </c:pt>
                <c:pt idx="101">
                  <c:v>3.9169818767376254</c:v>
                </c:pt>
                <c:pt idx="102">
                  <c:v>4.0807947965002818</c:v>
                </c:pt>
                <c:pt idx="103">
                  <c:v>4.1324604381519343</c:v>
                </c:pt>
                <c:pt idx="104">
                  <c:v>4.060566722826688</c:v>
                </c:pt>
                <c:pt idx="105">
                  <c:v>3.9011260432357746</c:v>
                </c:pt>
                <c:pt idx="106">
                  <c:v>3.7379308712128099</c:v>
                </c:pt>
                <c:pt idx="107">
                  <c:v>3.6307390147025278</c:v>
                </c:pt>
                <c:pt idx="108">
                  <c:v>3.6042315629333337</c:v>
                </c:pt>
                <c:pt idx="109">
                  <c:v>3.6458457255092473</c:v>
                </c:pt>
                <c:pt idx="110">
                  <c:v>3.7419613915799648</c:v>
                </c:pt>
                <c:pt idx="111">
                  <c:v>3.8777134404646283</c:v>
                </c:pt>
                <c:pt idx="112">
                  <c:v>4.0095741422905533</c:v>
                </c:pt>
                <c:pt idx="113">
                  <c:v>4.1378140796719087</c:v>
                </c:pt>
                <c:pt idx="114">
                  <c:v>4.246200955904289</c:v>
                </c:pt>
                <c:pt idx="115">
                  <c:v>4.3362342593637244</c:v>
                </c:pt>
                <c:pt idx="116">
                  <c:v>4.447834017326378</c:v>
                </c:pt>
                <c:pt idx="117">
                  <c:v>4.5756859448243725</c:v>
                </c:pt>
                <c:pt idx="118">
                  <c:v>4.706651259650986</c:v>
                </c:pt>
                <c:pt idx="119">
                  <c:v>4.826084906209303</c:v>
                </c:pt>
                <c:pt idx="120">
                  <c:v>4.9072889632648868</c:v>
                </c:pt>
                <c:pt idx="121">
                  <c:v>4.940158421231561</c:v>
                </c:pt>
                <c:pt idx="122">
                  <c:v>4.9285967744111172</c:v>
                </c:pt>
                <c:pt idx="123">
                  <c:v>4.8792873689293206</c:v>
                </c:pt>
                <c:pt idx="124">
                  <c:v>4.7913559897606453</c:v>
                </c:pt>
                <c:pt idx="125">
                  <c:v>4.6743504384834544</c:v>
                </c:pt>
                <c:pt idx="126">
                  <c:v>4.5492403710700593</c:v>
                </c:pt>
                <c:pt idx="127">
                  <c:v>4.406027861887889</c:v>
                </c:pt>
                <c:pt idx="128">
                  <c:v>4.2622662806067435</c:v>
                </c:pt>
                <c:pt idx="129">
                  <c:v>4.1212343718401696</c:v>
                </c:pt>
                <c:pt idx="130">
                  <c:v>3.9651915576796295</c:v>
                </c:pt>
                <c:pt idx="131">
                  <c:v>3.8289404295375649</c:v>
                </c:pt>
                <c:pt idx="132">
                  <c:v>3.7173636830990446</c:v>
                </c:pt>
                <c:pt idx="133">
                  <c:v>3.6402455203867397</c:v>
                </c:pt>
                <c:pt idx="134">
                  <c:v>3.6263609710532867</c:v>
                </c:pt>
                <c:pt idx="135">
                  <c:v>3.6407470814534992</c:v>
                </c:pt>
                <c:pt idx="136">
                  <c:v>3.6727678059049973</c:v>
                </c:pt>
                <c:pt idx="137">
                  <c:v>3.7228003041449291</c:v>
                </c:pt>
                <c:pt idx="138">
                  <c:v>3.7668534009440569</c:v>
                </c:pt>
                <c:pt idx="139">
                  <c:v>3.8400898104695793</c:v>
                </c:pt>
                <c:pt idx="140">
                  <c:v>3.9334541413480455</c:v>
                </c:pt>
                <c:pt idx="141">
                  <c:v>4.0194217853983689</c:v>
                </c:pt>
                <c:pt idx="142">
                  <c:v>4.0998584757597953</c:v>
                </c:pt>
                <c:pt idx="143">
                  <c:v>4.1507354914795975</c:v>
                </c:pt>
                <c:pt idx="144">
                  <c:v>4.201137092318886</c:v>
                </c:pt>
                <c:pt idx="145">
                  <c:v>4.2904161263847138</c:v>
                </c:pt>
                <c:pt idx="146">
                  <c:v>4.4304230650386405</c:v>
                </c:pt>
                <c:pt idx="147">
                  <c:v>4.617741978142953</c:v>
                </c:pt>
                <c:pt idx="148">
                  <c:v>4.804353494050333</c:v>
                </c:pt>
                <c:pt idx="149">
                  <c:v>4.9547112591881017</c:v>
                </c:pt>
                <c:pt idx="150">
                  <c:v>5.0320016557691876</c:v>
                </c:pt>
                <c:pt idx="151">
                  <c:v>5.0235518697140513</c:v>
                </c:pt>
                <c:pt idx="152">
                  <c:v>4.9656155965284778</c:v>
                </c:pt>
                <c:pt idx="153">
                  <c:v>4.853050151648814</c:v>
                </c:pt>
                <c:pt idx="154">
                  <c:v>4.7193457057185002</c:v>
                </c:pt>
                <c:pt idx="155">
                  <c:v>4.6039048594878365</c:v>
                </c:pt>
                <c:pt idx="156">
                  <c:v>4.5143719312462114</c:v>
                </c:pt>
                <c:pt idx="157">
                  <c:v>4.5073248302690665</c:v>
                </c:pt>
                <c:pt idx="158">
                  <c:v>4.6116030686031575</c:v>
                </c:pt>
                <c:pt idx="159">
                  <c:v>4.8188826910204146</c:v>
                </c:pt>
                <c:pt idx="160">
                  <c:v>5.1063660064511609</c:v>
                </c:pt>
                <c:pt idx="161">
                  <c:v>5.4214091641317257</c:v>
                </c:pt>
                <c:pt idx="162">
                  <c:v>5.6935800426037</c:v>
                </c:pt>
                <c:pt idx="163">
                  <c:v>5.8838904895281265</c:v>
                </c:pt>
                <c:pt idx="164">
                  <c:v>5.9795586256619462</c:v>
                </c:pt>
                <c:pt idx="165">
                  <c:v>5.9640217716913577</c:v>
                </c:pt>
                <c:pt idx="166">
                  <c:v>5.8558545141009875</c:v>
                </c:pt>
                <c:pt idx="167">
                  <c:v>5.6763594990424906</c:v>
                </c:pt>
                <c:pt idx="168">
                  <c:v>5.4653388472945661</c:v>
                </c:pt>
                <c:pt idx="169">
                  <c:v>5.3078739266099531</c:v>
                </c:pt>
                <c:pt idx="170">
                  <c:v>5.267638535842714</c:v>
                </c:pt>
                <c:pt idx="171">
                  <c:v>5.3819068418664529</c:v>
                </c:pt>
                <c:pt idx="172">
                  <c:v>5.617247315855634</c:v>
                </c:pt>
                <c:pt idx="173">
                  <c:v>5.8758922018319142</c:v>
                </c:pt>
                <c:pt idx="174">
                  <c:v>6.0699022584901723</c:v>
                </c:pt>
                <c:pt idx="175">
                  <c:v>6.1397664233584051</c:v>
                </c:pt>
                <c:pt idx="176">
                  <c:v>6.1158035395004973</c:v>
                </c:pt>
                <c:pt idx="177">
                  <c:v>6.0621979831632613</c:v>
                </c:pt>
                <c:pt idx="178">
                  <c:v>6.0378543566773981</c:v>
                </c:pt>
                <c:pt idx="179">
                  <c:v>6.0690929777896336</c:v>
                </c:pt>
                <c:pt idx="180">
                  <c:v>6.0925539199839669</c:v>
                </c:pt>
                <c:pt idx="181">
                  <c:v>6.0547893220968101</c:v>
                </c:pt>
                <c:pt idx="182">
                  <c:v>5.9169085385000511</c:v>
                </c:pt>
                <c:pt idx="183">
                  <c:v>5.6937985884629878</c:v>
                </c:pt>
                <c:pt idx="184">
                  <c:v>5.494127644902612</c:v>
                </c:pt>
                <c:pt idx="185">
                  <c:v>5.4192325845999836</c:v>
                </c:pt>
                <c:pt idx="186">
                  <c:v>5.5324639729685803</c:v>
                </c:pt>
                <c:pt idx="187">
                  <c:v>5.827637923228874</c:v>
                </c:pt>
                <c:pt idx="188">
                  <c:v>6.199612993567138</c:v>
                </c:pt>
                <c:pt idx="189">
                  <c:v>6.515396671026684</c:v>
                </c:pt>
                <c:pt idx="190">
                  <c:v>6.6762282712071865</c:v>
                </c:pt>
                <c:pt idx="191">
                  <c:v>6.6415351232683477</c:v>
                </c:pt>
                <c:pt idx="192">
                  <c:v>6.4634686433792083</c:v>
                </c:pt>
                <c:pt idx="193">
                  <c:v>6.2361256230943578</c:v>
                </c:pt>
                <c:pt idx="194">
                  <c:v>6.0686267371561993</c:v>
                </c:pt>
                <c:pt idx="195">
                  <c:v>6.0319235077966731</c:v>
                </c:pt>
                <c:pt idx="196">
                  <c:v>6.146657864235749</c:v>
                </c:pt>
                <c:pt idx="197">
                  <c:v>6.4075033525741487</c:v>
                </c:pt>
                <c:pt idx="198">
                  <c:v>6.750801543241705</c:v>
                </c:pt>
                <c:pt idx="199">
                  <c:v>7.1465332388195772</c:v>
                </c:pt>
                <c:pt idx="200">
                  <c:v>7.5422971547383737</c:v>
                </c:pt>
                <c:pt idx="201">
                  <c:v>7.8839003814867272</c:v>
                </c:pt>
                <c:pt idx="202">
                  <c:v>8.1648044144999634</c:v>
                </c:pt>
                <c:pt idx="203">
                  <c:v>8.3329510137430383</c:v>
                </c:pt>
                <c:pt idx="204">
                  <c:v>8.3839706501287452</c:v>
                </c:pt>
                <c:pt idx="205">
                  <c:v>8.3210544848070978</c:v>
                </c:pt>
                <c:pt idx="206">
                  <c:v>8.1308659109908881</c:v>
                </c:pt>
                <c:pt idx="207">
                  <c:v>7.8588971837293684</c:v>
                </c:pt>
                <c:pt idx="208">
                  <c:v>7.550618705009259</c:v>
                </c:pt>
                <c:pt idx="209">
                  <c:v>7.2617006539873774</c:v>
                </c:pt>
                <c:pt idx="210">
                  <c:v>7.057735599124614</c:v>
                </c:pt>
                <c:pt idx="211">
                  <c:v>6.9442307364701588</c:v>
                </c:pt>
                <c:pt idx="212">
                  <c:v>6.8970715542260992</c:v>
                </c:pt>
                <c:pt idx="213">
                  <c:v>6.8944864771809033</c:v>
                </c:pt>
                <c:pt idx="214">
                  <c:v>6.9044111199248643</c:v>
                </c:pt>
                <c:pt idx="215">
                  <c:v>6.9544386780297742</c:v>
                </c:pt>
                <c:pt idx="216">
                  <c:v>7.069579908156804</c:v>
                </c:pt>
                <c:pt idx="217">
                  <c:v>7.2482164621070373</c:v>
                </c:pt>
                <c:pt idx="218">
                  <c:v>7.4943088490936649</c:v>
                </c:pt>
                <c:pt idx="219">
                  <c:v>7.7475722800246887</c:v>
                </c:pt>
                <c:pt idx="220">
                  <c:v>7.9807962684099341</c:v>
                </c:pt>
                <c:pt idx="221">
                  <c:v>8.1756723133989677</c:v>
                </c:pt>
                <c:pt idx="222">
                  <c:v>8.3117058609741612</c:v>
                </c:pt>
                <c:pt idx="223">
                  <c:v>8.4229356166463205</c:v>
                </c:pt>
                <c:pt idx="224">
                  <c:v>8.5166371793202664</c:v>
                </c:pt>
                <c:pt idx="225">
                  <c:v>8.6170145431748484</c:v>
                </c:pt>
                <c:pt idx="226">
                  <c:v>8.7489070723208489</c:v>
                </c:pt>
                <c:pt idx="227">
                  <c:v>8.900682428796614</c:v>
                </c:pt>
                <c:pt idx="228">
                  <c:v>9.0644683574297247</c:v>
                </c:pt>
                <c:pt idx="229">
                  <c:v>9.2083448356206112</c:v>
                </c:pt>
                <c:pt idx="230">
                  <c:v>9.2930831282268684</c:v>
                </c:pt>
                <c:pt idx="231">
                  <c:v>9.3168312700501268</c:v>
                </c:pt>
                <c:pt idx="232">
                  <c:v>9.2823443636042491</c:v>
                </c:pt>
                <c:pt idx="233">
                  <c:v>9.2138450522298694</c:v>
                </c:pt>
                <c:pt idx="234">
                  <c:v>9.1417005961889508</c:v>
                </c:pt>
                <c:pt idx="235">
                  <c:v>9.0510801156874603</c:v>
                </c:pt>
                <c:pt idx="236">
                  <c:v>8.9469231358893726</c:v>
                </c:pt>
                <c:pt idx="237">
                  <c:v>8.8351758664388971</c:v>
                </c:pt>
                <c:pt idx="238">
                  <c:v>8.7424068826603545</c:v>
                </c:pt>
                <c:pt idx="239">
                  <c:v>8.7272378783575526</c:v>
                </c:pt>
                <c:pt idx="240">
                  <c:v>8.8124409750001895</c:v>
                </c:pt>
                <c:pt idx="241">
                  <c:v>8.9952436116759991</c:v>
                </c:pt>
                <c:pt idx="242">
                  <c:v>9.2201228291973649</c:v>
                </c:pt>
                <c:pt idx="243">
                  <c:v>9.420224800073818</c:v>
                </c:pt>
                <c:pt idx="244">
                  <c:v>9.5404146300214006</c:v>
                </c:pt>
                <c:pt idx="245">
                  <c:v>9.5405222455695586</c:v>
                </c:pt>
                <c:pt idx="246">
                  <c:v>9.4458509206856682</c:v>
                </c:pt>
                <c:pt idx="247">
                  <c:v>9.300474088766773</c:v>
                </c:pt>
                <c:pt idx="248">
                  <c:v>9.1630975879211505</c:v>
                </c:pt>
                <c:pt idx="249">
                  <c:v>9.1188827035150375</c:v>
                </c:pt>
                <c:pt idx="250">
                  <c:v>9.2009917725973978</c:v>
                </c:pt>
                <c:pt idx="251">
                  <c:v>9.3937127439805934</c:v>
                </c:pt>
                <c:pt idx="252">
                  <c:v>9.6721548972690616</c:v>
                </c:pt>
                <c:pt idx="253">
                  <c:v>9.9601667316073836</c:v>
                </c:pt>
                <c:pt idx="254">
                  <c:v>10.1907986453636</c:v>
                </c:pt>
                <c:pt idx="255">
                  <c:v>10.358067315215427</c:v>
                </c:pt>
                <c:pt idx="256">
                  <c:v>10.432214320907836</c:v>
                </c:pt>
                <c:pt idx="257">
                  <c:v>10.411396098673018</c:v>
                </c:pt>
                <c:pt idx="258">
                  <c:v>10.33892737909259</c:v>
                </c:pt>
                <c:pt idx="259">
                  <c:v>10.199637784052037</c:v>
                </c:pt>
                <c:pt idx="260">
                  <c:v>10.026748613577269</c:v>
                </c:pt>
                <c:pt idx="261">
                  <c:v>9.8710717968481028</c:v>
                </c:pt>
                <c:pt idx="262">
                  <c:v>9.7102782588574339</c:v>
                </c:pt>
                <c:pt idx="263">
                  <c:v>9.5908603552308733</c:v>
                </c:pt>
                <c:pt idx="264">
                  <c:v>9.5305796844860886</c:v>
                </c:pt>
                <c:pt idx="265">
                  <c:v>9.5012495262271415</c:v>
                </c:pt>
                <c:pt idx="266">
                  <c:v>9.5326556961671738</c:v>
                </c:pt>
                <c:pt idx="267">
                  <c:v>9.5871541763677204</c:v>
                </c:pt>
                <c:pt idx="268">
                  <c:v>9.6146931958394184</c:v>
                </c:pt>
                <c:pt idx="269">
                  <c:v>9.6163377651891917</c:v>
                </c:pt>
                <c:pt idx="270">
                  <c:v>9.5794704787759208</c:v>
                </c:pt>
                <c:pt idx="271">
                  <c:v>9.5357841851388283</c:v>
                </c:pt>
                <c:pt idx="272">
                  <c:v>9.5531600398170848</c:v>
                </c:pt>
                <c:pt idx="273">
                  <c:v>9.6480658380765405</c:v>
                </c:pt>
                <c:pt idx="274">
                  <c:v>9.8219634322200466</c:v>
                </c:pt>
                <c:pt idx="275">
                  <c:v>10.044733627213766</c:v>
                </c:pt>
                <c:pt idx="276">
                  <c:v>10.249998213403924</c:v>
                </c:pt>
                <c:pt idx="277">
                  <c:v>10.428038429832611</c:v>
                </c:pt>
                <c:pt idx="278">
                  <c:v>10.573989399904368</c:v>
                </c:pt>
                <c:pt idx="279">
                  <c:v>10.695754717367958</c:v>
                </c:pt>
                <c:pt idx="280">
                  <c:v>10.816929232153292</c:v>
                </c:pt>
                <c:pt idx="281">
                  <c:v>10.906547613558139</c:v>
                </c:pt>
                <c:pt idx="282">
                  <c:v>10.930733291956106</c:v>
                </c:pt>
                <c:pt idx="283">
                  <c:v>10.882888846668271</c:v>
                </c:pt>
                <c:pt idx="284">
                  <c:v>10.771820693746573</c:v>
                </c:pt>
                <c:pt idx="285">
                  <c:v>10.638624281325418</c:v>
                </c:pt>
                <c:pt idx="286">
                  <c:v>10.553612852607113</c:v>
                </c:pt>
                <c:pt idx="287">
                  <c:v>10.551266006617578</c:v>
                </c:pt>
                <c:pt idx="288">
                  <c:v>10.626771953502931</c:v>
                </c:pt>
                <c:pt idx="289">
                  <c:v>10.767706409571151</c:v>
                </c:pt>
                <c:pt idx="290">
                  <c:v>10.91692591468971</c:v>
                </c:pt>
                <c:pt idx="291">
                  <c:v>11.019200681136958</c:v>
                </c:pt>
                <c:pt idx="292">
                  <c:v>11.056799135247264</c:v>
                </c:pt>
                <c:pt idx="293">
                  <c:v>11.020604357225906</c:v>
                </c:pt>
                <c:pt idx="294">
                  <c:v>10.939111028526087</c:v>
                </c:pt>
                <c:pt idx="295">
                  <c:v>10.854326066623942</c:v>
                </c:pt>
                <c:pt idx="296">
                  <c:v>10.78699396804835</c:v>
                </c:pt>
                <c:pt idx="297">
                  <c:v>10.732113827113828</c:v>
                </c:pt>
                <c:pt idx="298">
                  <c:v>10.670375925265382</c:v>
                </c:pt>
                <c:pt idx="299">
                  <c:v>10.585953426192503</c:v>
                </c:pt>
                <c:pt idx="300">
                  <c:v>10.487855557214903</c:v>
                </c:pt>
                <c:pt idx="301">
                  <c:v>10.425707312797847</c:v>
                </c:pt>
                <c:pt idx="302">
                  <c:v>10.426550869647793</c:v>
                </c:pt>
                <c:pt idx="303">
                  <c:v>10.502736832051568</c:v>
                </c:pt>
                <c:pt idx="304">
                  <c:v>10.624756317526025</c:v>
                </c:pt>
                <c:pt idx="305">
                  <c:v>10.716449401369179</c:v>
                </c:pt>
                <c:pt idx="306">
                  <c:v>10.756036183929247</c:v>
                </c:pt>
                <c:pt idx="307">
                  <c:v>10.734761816545674</c:v>
                </c:pt>
                <c:pt idx="308">
                  <c:v>10.690297692612042</c:v>
                </c:pt>
                <c:pt idx="309">
                  <c:v>10.696472562138792</c:v>
                </c:pt>
                <c:pt idx="310">
                  <c:v>10.767127834665903</c:v>
                </c:pt>
                <c:pt idx="311">
                  <c:v>10.904161982888537</c:v>
                </c:pt>
                <c:pt idx="312">
                  <c:v>11.078707372110593</c:v>
                </c:pt>
                <c:pt idx="313">
                  <c:v>11.228078781559365</c:v>
                </c:pt>
                <c:pt idx="314">
                  <c:v>11.314908897082827</c:v>
                </c:pt>
                <c:pt idx="315">
                  <c:v>11.299850320712791</c:v>
                </c:pt>
                <c:pt idx="316">
                  <c:v>11.143950021483667</c:v>
                </c:pt>
                <c:pt idx="317">
                  <c:v>10.857277300861778</c:v>
                </c:pt>
                <c:pt idx="318">
                  <c:v>10.485380906239982</c:v>
                </c:pt>
                <c:pt idx="319">
                  <c:v>10.108799209080479</c:v>
                </c:pt>
                <c:pt idx="320">
                  <c:v>9.8176354095554199</c:v>
                </c:pt>
                <c:pt idx="321">
                  <c:v>9.669163716163828</c:v>
                </c:pt>
                <c:pt idx="322">
                  <c:v>9.654024706294166</c:v>
                </c:pt>
                <c:pt idx="323">
                  <c:v>9.7090974503745571</c:v>
                </c:pt>
                <c:pt idx="324">
                  <c:v>9.7899635641030294</c:v>
                </c:pt>
                <c:pt idx="325">
                  <c:v>9.8371120599454756</c:v>
                </c:pt>
                <c:pt idx="326">
                  <c:v>9.8309310793151319</c:v>
                </c:pt>
                <c:pt idx="327">
                  <c:v>9.7962433106810884</c:v>
                </c:pt>
                <c:pt idx="328">
                  <c:v>9.7233832170511718</c:v>
                </c:pt>
                <c:pt idx="329">
                  <c:v>9.6395439884253271</c:v>
                </c:pt>
                <c:pt idx="330">
                  <c:v>9.5818753577820122</c:v>
                </c:pt>
                <c:pt idx="331">
                  <c:v>9.5740619092471739</c:v>
                </c:pt>
                <c:pt idx="332">
                  <c:v>9.6501308371295345</c:v>
                </c:pt>
                <c:pt idx="333">
                  <c:v>9.8283721873022678</c:v>
                </c:pt>
                <c:pt idx="334">
                  <c:v>10.088190874148758</c:v>
                </c:pt>
                <c:pt idx="335">
                  <c:v>10.374442774839464</c:v>
                </c:pt>
                <c:pt idx="336">
                  <c:v>10.642227777375012</c:v>
                </c:pt>
                <c:pt idx="337">
                  <c:v>10.829770553896886</c:v>
                </c:pt>
                <c:pt idx="338">
                  <c:v>10.89541666316728</c:v>
                </c:pt>
                <c:pt idx="339">
                  <c:v>10.848236422886375</c:v>
                </c:pt>
                <c:pt idx="340">
                  <c:v>10.689789178346622</c:v>
                </c:pt>
                <c:pt idx="341">
                  <c:v>10.438751654332195</c:v>
                </c:pt>
                <c:pt idx="342">
                  <c:v>10.147766360157771</c:v>
                </c:pt>
                <c:pt idx="343">
                  <c:v>9.85116978397234</c:v>
                </c:pt>
                <c:pt idx="344">
                  <c:v>9.577978220308129</c:v>
                </c:pt>
                <c:pt idx="345">
                  <c:v>9.3729352545082207</c:v>
                </c:pt>
                <c:pt idx="346">
                  <c:v>9.2212890328848225</c:v>
                </c:pt>
                <c:pt idx="347">
                  <c:v>9.1133771889822057</c:v>
                </c:pt>
                <c:pt idx="348">
                  <c:v>9.0636469582341945</c:v>
                </c:pt>
                <c:pt idx="349">
                  <c:v>9.0617814905503185</c:v>
                </c:pt>
                <c:pt idx="350">
                  <c:v>9.1309137645020009</c:v>
                </c:pt>
                <c:pt idx="351">
                  <c:v>9.2740691860413413</c:v>
                </c:pt>
                <c:pt idx="352">
                  <c:v>9.4572488129731269</c:v>
                </c:pt>
                <c:pt idx="353">
                  <c:v>9.639974405507445</c:v>
                </c:pt>
                <c:pt idx="354">
                  <c:v>9.7665129837780356</c:v>
                </c:pt>
                <c:pt idx="355">
                  <c:v>9.7914768831021188</c:v>
                </c:pt>
                <c:pt idx="356">
                  <c:v>9.709636695965397</c:v>
                </c:pt>
                <c:pt idx="357">
                  <c:v>9.5506469843692567</c:v>
                </c:pt>
                <c:pt idx="358">
                  <c:v>9.3729755788549944</c:v>
                </c:pt>
                <c:pt idx="359">
                  <c:v>9.2461013789010984</c:v>
                </c:pt>
                <c:pt idx="360">
                  <c:v>9.2066012110180946</c:v>
                </c:pt>
                <c:pt idx="361">
                  <c:v>9.2407959705808906</c:v>
                </c:pt>
                <c:pt idx="362">
                  <c:v>9.3013261962184455</c:v>
                </c:pt>
                <c:pt idx="363">
                  <c:v>9.3288795675379763</c:v>
                </c:pt>
                <c:pt idx="364">
                  <c:v>9.2674356151450503</c:v>
                </c:pt>
                <c:pt idx="365">
                  <c:v>9.1119711775719612</c:v>
                </c:pt>
                <c:pt idx="366">
                  <c:v>8.8754412377554566</c:v>
                </c:pt>
                <c:pt idx="367">
                  <c:v>8.5805498939180822</c:v>
                </c:pt>
                <c:pt idx="368">
                  <c:v>8.281072074815274</c:v>
                </c:pt>
                <c:pt idx="369">
                  <c:v>8.0162236225386607</c:v>
                </c:pt>
                <c:pt idx="370">
                  <c:v>7.8344292164426426</c:v>
                </c:pt>
                <c:pt idx="371">
                  <c:v>7.762452342268567</c:v>
                </c:pt>
                <c:pt idx="372">
                  <c:v>7.7815595447702073</c:v>
                </c:pt>
                <c:pt idx="373">
                  <c:v>7.856501622051181</c:v>
                </c:pt>
                <c:pt idx="374">
                  <c:v>7.9060409186723311</c:v>
                </c:pt>
                <c:pt idx="375">
                  <c:v>7.8851865473309815</c:v>
                </c:pt>
                <c:pt idx="376">
                  <c:v>7.7990101305322099</c:v>
                </c:pt>
                <c:pt idx="377">
                  <c:v>7.6555833055336855</c:v>
                </c:pt>
                <c:pt idx="378">
                  <c:v>7.5374114895890347</c:v>
                </c:pt>
                <c:pt idx="379">
                  <c:v>7.5002429115501226</c:v>
                </c:pt>
                <c:pt idx="380">
                  <c:v>7.5488985578808032</c:v>
                </c:pt>
                <c:pt idx="381">
                  <c:v>7.6995189999821587</c:v>
                </c:pt>
                <c:pt idx="382">
                  <c:v>7.8904150147080152</c:v>
                </c:pt>
                <c:pt idx="383">
                  <c:v>8.0644876426061423</c:v>
                </c:pt>
                <c:pt idx="384">
                  <c:v>8.2025546635602922</c:v>
                </c:pt>
                <c:pt idx="385">
                  <c:v>8.2626627860297734</c:v>
                </c:pt>
                <c:pt idx="386">
                  <c:v>8.2572295123066972</c:v>
                </c:pt>
                <c:pt idx="387">
                  <c:v>8.1841708914691669</c:v>
                </c:pt>
                <c:pt idx="388">
                  <c:v>8.0373363822035575</c:v>
                </c:pt>
                <c:pt idx="389">
                  <c:v>7.8561671481103437</c:v>
                </c:pt>
                <c:pt idx="390">
                  <c:v>7.6589173557029309</c:v>
                </c:pt>
                <c:pt idx="391">
                  <c:v>7.4968612660957543</c:v>
                </c:pt>
                <c:pt idx="392">
                  <c:v>7.3837156203329641</c:v>
                </c:pt>
                <c:pt idx="393">
                  <c:v>7.2961507221597461</c:v>
                </c:pt>
                <c:pt idx="394">
                  <c:v>7.2152335698135577</c:v>
                </c:pt>
                <c:pt idx="395">
                  <c:v>7.0962249552835521</c:v>
                </c:pt>
                <c:pt idx="396">
                  <c:v>6.9434545043868807</c:v>
                </c:pt>
                <c:pt idx="397">
                  <c:v>6.7749824378839758</c:v>
                </c:pt>
                <c:pt idx="398">
                  <c:v>6.6077355902421839</c:v>
                </c:pt>
                <c:pt idx="399">
                  <c:v>6.4753159731570724</c:v>
                </c:pt>
                <c:pt idx="400">
                  <c:v>6.3891816462278506</c:v>
                </c:pt>
                <c:pt idx="401">
                  <c:v>6.3446637931855028</c:v>
                </c:pt>
                <c:pt idx="402">
                  <c:v>6.3420691402039191</c:v>
                </c:pt>
                <c:pt idx="403">
                  <c:v>6.3760290106775699</c:v>
                </c:pt>
                <c:pt idx="404">
                  <c:v>6.4256728357767781</c:v>
                </c:pt>
                <c:pt idx="405">
                  <c:v>6.4835667524481515</c:v>
                </c:pt>
                <c:pt idx="406">
                  <c:v>6.5381131490928857</c:v>
                </c:pt>
                <c:pt idx="407">
                  <c:v>6.5685734047372275</c:v>
                </c:pt>
                <c:pt idx="408">
                  <c:v>6.6038760496302071</c:v>
                </c:pt>
                <c:pt idx="409">
                  <c:v>6.6754154341687446</c:v>
                </c:pt>
                <c:pt idx="410">
                  <c:v>6.7861963799055935</c:v>
                </c:pt>
                <c:pt idx="411">
                  <c:v>6.9567066049320347</c:v>
                </c:pt>
                <c:pt idx="412">
                  <c:v>7.1300051496416383</c:v>
                </c:pt>
                <c:pt idx="413">
                  <c:v>7.2354898301930373</c:v>
                </c:pt>
                <c:pt idx="414">
                  <c:v>7.2528673138438711</c:v>
                </c:pt>
                <c:pt idx="415">
                  <c:v>7.1346716305315496</c:v>
                </c:pt>
                <c:pt idx="416">
                  <c:v>6.9152666854230658</c:v>
                </c:pt>
                <c:pt idx="417">
                  <c:v>6.6583074965798383</c:v>
                </c:pt>
                <c:pt idx="418">
                  <c:v>6.417972728025755</c:v>
                </c:pt>
                <c:pt idx="419">
                  <c:v>6.2578328131470444</c:v>
                </c:pt>
                <c:pt idx="420">
                  <c:v>6.1931283173362832</c:v>
                </c:pt>
                <c:pt idx="421">
                  <c:v>6.1960875396332042</c:v>
                </c:pt>
                <c:pt idx="422">
                  <c:v>6.1884734229816383</c:v>
                </c:pt>
                <c:pt idx="423">
                  <c:v>6.134685536132654</c:v>
                </c:pt>
                <c:pt idx="424">
                  <c:v>6.0072751531909345</c:v>
                </c:pt>
                <c:pt idx="425">
                  <c:v>5.8194385873721899</c:v>
                </c:pt>
                <c:pt idx="426">
                  <c:v>5.6512565461770983</c:v>
                </c:pt>
                <c:pt idx="427">
                  <c:v>5.5154537961344818</c:v>
                </c:pt>
                <c:pt idx="428">
                  <c:v>5.4288659115088169</c:v>
                </c:pt>
                <c:pt idx="429">
                  <c:v>5.3696981526321341</c:v>
                </c:pt>
                <c:pt idx="430">
                  <c:v>5.2855827422362447</c:v>
                </c:pt>
                <c:pt idx="431">
                  <c:v>5.1814271076266376</c:v>
                </c:pt>
                <c:pt idx="432">
                  <c:v>5.0557689489078808</c:v>
                </c:pt>
                <c:pt idx="433">
                  <c:v>4.964225786381359</c:v>
                </c:pt>
                <c:pt idx="434">
                  <c:v>4.948774964290422</c:v>
                </c:pt>
                <c:pt idx="435">
                  <c:v>5.0044441187977773</c:v>
                </c:pt>
                <c:pt idx="436">
                  <c:v>5.1539160945984763</c:v>
                </c:pt>
                <c:pt idx="437">
                  <c:v>5.3496855662606277</c:v>
                </c:pt>
                <c:pt idx="438">
                  <c:v>5.5648311677485527</c:v>
                </c:pt>
                <c:pt idx="439">
                  <c:v>5.798948785823927</c:v>
                </c:pt>
                <c:pt idx="440">
                  <c:v>5.9917702401388748</c:v>
                </c:pt>
                <c:pt idx="441">
                  <c:v>6.1300826552334158</c:v>
                </c:pt>
                <c:pt idx="442">
                  <c:v>6.1922518652302951</c:v>
                </c:pt>
                <c:pt idx="443">
                  <c:v>6.1485177670256483</c:v>
                </c:pt>
                <c:pt idx="444">
                  <c:v>6.0353738544482409</c:v>
                </c:pt>
                <c:pt idx="445">
                  <c:v>5.8606006088566183</c:v>
                </c:pt>
                <c:pt idx="446">
                  <c:v>5.6438065535721815</c:v>
                </c:pt>
                <c:pt idx="447">
                  <c:v>5.4208695387411669</c:v>
                </c:pt>
                <c:pt idx="448">
                  <c:v>5.1717974796282569</c:v>
                </c:pt>
                <c:pt idx="449">
                  <c:v>4.9137485897710267</c:v>
                </c:pt>
                <c:pt idx="450">
                  <c:v>4.6502807682280878</c:v>
                </c:pt>
                <c:pt idx="451">
                  <c:v>4.3770682088463584</c:v>
                </c:pt>
                <c:pt idx="452">
                  <c:v>4.1537291450629104</c:v>
                </c:pt>
                <c:pt idx="453">
                  <c:v>4.017214953888625</c:v>
                </c:pt>
                <c:pt idx="454">
                  <c:v>3.9935843342855755</c:v>
                </c:pt>
                <c:pt idx="455">
                  <c:v>4.0794901879914534</c:v>
                </c:pt>
                <c:pt idx="456">
                  <c:v>4.2124453428528348</c:v>
                </c:pt>
                <c:pt idx="457">
                  <c:v>4.3270638476371319</c:v>
                </c:pt>
                <c:pt idx="458">
                  <c:v>4.393014959904229</c:v>
                </c:pt>
                <c:pt idx="459">
                  <c:v>4.4201064428728047</c:v>
                </c:pt>
                <c:pt idx="460">
                  <c:v>4.4339083961315238</c:v>
                </c:pt>
                <c:pt idx="461">
                  <c:v>4.4716673393940862</c:v>
                </c:pt>
                <c:pt idx="462">
                  <c:v>4.5451104253267651</c:v>
                </c:pt>
                <c:pt idx="463">
                  <c:v>4.6432828901631478</c:v>
                </c:pt>
                <c:pt idx="464">
                  <c:v>4.7842669097156794</c:v>
                </c:pt>
                <c:pt idx="465">
                  <c:v>4.9539119901062216</c:v>
                </c:pt>
                <c:pt idx="466">
                  <c:v>5.1341009501673689</c:v>
                </c:pt>
                <c:pt idx="467">
                  <c:v>5.3032330616295269</c:v>
                </c:pt>
                <c:pt idx="468">
                  <c:v>5.3963291857025917</c:v>
                </c:pt>
                <c:pt idx="469">
                  <c:v>5.3925586227453941</c:v>
                </c:pt>
                <c:pt idx="470">
                  <c:v>5.2887389083273195</c:v>
                </c:pt>
                <c:pt idx="471">
                  <c:v>5.1309933581814144</c:v>
                </c:pt>
                <c:pt idx="472">
                  <c:v>4.991921317212662</c:v>
                </c:pt>
                <c:pt idx="473">
                  <c:v>4.9138675826171454</c:v>
                </c:pt>
                <c:pt idx="474">
                  <c:v>4.938429241210839</c:v>
                </c:pt>
                <c:pt idx="475">
                  <c:v>5.016563311414572</c:v>
                </c:pt>
                <c:pt idx="476">
                  <c:v>5.0873264210872158</c:v>
                </c:pt>
                <c:pt idx="477">
                  <c:v>5.114802580501447</c:v>
                </c:pt>
                <c:pt idx="478">
                  <c:v>5.0315145599238171</c:v>
                </c:pt>
                <c:pt idx="479">
                  <c:v>4.8563567309847393</c:v>
                </c:pt>
                <c:pt idx="480">
                  <c:v>4.6417716826720179</c:v>
                </c:pt>
                <c:pt idx="481">
                  <c:v>4.4180440534490781</c:v>
                </c:pt>
                <c:pt idx="482">
                  <c:v>4.2647679062608725</c:v>
                </c:pt>
                <c:pt idx="483">
                  <c:v>4.2297077103902057</c:v>
                </c:pt>
                <c:pt idx="484">
                  <c:v>4.3082520842413903</c:v>
                </c:pt>
                <c:pt idx="485">
                  <c:v>4.4933107924052882</c:v>
                </c:pt>
                <c:pt idx="486">
                  <c:v>4.7426076335792668</c:v>
                </c:pt>
                <c:pt idx="487">
                  <c:v>4.987660546322159</c:v>
                </c:pt>
                <c:pt idx="488">
                  <c:v>5.1827516606251383</c:v>
                </c:pt>
                <c:pt idx="489">
                  <c:v>5.309625620654062</c:v>
                </c:pt>
                <c:pt idx="490">
                  <c:v>5.3550865157260095</c:v>
                </c:pt>
                <c:pt idx="491">
                  <c:v>5.3524597191850916</c:v>
                </c:pt>
                <c:pt idx="492">
                  <c:v>5.3465730887608984</c:v>
                </c:pt>
                <c:pt idx="493">
                  <c:v>5.3667322272986109</c:v>
                </c:pt>
                <c:pt idx="494">
                  <c:v>5.4446797091924335</c:v>
                </c:pt>
                <c:pt idx="495">
                  <c:v>5.5571641630692312</c:v>
                </c:pt>
                <c:pt idx="496">
                  <c:v>5.6613675995112764</c:v>
                </c:pt>
                <c:pt idx="497">
                  <c:v>5.6900889717717948</c:v>
                </c:pt>
                <c:pt idx="498">
                  <c:v>5.5926479215586529</c:v>
                </c:pt>
                <c:pt idx="499">
                  <c:v>5.3840080657739771</c:v>
                </c:pt>
                <c:pt idx="500">
                  <c:v>5.1087582162977005</c:v>
                </c:pt>
                <c:pt idx="501">
                  <c:v>4.8574341036829241</c:v>
                </c:pt>
                <c:pt idx="502">
                  <c:v>4.7016988242179085</c:v>
                </c:pt>
                <c:pt idx="503">
                  <c:v>4.65879242230573</c:v>
                </c:pt>
                <c:pt idx="504">
                  <c:v>4.7070605897682025</c:v>
                </c:pt>
                <c:pt idx="505">
                  <c:v>4.793363660114025</c:v>
                </c:pt>
                <c:pt idx="506">
                  <c:v>4.8535013175716504</c:v>
                </c:pt>
                <c:pt idx="507">
                  <c:v>4.8535912605431015</c:v>
                </c:pt>
                <c:pt idx="508">
                  <c:v>4.7899135254214684</c:v>
                </c:pt>
                <c:pt idx="509">
                  <c:v>4.6797489242673045</c:v>
                </c:pt>
                <c:pt idx="510">
                  <c:v>4.5777283587414486</c:v>
                </c:pt>
                <c:pt idx="511">
                  <c:v>4.52306507322111</c:v>
                </c:pt>
                <c:pt idx="512">
                  <c:v>4.5538866158150668</c:v>
                </c:pt>
                <c:pt idx="513">
                  <c:v>4.6764491711636227</c:v>
                </c:pt>
                <c:pt idx="514">
                  <c:v>4.8714520409736988</c:v>
                </c:pt>
                <c:pt idx="515">
                  <c:v>5.1200496769310204</c:v>
                </c:pt>
                <c:pt idx="516">
                  <c:v>5.3745628987648857</c:v>
                </c:pt>
                <c:pt idx="517">
                  <c:v>5.5953069358183374</c:v>
                </c:pt>
                <c:pt idx="518">
                  <c:v>5.7472487050649468</c:v>
                </c:pt>
                <c:pt idx="519">
                  <c:v>5.8136135839981558</c:v>
                </c:pt>
                <c:pt idx="520">
                  <c:v>5.806961568526388</c:v>
                </c:pt>
                <c:pt idx="521">
                  <c:v>5.7840959429380376</c:v>
                </c:pt>
                <c:pt idx="522">
                  <c:v>5.7827467396924348</c:v>
                </c:pt>
                <c:pt idx="523">
                  <c:v>5.8209672981825573</c:v>
                </c:pt>
                <c:pt idx="524">
                  <c:v>5.8967957557936863</c:v>
                </c:pt>
                <c:pt idx="525">
                  <c:v>5.9613112846441663</c:v>
                </c:pt>
                <c:pt idx="526">
                  <c:v>5.9942024220515222</c:v>
                </c:pt>
                <c:pt idx="527">
                  <c:v>5.9734877652983158</c:v>
                </c:pt>
                <c:pt idx="528">
                  <c:v>5.889363559291767</c:v>
                </c:pt>
                <c:pt idx="529">
                  <c:v>5.7332548858707773</c:v>
                </c:pt>
                <c:pt idx="530">
                  <c:v>5.5053420538194597</c:v>
                </c:pt>
                <c:pt idx="531">
                  <c:v>5.2377730623376211</c:v>
                </c:pt>
                <c:pt idx="532">
                  <c:v>4.9775581433984009</c:v>
                </c:pt>
                <c:pt idx="533">
                  <c:v>4.816206777883818</c:v>
                </c:pt>
                <c:pt idx="534">
                  <c:v>4.7983422694260724</c:v>
                </c:pt>
                <c:pt idx="535">
                  <c:v>4.9215071069609317</c:v>
                </c:pt>
                <c:pt idx="536">
                  <c:v>5.1576837277864964</c:v>
                </c:pt>
                <c:pt idx="537">
                  <c:v>5.4144057846459361</c:v>
                </c:pt>
                <c:pt idx="538">
                  <c:v>5.6393567883770199</c:v>
                </c:pt>
                <c:pt idx="539">
                  <c:v>5.8169079825317889</c:v>
                </c:pt>
                <c:pt idx="540">
                  <c:v>5.9345566310154059</c:v>
                </c:pt>
                <c:pt idx="541">
                  <c:v>6.0260865802454102</c:v>
                </c:pt>
                <c:pt idx="542">
                  <c:v>6.1241114574212299</c:v>
                </c:pt>
                <c:pt idx="543">
                  <c:v>6.2424398718985339</c:v>
                </c:pt>
                <c:pt idx="544">
                  <c:v>6.4004711726626864</c:v>
                </c:pt>
                <c:pt idx="545">
                  <c:v>6.609428567017595</c:v>
                </c:pt>
                <c:pt idx="546">
                  <c:v>6.8547211483851598</c:v>
                </c:pt>
                <c:pt idx="547">
                  <c:v>7.1205927008340026</c:v>
                </c:pt>
                <c:pt idx="548">
                  <c:v>7.3883969023234481</c:v>
                </c:pt>
                <c:pt idx="549">
                  <c:v>7.6158579005163096</c:v>
                </c:pt>
                <c:pt idx="550">
                  <c:v>7.7698251486337453</c:v>
                </c:pt>
                <c:pt idx="551">
                  <c:v>7.8278295657224195</c:v>
                </c:pt>
                <c:pt idx="552">
                  <c:v>7.7662820014176912</c:v>
                </c:pt>
                <c:pt idx="553">
                  <c:v>7.5947664431271935</c:v>
                </c:pt>
                <c:pt idx="554">
                  <c:v>7.3346037660911652</c:v>
                </c:pt>
                <c:pt idx="555">
                  <c:v>7.013901079313273</c:v>
                </c:pt>
                <c:pt idx="556">
                  <c:v>6.6895465295631586</c:v>
                </c:pt>
                <c:pt idx="557">
                  <c:v>6.3938764448453416</c:v>
                </c:pt>
                <c:pt idx="558">
                  <c:v>6.1732720587361767</c:v>
                </c:pt>
                <c:pt idx="559">
                  <c:v>6.0645305288641342</c:v>
                </c:pt>
                <c:pt idx="560">
                  <c:v>6.0480841996023331</c:v>
                </c:pt>
                <c:pt idx="561">
                  <c:v>6.1359944970114775</c:v>
                </c:pt>
                <c:pt idx="562">
                  <c:v>6.2979270559347391</c:v>
                </c:pt>
                <c:pt idx="563">
                  <c:v>6.4702889758415454</c:v>
                </c:pt>
                <c:pt idx="564">
                  <c:v>6.6568708320842847</c:v>
                </c:pt>
                <c:pt idx="565">
                  <c:v>6.8167661019972243</c:v>
                </c:pt>
                <c:pt idx="566">
                  <c:v>6.9288320284486158</c:v>
                </c:pt>
                <c:pt idx="567">
                  <c:v>7.0404227400279726</c:v>
                </c:pt>
                <c:pt idx="568">
                  <c:v>7.1199429501979257</c:v>
                </c:pt>
                <c:pt idx="569">
                  <c:v>7.1742618667484575</c:v>
                </c:pt>
                <c:pt idx="570">
                  <c:v>7.228731102512759</c:v>
                </c:pt>
                <c:pt idx="571">
                  <c:v>7.2641650271086968</c:v>
                </c:pt>
                <c:pt idx="572">
                  <c:v>7.3347067090435516</c:v>
                </c:pt>
                <c:pt idx="573">
                  <c:v>7.4507724787963809</c:v>
                </c:pt>
                <c:pt idx="574">
                  <c:v>7.5946976529030517</c:v>
                </c:pt>
                <c:pt idx="575">
                  <c:v>7.7473753570606689</c:v>
                </c:pt>
                <c:pt idx="576">
                  <c:v>7.8492567818500358</c:v>
                </c:pt>
                <c:pt idx="577">
                  <c:v>7.8997243852896641</c:v>
                </c:pt>
                <c:pt idx="578">
                  <c:v>7.9260893116350504</c:v>
                </c:pt>
                <c:pt idx="579">
                  <c:v>7.9542031155793032</c:v>
                </c:pt>
                <c:pt idx="580">
                  <c:v>8.0172500211544051</c:v>
                </c:pt>
                <c:pt idx="581">
                  <c:v>8.1008196553091416</c:v>
                </c:pt>
                <c:pt idx="582">
                  <c:v>8.1443392180493746</c:v>
                </c:pt>
                <c:pt idx="583">
                  <c:v>8.1271836885275448</c:v>
                </c:pt>
                <c:pt idx="584">
                  <c:v>8.0472827209006557</c:v>
                </c:pt>
                <c:pt idx="585">
                  <c:v>7.9272594774160545</c:v>
                </c:pt>
                <c:pt idx="586">
                  <c:v>7.8522708676341963</c:v>
                </c:pt>
                <c:pt idx="587">
                  <c:v>7.8637057412347415</c:v>
                </c:pt>
                <c:pt idx="588">
                  <c:v>7.9654487473977733</c:v>
                </c:pt>
                <c:pt idx="589">
                  <c:v>8.1550027106078709</c:v>
                </c:pt>
                <c:pt idx="590">
                  <c:v>8.3689528899463799</c:v>
                </c:pt>
                <c:pt idx="591">
                  <c:v>8.5549901254695566</c:v>
                </c:pt>
                <c:pt idx="592">
                  <c:v>8.6974523720175032</c:v>
                </c:pt>
                <c:pt idx="593">
                  <c:v>8.7680494863835534</c:v>
                </c:pt>
                <c:pt idx="594">
                  <c:v>8.7977736067954773</c:v>
                </c:pt>
                <c:pt idx="595">
                  <c:v>8.8314627653963349</c:v>
                </c:pt>
                <c:pt idx="596">
                  <c:v>8.897543836007543</c:v>
                </c:pt>
                <c:pt idx="597">
                  <c:v>9.0458671535573565</c:v>
                </c:pt>
                <c:pt idx="598">
                  <c:v>9.272051851295684</c:v>
                </c:pt>
                <c:pt idx="599">
                  <c:v>9.5497491868786231</c:v>
                </c:pt>
                <c:pt idx="600">
                  <c:v>9.8337842066885734</c:v>
                </c:pt>
                <c:pt idx="601">
                  <c:v>10.059488022761013</c:v>
                </c:pt>
                <c:pt idx="602">
                  <c:v>10.20755120279526</c:v>
                </c:pt>
                <c:pt idx="603">
                  <c:v>10.265957380630319</c:v>
                </c:pt>
                <c:pt idx="604">
                  <c:v>10.265537840422915</c:v>
                </c:pt>
                <c:pt idx="605">
                  <c:v>10.237534854738737</c:v>
                </c:pt>
                <c:pt idx="606">
                  <c:v>10.164253084479089</c:v>
                </c:pt>
                <c:pt idx="607">
                  <c:v>10.05492927797884</c:v>
                </c:pt>
                <c:pt idx="608">
                  <c:v>9.8986862076861666</c:v>
                </c:pt>
                <c:pt idx="609">
                  <c:v>9.7269867348397483</c:v>
                </c:pt>
                <c:pt idx="610">
                  <c:v>9.6017390547213815</c:v>
                </c:pt>
                <c:pt idx="611">
                  <c:v>9.5527187740822548</c:v>
                </c:pt>
                <c:pt idx="612">
                  <c:v>9.5970680377555801</c:v>
                </c:pt>
                <c:pt idx="613">
                  <c:v>9.6869644338146941</c:v>
                </c:pt>
                <c:pt idx="614">
                  <c:v>9.8029513553241685</c:v>
                </c:pt>
                <c:pt idx="615">
                  <c:v>9.9178124250999957</c:v>
                </c:pt>
                <c:pt idx="616">
                  <c:v>10.002326996606056</c:v>
                </c:pt>
                <c:pt idx="617">
                  <c:v>10.069506878398979</c:v>
                </c:pt>
                <c:pt idx="618">
                  <c:v>10.074367319809252</c:v>
                </c:pt>
                <c:pt idx="619">
                  <c:v>10.028040459743982</c:v>
                </c:pt>
                <c:pt idx="620">
                  <c:v>9.9824820837250066</c:v>
                </c:pt>
                <c:pt idx="621">
                  <c:v>9.971291793514812</c:v>
                </c:pt>
                <c:pt idx="622">
                  <c:v>10.06325522990937</c:v>
                </c:pt>
                <c:pt idx="623">
                  <c:v>10.250259007055579</c:v>
                </c:pt>
                <c:pt idx="624">
                  <c:v>10.478048572062011</c:v>
                </c:pt>
                <c:pt idx="625">
                  <c:v>10.720363244542964</c:v>
                </c:pt>
                <c:pt idx="626">
                  <c:v>10.924294315637308</c:v>
                </c:pt>
                <c:pt idx="627">
                  <c:v>11.08850621967389</c:v>
                </c:pt>
                <c:pt idx="628">
                  <c:v>11.222212375949089</c:v>
                </c:pt>
                <c:pt idx="629">
                  <c:v>11.282362166934657</c:v>
                </c:pt>
                <c:pt idx="630">
                  <c:v>11.265580271182586</c:v>
                </c:pt>
                <c:pt idx="631">
                  <c:v>11.142558857714349</c:v>
                </c:pt>
                <c:pt idx="632">
                  <c:v>10.91385983186181</c:v>
                </c:pt>
                <c:pt idx="633">
                  <c:v>10.642911874009865</c:v>
                </c:pt>
                <c:pt idx="634">
                  <c:v>10.375720912201752</c:v>
                </c:pt>
                <c:pt idx="635">
                  <c:v>10.20510053102247</c:v>
                </c:pt>
                <c:pt idx="636">
                  <c:v>10.170005631720016</c:v>
                </c:pt>
                <c:pt idx="637">
                  <c:v>10.258769983003646</c:v>
                </c:pt>
                <c:pt idx="638">
                  <c:v>10.427599162664821</c:v>
                </c:pt>
                <c:pt idx="639">
                  <c:v>10.565511313412753</c:v>
                </c:pt>
                <c:pt idx="640">
                  <c:v>10.624417632456764</c:v>
                </c:pt>
                <c:pt idx="641">
                  <c:v>10.578657756808941</c:v>
                </c:pt>
                <c:pt idx="642">
                  <c:v>10.451164373563964</c:v>
                </c:pt>
                <c:pt idx="643">
                  <c:v>10.315956634411158</c:v>
                </c:pt>
                <c:pt idx="644">
                  <c:v>10.204192507070069</c:v>
                </c:pt>
                <c:pt idx="645">
                  <c:v>10.142388023490078</c:v>
                </c:pt>
                <c:pt idx="646">
                  <c:v>10.141520498879515</c:v>
                </c:pt>
                <c:pt idx="647">
                  <c:v>10.190686405328755</c:v>
                </c:pt>
                <c:pt idx="648">
                  <c:v>10.281858068856835</c:v>
                </c:pt>
                <c:pt idx="649">
                  <c:v>10.423898367720112</c:v>
                </c:pt>
                <c:pt idx="650">
                  <c:v>10.599723040799862</c:v>
                </c:pt>
                <c:pt idx="651">
                  <c:v>10.801906205988729</c:v>
                </c:pt>
                <c:pt idx="652">
                  <c:v>11.031943749088988</c:v>
                </c:pt>
                <c:pt idx="653">
                  <c:v>11.263101478436944</c:v>
                </c:pt>
                <c:pt idx="654">
                  <c:v>11.497007465707927</c:v>
                </c:pt>
                <c:pt idx="655">
                  <c:v>11.704226316886412</c:v>
                </c:pt>
                <c:pt idx="656">
                  <c:v>11.854113741222985</c:v>
                </c:pt>
                <c:pt idx="657">
                  <c:v>11.908159483144395</c:v>
                </c:pt>
                <c:pt idx="658">
                  <c:v>11.835507739110742</c:v>
                </c:pt>
                <c:pt idx="659">
                  <c:v>11.65227563252097</c:v>
                </c:pt>
                <c:pt idx="660">
                  <c:v>11.369262417752552</c:v>
                </c:pt>
                <c:pt idx="661">
                  <c:v>11.063249332003913</c:v>
                </c:pt>
                <c:pt idx="662">
                  <c:v>10.771375824138561</c:v>
                </c:pt>
                <c:pt idx="663">
                  <c:v>10.507016208917772</c:v>
                </c:pt>
                <c:pt idx="664">
                  <c:v>10.319548631211372</c:v>
                </c:pt>
                <c:pt idx="665">
                  <c:v>10.176189304633834</c:v>
                </c:pt>
                <c:pt idx="666">
                  <c:v>10.088708039844636</c:v>
                </c:pt>
                <c:pt idx="667">
                  <c:v>10.070476103343191</c:v>
                </c:pt>
                <c:pt idx="668">
                  <c:v>10.077213045534362</c:v>
                </c:pt>
                <c:pt idx="669">
                  <c:v>10.12922926294652</c:v>
                </c:pt>
                <c:pt idx="670">
                  <c:v>10.2165711666494</c:v>
                </c:pt>
                <c:pt idx="671">
                  <c:v>10.331792770300869</c:v>
                </c:pt>
                <c:pt idx="672">
                  <c:v>10.490444653354956</c:v>
                </c:pt>
                <c:pt idx="673">
                  <c:v>10.663119304792252</c:v>
                </c:pt>
                <c:pt idx="674">
                  <c:v>10.83305283653517</c:v>
                </c:pt>
                <c:pt idx="675">
                  <c:v>10.973942839086085</c:v>
                </c:pt>
                <c:pt idx="676">
                  <c:v>11.093007023515627</c:v>
                </c:pt>
                <c:pt idx="677">
                  <c:v>11.204920266178387</c:v>
                </c:pt>
                <c:pt idx="678">
                  <c:v>11.33123434947295</c:v>
                </c:pt>
                <c:pt idx="679">
                  <c:v>11.498481938342556</c:v>
                </c:pt>
                <c:pt idx="680">
                  <c:v>11.662858200132076</c:v>
                </c:pt>
                <c:pt idx="681">
                  <c:v>11.814287921611569</c:v>
                </c:pt>
                <c:pt idx="682">
                  <c:v>11.907730021269261</c:v>
                </c:pt>
                <c:pt idx="683">
                  <c:v>11.899332993092855</c:v>
                </c:pt>
                <c:pt idx="684">
                  <c:v>11.81453099383147</c:v>
                </c:pt>
                <c:pt idx="685">
                  <c:v>11.652470557402998</c:v>
                </c:pt>
                <c:pt idx="686">
                  <c:v>11.458286615900057</c:v>
                </c:pt>
                <c:pt idx="687">
                  <c:v>11.294271132883182</c:v>
                </c:pt>
                <c:pt idx="688">
                  <c:v>11.203133563227242</c:v>
                </c:pt>
                <c:pt idx="689">
                  <c:v>11.196626991328241</c:v>
                </c:pt>
                <c:pt idx="690">
                  <c:v>11.244805361437272</c:v>
                </c:pt>
                <c:pt idx="691">
                  <c:v>11.290358230518663</c:v>
                </c:pt>
                <c:pt idx="692">
                  <c:v>11.244439402534518</c:v>
                </c:pt>
                <c:pt idx="693">
                  <c:v>11.092382782049054</c:v>
                </c:pt>
                <c:pt idx="694">
                  <c:v>10.870417883576003</c:v>
                </c:pt>
                <c:pt idx="695">
                  <c:v>10.623767632536925</c:v>
                </c:pt>
                <c:pt idx="696">
                  <c:v>10.419882350546752</c:v>
                </c:pt>
                <c:pt idx="697">
                  <c:v>10.277916071118927</c:v>
                </c:pt>
                <c:pt idx="698">
                  <c:v>10.183958212885116</c:v>
                </c:pt>
                <c:pt idx="699">
                  <c:v>10.141440929863908</c:v>
                </c:pt>
                <c:pt idx="700">
                  <c:v>10.169393196969525</c:v>
                </c:pt>
                <c:pt idx="701">
                  <c:v>10.276420151705768</c:v>
                </c:pt>
                <c:pt idx="702">
                  <c:v>10.450827183223138</c:v>
                </c:pt>
                <c:pt idx="703">
                  <c:v>10.645297380278098</c:v>
                </c:pt>
                <c:pt idx="704">
                  <c:v>10.800511757134363</c:v>
                </c:pt>
                <c:pt idx="705">
                  <c:v>10.880959439367896</c:v>
                </c:pt>
                <c:pt idx="706">
                  <c:v>10.898378207669339</c:v>
                </c:pt>
                <c:pt idx="707">
                  <c:v>10.901981152404799</c:v>
                </c:pt>
                <c:pt idx="708">
                  <c:v>10.923890093897384</c:v>
                </c:pt>
                <c:pt idx="709">
                  <c:v>10.997674535185263</c:v>
                </c:pt>
                <c:pt idx="710">
                  <c:v>11.113846019860237</c:v>
                </c:pt>
                <c:pt idx="711">
                  <c:v>11.232241997417196</c:v>
                </c:pt>
                <c:pt idx="712">
                  <c:v>11.331525517098678</c:v>
                </c:pt>
                <c:pt idx="713">
                  <c:v>11.382922561481973</c:v>
                </c:pt>
                <c:pt idx="714">
                  <c:v>11.371273405286146</c:v>
                </c:pt>
                <c:pt idx="715">
                  <c:v>11.30167465486894</c:v>
                </c:pt>
                <c:pt idx="716">
                  <c:v>11.161949570118695</c:v>
                </c:pt>
                <c:pt idx="717">
                  <c:v>10.93039434534758</c:v>
                </c:pt>
                <c:pt idx="718">
                  <c:v>10.635541488695004</c:v>
                </c:pt>
                <c:pt idx="719">
                  <c:v>10.303740450637898</c:v>
                </c:pt>
                <c:pt idx="720">
                  <c:v>10.00237671015358</c:v>
                </c:pt>
                <c:pt idx="721">
                  <c:v>9.8078273128901756</c:v>
                </c:pt>
                <c:pt idx="722">
                  <c:v>9.7023204006403674</c:v>
                </c:pt>
                <c:pt idx="723">
                  <c:v>9.6739110758148286</c:v>
                </c:pt>
                <c:pt idx="724">
                  <c:v>9.674785288768323</c:v>
                </c:pt>
                <c:pt idx="725">
                  <c:v>9.6707829543851194</c:v>
                </c:pt>
                <c:pt idx="726">
                  <c:v>9.6963029219525421</c:v>
                </c:pt>
                <c:pt idx="727">
                  <c:v>9.7529587977716723</c:v>
                </c:pt>
                <c:pt idx="728">
                  <c:v>9.8240360045428581</c:v>
                </c:pt>
                <c:pt idx="729">
                  <c:v>9.8727172199206485</c:v>
                </c:pt>
                <c:pt idx="730">
                  <c:v>9.8636303383145716</c:v>
                </c:pt>
                <c:pt idx="731">
                  <c:v>9.7821633453507175</c:v>
                </c:pt>
                <c:pt idx="732">
                  <c:v>9.6686161967166804</c:v>
                </c:pt>
                <c:pt idx="733">
                  <c:v>9.5777928487790085</c:v>
                </c:pt>
                <c:pt idx="734">
                  <c:v>9.5020714534862272</c:v>
                </c:pt>
                <c:pt idx="735">
                  <c:v>9.4586455211910199</c:v>
                </c:pt>
                <c:pt idx="736">
                  <c:v>9.417842861446486</c:v>
                </c:pt>
                <c:pt idx="737">
                  <c:v>9.3278494455552785</c:v>
                </c:pt>
                <c:pt idx="738">
                  <c:v>9.2228284637768621</c:v>
                </c:pt>
                <c:pt idx="739">
                  <c:v>9.0963869558171773</c:v>
                </c:pt>
                <c:pt idx="740">
                  <c:v>8.9661115836122534</c:v>
                </c:pt>
                <c:pt idx="741">
                  <c:v>8.8711274716385269</c:v>
                </c:pt>
                <c:pt idx="742">
                  <c:v>8.7636618647851847</c:v>
                </c:pt>
                <c:pt idx="743">
                  <c:v>8.6358627346835686</c:v>
                </c:pt>
                <c:pt idx="744">
                  <c:v>8.4875229365023088</c:v>
                </c:pt>
                <c:pt idx="745">
                  <c:v>8.3187764503559656</c:v>
                </c:pt>
              </c:numCache>
            </c:numRef>
          </c:yVal>
          <c:smooth val="1"/>
          <c:extLst>
            <c:ext xmlns:c16="http://schemas.microsoft.com/office/drawing/2014/chart" uri="{C3380CC4-5D6E-409C-BE32-E72D297353CC}">
              <c16:uniqueId val="{00000005-1FAC-42BF-855F-470D99638BCE}"/>
            </c:ext>
          </c:extLst>
        </c:ser>
        <c:ser>
          <c:idx val="0"/>
          <c:order val="1"/>
          <c:tx>
            <c:strRef>
              <c:f>'Analyses and solution'!$B$1</c:f>
              <c:strCache>
                <c:ptCount val="1"/>
                <c:pt idx="0">
                  <c:v>Algal Growth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yVal>
          <c:smooth val="1"/>
          <c:extLst>
            <c:ext xmlns:c16="http://schemas.microsoft.com/office/drawing/2014/chart" uri="{C3380CC4-5D6E-409C-BE32-E72D297353CC}">
              <c16:uniqueId val="{00000002-1FAC-42BF-855F-470D99638BCE}"/>
            </c:ext>
          </c:extLst>
        </c:ser>
        <c:ser>
          <c:idx val="1"/>
          <c:order val="2"/>
          <c:tx>
            <c:strRef>
              <c:f>'Analyses and solution'!$M$1</c:f>
              <c:strCache>
                <c:ptCount val="1"/>
                <c:pt idx="0">
                  <c:v>4-period-4thOrder-MA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solution'!$M$2:$M$747</c:f>
              <c:numCache>
                <c:formatCode>General</c:formatCode>
                <c:ptCount val="746"/>
                <c:pt idx="0">
                  <c:v>6.9345063332049524</c:v>
                </c:pt>
                <c:pt idx="1">
                  <c:v>8.5979184250940595</c:v>
                </c:pt>
                <c:pt idx="2">
                  <c:v>9.3137399550813367</c:v>
                </c:pt>
                <c:pt idx="3">
                  <c:v>6.9331676929999997</c:v>
                </c:pt>
                <c:pt idx="4">
                  <c:v>7.9448331019999996</c:v>
                </c:pt>
                <c:pt idx="5">
                  <c:v>7.6824857519999998</c:v>
                </c:pt>
                <c:pt idx="6">
                  <c:v>7.348536513</c:v>
                </c:pt>
                <c:pt idx="7">
                  <c:v>6.8907626349999997</c:v>
                </c:pt>
                <c:pt idx="8">
                  <c:v>7.4666544999999998</c:v>
                </c:pt>
                <c:pt idx="9">
                  <c:v>7.1591093170000004</c:v>
                </c:pt>
                <c:pt idx="10">
                  <c:v>7.1208646440000001</c:v>
                </c:pt>
                <c:pt idx="11">
                  <c:v>7.212017103</c:v>
                </c:pt>
                <c:pt idx="12">
                  <c:v>7.2396613910000003</c:v>
                </c:pt>
                <c:pt idx="13">
                  <c:v>7.1946533109999997</c:v>
                </c:pt>
                <c:pt idx="14">
                  <c:v>7.2704381140000001</c:v>
                </c:pt>
                <c:pt idx="15">
                  <c:v>7.3080121489999996</c:v>
                </c:pt>
                <c:pt idx="16">
                  <c:v>7.2531912412787367</c:v>
                </c:pt>
                <c:pt idx="17">
                  <c:v>7.2519390116610332</c:v>
                </c:pt>
                <c:pt idx="18">
                  <c:v>7.232212327099413</c:v>
                </c:pt>
                <c:pt idx="19">
                  <c:v>7.1349663909656487</c:v>
                </c:pt>
                <c:pt idx="20">
                  <c:v>6.9723084878457895</c:v>
                </c:pt>
                <c:pt idx="21">
                  <c:v>6.7911107152454768</c:v>
                </c:pt>
                <c:pt idx="22">
                  <c:v>6.595175496034221</c:v>
                </c:pt>
                <c:pt idx="23">
                  <c:v>6.42027500668559</c:v>
                </c:pt>
                <c:pt idx="24">
                  <c:v>6.2627467573644129</c:v>
                </c:pt>
                <c:pt idx="25">
                  <c:v>6.1008563270295282</c:v>
                </c:pt>
                <c:pt idx="26">
                  <c:v>5.9483165311346262</c:v>
                </c:pt>
                <c:pt idx="27">
                  <c:v>5.8073313770305912</c:v>
                </c:pt>
                <c:pt idx="28">
                  <c:v>5.6849343270243891</c:v>
                </c:pt>
                <c:pt idx="29">
                  <c:v>5.5836205336981717</c:v>
                </c:pt>
                <c:pt idx="30">
                  <c:v>5.5193770717726718</c:v>
                </c:pt>
                <c:pt idx="31">
                  <c:v>5.5092402273057415</c:v>
                </c:pt>
                <c:pt idx="32">
                  <c:v>5.5904051546113438</c:v>
                </c:pt>
                <c:pt idx="33">
                  <c:v>5.7988357857398816</c:v>
                </c:pt>
                <c:pt idx="34">
                  <c:v>6.1053027277697254</c:v>
                </c:pt>
                <c:pt idx="35">
                  <c:v>6.4409377933957943</c:v>
                </c:pt>
                <c:pt idx="36">
                  <c:v>6.6913998477312138</c:v>
                </c:pt>
                <c:pt idx="37">
                  <c:v>6.7593897358974884</c:v>
                </c:pt>
                <c:pt idx="38">
                  <c:v>6.6285757475795268</c:v>
                </c:pt>
                <c:pt idx="39">
                  <c:v>6.3579179115624482</c:v>
                </c:pt>
                <c:pt idx="40">
                  <c:v>6.0450695232627734</c:v>
                </c:pt>
                <c:pt idx="41">
                  <c:v>5.7877628531854057</c:v>
                </c:pt>
                <c:pt idx="42">
                  <c:v>5.6261456414071915</c:v>
                </c:pt>
                <c:pt idx="43">
                  <c:v>5.5465022450062182</c:v>
                </c:pt>
                <c:pt idx="44">
                  <c:v>5.5477686146772323</c:v>
                </c:pt>
                <c:pt idx="45">
                  <c:v>5.5957450810514953</c:v>
                </c:pt>
                <c:pt idx="46">
                  <c:v>5.682243974101965</c:v>
                </c:pt>
                <c:pt idx="47">
                  <c:v>5.801225969159197</c:v>
                </c:pt>
                <c:pt idx="48">
                  <c:v>5.8885782890108116</c:v>
                </c:pt>
                <c:pt idx="49">
                  <c:v>5.9122455743752003</c:v>
                </c:pt>
                <c:pt idx="50">
                  <c:v>5.8281195956823764</c:v>
                </c:pt>
                <c:pt idx="51">
                  <c:v>5.624923187173211</c:v>
                </c:pt>
                <c:pt idx="52">
                  <c:v>5.349896177420848</c:v>
                </c:pt>
                <c:pt idx="53">
                  <c:v>5.0445465546251587</c:v>
                </c:pt>
                <c:pt idx="54">
                  <c:v>4.7634074572637424</c:v>
                </c:pt>
                <c:pt idx="55">
                  <c:v>4.5452274947853004</c:v>
                </c:pt>
                <c:pt idx="56">
                  <c:v>4.3924679182675064</c:v>
                </c:pt>
                <c:pt idx="57">
                  <c:v>4.3138411555624847</c:v>
                </c:pt>
                <c:pt idx="58">
                  <c:v>4.3121354338745155</c:v>
                </c:pt>
                <c:pt idx="59">
                  <c:v>4.3464783155611775</c:v>
                </c:pt>
                <c:pt idx="60">
                  <c:v>4.4133491220835452</c:v>
                </c:pt>
                <c:pt idx="61">
                  <c:v>4.5039661305551606</c:v>
                </c:pt>
                <c:pt idx="62">
                  <c:v>4.6048079946095699</c:v>
                </c:pt>
                <c:pt idx="63">
                  <c:v>4.7853142969597098</c:v>
                </c:pt>
                <c:pt idx="64">
                  <c:v>5.0612772254933933</c:v>
                </c:pt>
                <c:pt idx="65">
                  <c:v>5.4027075804935176</c:v>
                </c:pt>
                <c:pt idx="66">
                  <c:v>5.7798529450364882</c:v>
                </c:pt>
                <c:pt idx="67">
                  <c:v>6.0876020440186949</c:v>
                </c:pt>
                <c:pt idx="68">
                  <c:v>6.2449296101086658</c:v>
                </c:pt>
                <c:pt idx="69">
                  <c:v>6.2600420014639635</c:v>
                </c:pt>
                <c:pt idx="70">
                  <c:v>6.1324596422984357</c:v>
                </c:pt>
                <c:pt idx="71">
                  <c:v>5.8949821775619986</c:v>
                </c:pt>
                <c:pt idx="72">
                  <c:v>5.618431769366218</c:v>
                </c:pt>
                <c:pt idx="73">
                  <c:v>5.2891389250052185</c:v>
                </c:pt>
                <c:pt idx="74">
                  <c:v>4.9287595761902061</c:v>
                </c:pt>
                <c:pt idx="75">
                  <c:v>4.5715151479689329</c:v>
                </c:pt>
                <c:pt idx="76">
                  <c:v>4.2086436803660074</c:v>
                </c:pt>
                <c:pt idx="77">
                  <c:v>3.899956064879337</c:v>
                </c:pt>
                <c:pt idx="78">
                  <c:v>3.6769534119201959</c:v>
                </c:pt>
                <c:pt idx="79">
                  <c:v>3.5565529740582202</c:v>
                </c:pt>
                <c:pt idx="80">
                  <c:v>3.5511534632939252</c:v>
                </c:pt>
                <c:pt idx="81">
                  <c:v>3.6356621355490724</c:v>
                </c:pt>
                <c:pt idx="82">
                  <c:v>3.7748317103632827</c:v>
                </c:pt>
                <c:pt idx="83">
                  <c:v>3.9266691479830866</c:v>
                </c:pt>
                <c:pt idx="84">
                  <c:v>4.0770594403010332</c:v>
                </c:pt>
                <c:pt idx="85">
                  <c:v>4.1928362667001622</c:v>
                </c:pt>
                <c:pt idx="86">
                  <c:v>4.2715687008379977</c:v>
                </c:pt>
                <c:pt idx="87">
                  <c:v>4.3252920692416374</c:v>
                </c:pt>
                <c:pt idx="88">
                  <c:v>4.3381076687698448</c:v>
                </c:pt>
                <c:pt idx="89">
                  <c:v>4.3515023205925818</c:v>
                </c:pt>
                <c:pt idx="90">
                  <c:v>4.3832631081207341</c:v>
                </c:pt>
                <c:pt idx="91">
                  <c:v>4.4161465174047665</c:v>
                </c:pt>
                <c:pt idx="92">
                  <c:v>4.4630618466160534</c:v>
                </c:pt>
                <c:pt idx="93">
                  <c:v>4.4758761916716576</c:v>
                </c:pt>
                <c:pt idx="94">
                  <c:v>4.406214500895361</c:v>
                </c:pt>
                <c:pt idx="95">
                  <c:v>4.2623933585800451</c:v>
                </c:pt>
                <c:pt idx="96">
                  <c:v>4.0445802464334646</c:v>
                </c:pt>
                <c:pt idx="97">
                  <c:v>3.809488096925187</c:v>
                </c:pt>
                <c:pt idx="98">
                  <c:v>3.6514799946509844</c:v>
                </c:pt>
                <c:pt idx="99">
                  <c:v>3.621386658921927</c:v>
                </c:pt>
                <c:pt idx="100">
                  <c:v>3.7260809096193501</c:v>
                </c:pt>
                <c:pt idx="101">
                  <c:v>3.9169818767376254</c:v>
                </c:pt>
                <c:pt idx="102">
                  <c:v>4.0807947965002818</c:v>
                </c:pt>
                <c:pt idx="103">
                  <c:v>4.1324604381519343</c:v>
                </c:pt>
                <c:pt idx="104">
                  <c:v>4.060566722826688</c:v>
                </c:pt>
                <c:pt idx="105">
                  <c:v>3.9011260432357746</c:v>
                </c:pt>
                <c:pt idx="106">
                  <c:v>3.7379308712128099</c:v>
                </c:pt>
                <c:pt idx="107">
                  <c:v>3.6307390147025278</c:v>
                </c:pt>
                <c:pt idx="108">
                  <c:v>3.6042315629333337</c:v>
                </c:pt>
                <c:pt idx="109">
                  <c:v>3.6458457255092473</c:v>
                </c:pt>
                <c:pt idx="110">
                  <c:v>3.7419613915799648</c:v>
                </c:pt>
                <c:pt idx="111">
                  <c:v>3.8777134404646283</c:v>
                </c:pt>
                <c:pt idx="112">
                  <c:v>4.0095741422905533</c:v>
                </c:pt>
                <c:pt idx="113">
                  <c:v>4.1378140796719087</c:v>
                </c:pt>
                <c:pt idx="114">
                  <c:v>4.246200955904289</c:v>
                </c:pt>
                <c:pt idx="115">
                  <c:v>4.3362342593637244</c:v>
                </c:pt>
                <c:pt idx="116">
                  <c:v>4.447834017326378</c:v>
                </c:pt>
                <c:pt idx="117">
                  <c:v>4.5756859448243725</c:v>
                </c:pt>
                <c:pt idx="118">
                  <c:v>4.706651259650986</c:v>
                </c:pt>
                <c:pt idx="119">
                  <c:v>4.826084906209303</c:v>
                </c:pt>
                <c:pt idx="120">
                  <c:v>4.9072889632648868</c:v>
                </c:pt>
                <c:pt idx="121">
                  <c:v>4.940158421231561</c:v>
                </c:pt>
                <c:pt idx="122">
                  <c:v>4.9285967744111172</c:v>
                </c:pt>
                <c:pt idx="123">
                  <c:v>4.8792873689293206</c:v>
                </c:pt>
                <c:pt idx="124">
                  <c:v>4.7913559897606453</c:v>
                </c:pt>
                <c:pt idx="125">
                  <c:v>4.6743504384834544</c:v>
                </c:pt>
                <c:pt idx="126">
                  <c:v>4.5492403710700593</c:v>
                </c:pt>
                <c:pt idx="127">
                  <c:v>4.406027861887889</c:v>
                </c:pt>
                <c:pt idx="128">
                  <c:v>4.2622662806067435</c:v>
                </c:pt>
                <c:pt idx="129">
                  <c:v>4.1212343718401696</c:v>
                </c:pt>
                <c:pt idx="130">
                  <c:v>3.9651915576796295</c:v>
                </c:pt>
                <c:pt idx="131">
                  <c:v>3.8289404295375649</c:v>
                </c:pt>
                <c:pt idx="132">
                  <c:v>3.7173636830990446</c:v>
                </c:pt>
                <c:pt idx="133">
                  <c:v>3.6402455203867397</c:v>
                </c:pt>
                <c:pt idx="134">
                  <c:v>3.6263609710532867</c:v>
                </c:pt>
                <c:pt idx="135">
                  <c:v>3.6407470814534992</c:v>
                </c:pt>
                <c:pt idx="136">
                  <c:v>3.6727678059049973</c:v>
                </c:pt>
                <c:pt idx="137">
                  <c:v>3.7228003041449291</c:v>
                </c:pt>
                <c:pt idx="138">
                  <c:v>3.7668534009440569</c:v>
                </c:pt>
                <c:pt idx="139">
                  <c:v>3.8400898104695793</c:v>
                </c:pt>
                <c:pt idx="140">
                  <c:v>3.9334541413480455</c:v>
                </c:pt>
                <c:pt idx="141">
                  <c:v>4.0194217853983689</c:v>
                </c:pt>
                <c:pt idx="142">
                  <c:v>4.0998584757597953</c:v>
                </c:pt>
                <c:pt idx="143">
                  <c:v>4.1507354914795975</c:v>
                </c:pt>
                <c:pt idx="144">
                  <c:v>4.201137092318886</c:v>
                </c:pt>
                <c:pt idx="145">
                  <c:v>4.2904161263847138</c:v>
                </c:pt>
                <c:pt idx="146">
                  <c:v>4.4304230650386405</c:v>
                </c:pt>
                <c:pt idx="147">
                  <c:v>4.617741978142953</c:v>
                </c:pt>
                <c:pt idx="148">
                  <c:v>4.804353494050333</c:v>
                </c:pt>
                <c:pt idx="149">
                  <c:v>4.9547112591881017</c:v>
                </c:pt>
                <c:pt idx="150">
                  <c:v>5.0320016557691876</c:v>
                </c:pt>
                <c:pt idx="151">
                  <c:v>5.0235518697140513</c:v>
                </c:pt>
                <c:pt idx="152">
                  <c:v>4.9656155965284778</c:v>
                </c:pt>
                <c:pt idx="153">
                  <c:v>4.853050151648814</c:v>
                </c:pt>
                <c:pt idx="154">
                  <c:v>4.7193457057185002</c:v>
                </c:pt>
                <c:pt idx="155">
                  <c:v>4.6039048594878365</c:v>
                </c:pt>
                <c:pt idx="156">
                  <c:v>4.5143719312462114</c:v>
                </c:pt>
                <c:pt idx="157">
                  <c:v>4.5073248302690665</c:v>
                </c:pt>
                <c:pt idx="158">
                  <c:v>4.6116030686031575</c:v>
                </c:pt>
                <c:pt idx="159">
                  <c:v>4.8188826910204146</c:v>
                </c:pt>
                <c:pt idx="160">
                  <c:v>5.1063660064511609</c:v>
                </c:pt>
                <c:pt idx="161">
                  <c:v>5.4214091641317257</c:v>
                </c:pt>
                <c:pt idx="162">
                  <c:v>5.6935800426037</c:v>
                </c:pt>
                <c:pt idx="163">
                  <c:v>5.8838904895281265</c:v>
                </c:pt>
                <c:pt idx="164">
                  <c:v>5.9795586256619462</c:v>
                </c:pt>
                <c:pt idx="165">
                  <c:v>5.9640217716913577</c:v>
                </c:pt>
                <c:pt idx="166">
                  <c:v>5.8558545141009875</c:v>
                </c:pt>
                <c:pt idx="167">
                  <c:v>5.6763594990424906</c:v>
                </c:pt>
                <c:pt idx="168">
                  <c:v>5.4653388472945661</c:v>
                </c:pt>
                <c:pt idx="169">
                  <c:v>5.3078739266099531</c:v>
                </c:pt>
                <c:pt idx="170">
                  <c:v>5.267638535842714</c:v>
                </c:pt>
                <c:pt idx="171">
                  <c:v>5.3819068418664529</c:v>
                </c:pt>
                <c:pt idx="172">
                  <c:v>5.617247315855634</c:v>
                </c:pt>
                <c:pt idx="173">
                  <c:v>5.8758922018319142</c:v>
                </c:pt>
                <c:pt idx="174">
                  <c:v>6.0699022584901723</c:v>
                </c:pt>
                <c:pt idx="175">
                  <c:v>6.1397664233584051</c:v>
                </c:pt>
                <c:pt idx="176">
                  <c:v>6.1158035395004973</c:v>
                </c:pt>
                <c:pt idx="177">
                  <c:v>6.0621979831632613</c:v>
                </c:pt>
                <c:pt idx="178">
                  <c:v>6.0378543566773981</c:v>
                </c:pt>
                <c:pt idx="179">
                  <c:v>6.0690929777896336</c:v>
                </c:pt>
                <c:pt idx="180">
                  <c:v>6.0925539199839669</c:v>
                </c:pt>
                <c:pt idx="181">
                  <c:v>6.0547893220968101</c:v>
                </c:pt>
                <c:pt idx="182">
                  <c:v>5.9169085385000511</c:v>
                </c:pt>
                <c:pt idx="183">
                  <c:v>5.6937985884629878</c:v>
                </c:pt>
                <c:pt idx="184">
                  <c:v>5.494127644902612</c:v>
                </c:pt>
                <c:pt idx="185">
                  <c:v>5.4192325845999836</c:v>
                </c:pt>
                <c:pt idx="186">
                  <c:v>5.5324639729685803</c:v>
                </c:pt>
                <c:pt idx="187">
                  <c:v>5.827637923228874</c:v>
                </c:pt>
                <c:pt idx="188">
                  <c:v>6.199612993567138</c:v>
                </c:pt>
                <c:pt idx="189">
                  <c:v>6.515396671026684</c:v>
                </c:pt>
                <c:pt idx="190">
                  <c:v>6.6762282712071865</c:v>
                </c:pt>
                <c:pt idx="191">
                  <c:v>6.6415351232683477</c:v>
                </c:pt>
                <c:pt idx="192">
                  <c:v>6.4634686433792083</c:v>
                </c:pt>
                <c:pt idx="193">
                  <c:v>6.2361256230943578</c:v>
                </c:pt>
                <c:pt idx="194">
                  <c:v>6.0686267371561993</c:v>
                </c:pt>
                <c:pt idx="195">
                  <c:v>6.0319235077966731</c:v>
                </c:pt>
                <c:pt idx="196">
                  <c:v>6.146657864235749</c:v>
                </c:pt>
                <c:pt idx="197">
                  <c:v>6.4075033525741487</c:v>
                </c:pt>
                <c:pt idx="198">
                  <c:v>6.750801543241705</c:v>
                </c:pt>
                <c:pt idx="199">
                  <c:v>7.1465332388195772</c:v>
                </c:pt>
                <c:pt idx="200">
                  <c:v>7.5422971547383737</c:v>
                </c:pt>
                <c:pt idx="201">
                  <c:v>7.8839003814867272</c:v>
                </c:pt>
                <c:pt idx="202">
                  <c:v>8.1648044144999634</c:v>
                </c:pt>
                <c:pt idx="203">
                  <c:v>8.3329510137430383</c:v>
                </c:pt>
                <c:pt idx="204">
                  <c:v>8.3839706501287452</c:v>
                </c:pt>
                <c:pt idx="205">
                  <c:v>8.3210544848070978</c:v>
                </c:pt>
                <c:pt idx="206">
                  <c:v>8.1308659109908881</c:v>
                </c:pt>
                <c:pt idx="207">
                  <c:v>7.8588971837293684</c:v>
                </c:pt>
                <c:pt idx="208">
                  <c:v>7.550618705009259</c:v>
                </c:pt>
                <c:pt idx="209">
                  <c:v>7.2617006539873774</c:v>
                </c:pt>
                <c:pt idx="210">
                  <c:v>7.057735599124614</c:v>
                </c:pt>
                <c:pt idx="211">
                  <c:v>6.9442307364701588</c:v>
                </c:pt>
                <c:pt idx="212">
                  <c:v>6.8970715542260992</c:v>
                </c:pt>
                <c:pt idx="213">
                  <c:v>6.8944864771809033</c:v>
                </c:pt>
                <c:pt idx="214">
                  <c:v>6.9044111199248643</c:v>
                </c:pt>
                <c:pt idx="215">
                  <c:v>6.9544386780297742</c:v>
                </c:pt>
                <c:pt idx="216">
                  <c:v>7.069579908156804</c:v>
                </c:pt>
                <c:pt idx="217">
                  <c:v>7.2482164621070373</c:v>
                </c:pt>
                <c:pt idx="218">
                  <c:v>7.4943088490936649</c:v>
                </c:pt>
                <c:pt idx="219">
                  <c:v>7.7475722800246887</c:v>
                </c:pt>
                <c:pt idx="220">
                  <c:v>7.9807962684099341</c:v>
                </c:pt>
                <c:pt idx="221">
                  <c:v>8.1756723133989677</c:v>
                </c:pt>
                <c:pt idx="222">
                  <c:v>8.3117058609741612</c:v>
                </c:pt>
                <c:pt idx="223">
                  <c:v>8.4229356166463205</c:v>
                </c:pt>
                <c:pt idx="224">
                  <c:v>8.5166371793202664</c:v>
                </c:pt>
                <c:pt idx="225">
                  <c:v>8.6170145431748484</c:v>
                </c:pt>
                <c:pt idx="226">
                  <c:v>8.7489070723208489</c:v>
                </c:pt>
                <c:pt idx="227">
                  <c:v>8.900682428796614</c:v>
                </c:pt>
                <c:pt idx="228">
                  <c:v>9.0644683574297247</c:v>
                </c:pt>
                <c:pt idx="229">
                  <c:v>9.2083448356206112</c:v>
                </c:pt>
                <c:pt idx="230">
                  <c:v>9.2930831282268684</c:v>
                </c:pt>
                <c:pt idx="231">
                  <c:v>9.3168312700501268</c:v>
                </c:pt>
                <c:pt idx="232">
                  <c:v>9.2823443636042491</c:v>
                </c:pt>
                <c:pt idx="233">
                  <c:v>9.2138450522298694</c:v>
                </c:pt>
                <c:pt idx="234">
                  <c:v>9.1417005961889508</c:v>
                </c:pt>
                <c:pt idx="235">
                  <c:v>9.0510801156874603</c:v>
                </c:pt>
                <c:pt idx="236">
                  <c:v>8.9469231358893726</c:v>
                </c:pt>
                <c:pt idx="237">
                  <c:v>8.8351758664388971</c:v>
                </c:pt>
                <c:pt idx="238">
                  <c:v>8.7424068826603545</c:v>
                </c:pt>
                <c:pt idx="239">
                  <c:v>8.7272378783575526</c:v>
                </c:pt>
                <c:pt idx="240">
                  <c:v>8.8124409750001895</c:v>
                </c:pt>
                <c:pt idx="241">
                  <c:v>8.9952436116759991</c:v>
                </c:pt>
                <c:pt idx="242">
                  <c:v>9.2201228291973649</c:v>
                </c:pt>
                <c:pt idx="243">
                  <c:v>9.420224800073818</c:v>
                </c:pt>
                <c:pt idx="244">
                  <c:v>9.5404146300214006</c:v>
                </c:pt>
                <c:pt idx="245">
                  <c:v>9.5405222455695586</c:v>
                </c:pt>
                <c:pt idx="246">
                  <c:v>9.4458509206856682</c:v>
                </c:pt>
                <c:pt idx="247">
                  <c:v>9.300474088766773</c:v>
                </c:pt>
                <c:pt idx="248">
                  <c:v>9.1630975879211505</c:v>
                </c:pt>
                <c:pt idx="249">
                  <c:v>9.1188827035150375</c:v>
                </c:pt>
                <c:pt idx="250">
                  <c:v>9.2009917725973978</c:v>
                </c:pt>
                <c:pt idx="251">
                  <c:v>9.3937127439805934</c:v>
                </c:pt>
                <c:pt idx="252">
                  <c:v>9.6721548972690616</c:v>
                </c:pt>
                <c:pt idx="253">
                  <c:v>9.9601667316073836</c:v>
                </c:pt>
                <c:pt idx="254">
                  <c:v>10.1907986453636</c:v>
                </c:pt>
                <c:pt idx="255">
                  <c:v>10.358067315215427</c:v>
                </c:pt>
                <c:pt idx="256">
                  <c:v>10.432214320907836</c:v>
                </c:pt>
                <c:pt idx="257">
                  <c:v>10.411396098673018</c:v>
                </c:pt>
                <c:pt idx="258">
                  <c:v>10.33892737909259</c:v>
                </c:pt>
                <c:pt idx="259">
                  <c:v>10.199637784052037</c:v>
                </c:pt>
                <c:pt idx="260">
                  <c:v>10.026748613577269</c:v>
                </c:pt>
                <c:pt idx="261">
                  <c:v>9.8710717968481028</c:v>
                </c:pt>
                <c:pt idx="262">
                  <c:v>9.7102782588574339</c:v>
                </c:pt>
                <c:pt idx="263">
                  <c:v>9.5908603552308733</c:v>
                </c:pt>
                <c:pt idx="264">
                  <c:v>9.5305796844860886</c:v>
                </c:pt>
                <c:pt idx="265">
                  <c:v>9.5012495262271415</c:v>
                </c:pt>
                <c:pt idx="266">
                  <c:v>9.5326556961671738</c:v>
                </c:pt>
                <c:pt idx="267">
                  <c:v>9.5871541763677204</c:v>
                </c:pt>
                <c:pt idx="268">
                  <c:v>9.6146931958394184</c:v>
                </c:pt>
                <c:pt idx="269">
                  <c:v>9.6163377651891917</c:v>
                </c:pt>
                <c:pt idx="270">
                  <c:v>9.5794704787759208</c:v>
                </c:pt>
                <c:pt idx="271">
                  <c:v>9.5357841851388283</c:v>
                </c:pt>
                <c:pt idx="272">
                  <c:v>9.5531600398170848</c:v>
                </c:pt>
                <c:pt idx="273">
                  <c:v>9.6480658380765405</c:v>
                </c:pt>
                <c:pt idx="274">
                  <c:v>9.8219634322200466</c:v>
                </c:pt>
                <c:pt idx="275">
                  <c:v>10.044733627213766</c:v>
                </c:pt>
                <c:pt idx="276">
                  <c:v>10.249998213403924</c:v>
                </c:pt>
                <c:pt idx="277">
                  <c:v>10.428038429832611</c:v>
                </c:pt>
                <c:pt idx="278">
                  <c:v>10.573989399904368</c:v>
                </c:pt>
                <c:pt idx="279">
                  <c:v>10.695754717367958</c:v>
                </c:pt>
                <c:pt idx="280">
                  <c:v>10.816929232153292</c:v>
                </c:pt>
                <c:pt idx="281">
                  <c:v>10.906547613558139</c:v>
                </c:pt>
                <c:pt idx="282">
                  <c:v>10.930733291956106</c:v>
                </c:pt>
                <c:pt idx="283">
                  <c:v>10.882888846668271</c:v>
                </c:pt>
                <c:pt idx="284">
                  <c:v>10.771820693746573</c:v>
                </c:pt>
                <c:pt idx="285">
                  <c:v>10.638624281325418</c:v>
                </c:pt>
                <c:pt idx="286">
                  <c:v>10.553612852607113</c:v>
                </c:pt>
                <c:pt idx="287">
                  <c:v>10.551266006617578</c:v>
                </c:pt>
                <c:pt idx="288">
                  <c:v>10.626771953502931</c:v>
                </c:pt>
                <c:pt idx="289">
                  <c:v>10.767706409571151</c:v>
                </c:pt>
                <c:pt idx="290">
                  <c:v>10.91692591468971</c:v>
                </c:pt>
                <c:pt idx="291">
                  <c:v>11.019200681136958</c:v>
                </c:pt>
                <c:pt idx="292">
                  <c:v>11.056799135247264</c:v>
                </c:pt>
                <c:pt idx="293">
                  <c:v>11.020604357225906</c:v>
                </c:pt>
                <c:pt idx="294">
                  <c:v>10.939111028526087</c:v>
                </c:pt>
                <c:pt idx="295">
                  <c:v>10.854326066623942</c:v>
                </c:pt>
                <c:pt idx="296">
                  <c:v>10.78699396804835</c:v>
                </c:pt>
                <c:pt idx="297">
                  <c:v>10.732113827113828</c:v>
                </c:pt>
                <c:pt idx="298">
                  <c:v>10.670375925265382</c:v>
                </c:pt>
                <c:pt idx="299">
                  <c:v>10.585953426192503</c:v>
                </c:pt>
                <c:pt idx="300">
                  <c:v>10.487855557214903</c:v>
                </c:pt>
                <c:pt idx="301">
                  <c:v>10.425707312797847</c:v>
                </c:pt>
                <c:pt idx="302">
                  <c:v>10.426550869647793</c:v>
                </c:pt>
                <c:pt idx="303">
                  <c:v>10.502736832051568</c:v>
                </c:pt>
                <c:pt idx="304">
                  <c:v>10.624756317526025</c:v>
                </c:pt>
                <c:pt idx="305">
                  <c:v>10.716449401369179</c:v>
                </c:pt>
                <c:pt idx="306">
                  <c:v>10.756036183929247</c:v>
                </c:pt>
                <c:pt idx="307">
                  <c:v>10.734761816545674</c:v>
                </c:pt>
                <c:pt idx="308">
                  <c:v>10.690297692612042</c:v>
                </c:pt>
                <c:pt idx="309">
                  <c:v>10.696472562138792</c:v>
                </c:pt>
                <c:pt idx="310">
                  <c:v>10.767127834665903</c:v>
                </c:pt>
                <c:pt idx="311">
                  <c:v>10.904161982888537</c:v>
                </c:pt>
                <c:pt idx="312">
                  <c:v>11.078707372110593</c:v>
                </c:pt>
                <c:pt idx="313">
                  <c:v>11.228078781559365</c:v>
                </c:pt>
                <c:pt idx="314">
                  <c:v>11.314908897082827</c:v>
                </c:pt>
                <c:pt idx="315">
                  <c:v>11.299850320712791</c:v>
                </c:pt>
                <c:pt idx="316">
                  <c:v>11.143950021483667</c:v>
                </c:pt>
                <c:pt idx="317">
                  <c:v>10.857277300861778</c:v>
                </c:pt>
                <c:pt idx="318">
                  <c:v>10.485380906239982</c:v>
                </c:pt>
                <c:pt idx="319">
                  <c:v>10.108799209080479</c:v>
                </c:pt>
                <c:pt idx="320">
                  <c:v>9.8176354095554199</c:v>
                </c:pt>
                <c:pt idx="321">
                  <c:v>9.669163716163828</c:v>
                </c:pt>
                <c:pt idx="322">
                  <c:v>9.654024706294166</c:v>
                </c:pt>
                <c:pt idx="323">
                  <c:v>9.7090974503745571</c:v>
                </c:pt>
                <c:pt idx="324">
                  <c:v>9.7899635641030294</c:v>
                </c:pt>
                <c:pt idx="325">
                  <c:v>9.8371120599454756</c:v>
                </c:pt>
                <c:pt idx="326">
                  <c:v>9.8309310793151319</c:v>
                </c:pt>
                <c:pt idx="327">
                  <c:v>9.7962433106810884</c:v>
                </c:pt>
                <c:pt idx="328">
                  <c:v>9.7233832170511718</c:v>
                </c:pt>
                <c:pt idx="329">
                  <c:v>9.6395439884253271</c:v>
                </c:pt>
                <c:pt idx="330">
                  <c:v>9.5818753577820122</c:v>
                </c:pt>
                <c:pt idx="331">
                  <c:v>9.5740619092471739</c:v>
                </c:pt>
                <c:pt idx="332">
                  <c:v>9.6501308371295345</c:v>
                </c:pt>
                <c:pt idx="333">
                  <c:v>9.8283721873022678</c:v>
                </c:pt>
                <c:pt idx="334">
                  <c:v>10.088190874148758</c:v>
                </c:pt>
                <c:pt idx="335">
                  <c:v>10.374442774839464</c:v>
                </c:pt>
                <c:pt idx="336">
                  <c:v>10.642227777375012</c:v>
                </c:pt>
                <c:pt idx="337">
                  <c:v>10.829770553896886</c:v>
                </c:pt>
                <c:pt idx="338">
                  <c:v>10.89541666316728</c:v>
                </c:pt>
                <c:pt idx="339">
                  <c:v>10.848236422886375</c:v>
                </c:pt>
                <c:pt idx="340">
                  <c:v>10.689789178346622</c:v>
                </c:pt>
                <c:pt idx="341">
                  <c:v>10.438751654332195</c:v>
                </c:pt>
                <c:pt idx="342">
                  <c:v>10.147766360157771</c:v>
                </c:pt>
                <c:pt idx="343">
                  <c:v>9.85116978397234</c:v>
                </c:pt>
                <c:pt idx="344">
                  <c:v>9.577978220308129</c:v>
                </c:pt>
                <c:pt idx="345">
                  <c:v>9.3729352545082207</c:v>
                </c:pt>
                <c:pt idx="346">
                  <c:v>9.2212890328848225</c:v>
                </c:pt>
                <c:pt idx="347">
                  <c:v>9.1133771889822057</c:v>
                </c:pt>
                <c:pt idx="348">
                  <c:v>9.0636469582341945</c:v>
                </c:pt>
                <c:pt idx="349">
                  <c:v>9.0617814905503185</c:v>
                </c:pt>
                <c:pt idx="350">
                  <c:v>9.1309137645020009</c:v>
                </c:pt>
                <c:pt idx="351">
                  <c:v>9.2740691860413413</c:v>
                </c:pt>
                <c:pt idx="352">
                  <c:v>9.4572488129731269</c:v>
                </c:pt>
                <c:pt idx="353">
                  <c:v>9.639974405507445</c:v>
                </c:pt>
                <c:pt idx="354">
                  <c:v>9.7665129837780356</c:v>
                </c:pt>
                <c:pt idx="355">
                  <c:v>9.7914768831021188</c:v>
                </c:pt>
                <c:pt idx="356">
                  <c:v>9.709636695965397</c:v>
                </c:pt>
                <c:pt idx="357">
                  <c:v>9.5506469843692567</c:v>
                </c:pt>
                <c:pt idx="358">
                  <c:v>9.3729755788549944</c:v>
                </c:pt>
                <c:pt idx="359">
                  <c:v>9.2461013789010984</c:v>
                </c:pt>
                <c:pt idx="360">
                  <c:v>9.2066012110180946</c:v>
                </c:pt>
                <c:pt idx="361">
                  <c:v>9.2407959705808906</c:v>
                </c:pt>
                <c:pt idx="362">
                  <c:v>9.3013261962184455</c:v>
                </c:pt>
                <c:pt idx="363">
                  <c:v>9.3288795675379763</c:v>
                </c:pt>
                <c:pt idx="364">
                  <c:v>9.2674356151450503</c:v>
                </c:pt>
                <c:pt idx="365">
                  <c:v>9.1119711775719612</c:v>
                </c:pt>
                <c:pt idx="366">
                  <c:v>8.8754412377554566</c:v>
                </c:pt>
                <c:pt idx="367">
                  <c:v>8.5805498939180822</c:v>
                </c:pt>
                <c:pt idx="368">
                  <c:v>8.281072074815274</c:v>
                </c:pt>
                <c:pt idx="369">
                  <c:v>8.0162236225386607</c:v>
                </c:pt>
                <c:pt idx="370">
                  <c:v>7.8344292164426426</c:v>
                </c:pt>
                <c:pt idx="371">
                  <c:v>7.762452342268567</c:v>
                </c:pt>
                <c:pt idx="372">
                  <c:v>7.7815595447702073</c:v>
                </c:pt>
                <c:pt idx="373">
                  <c:v>7.856501622051181</c:v>
                </c:pt>
                <c:pt idx="374">
                  <c:v>7.9060409186723311</c:v>
                </c:pt>
                <c:pt idx="375">
                  <c:v>7.8851865473309815</c:v>
                </c:pt>
                <c:pt idx="376">
                  <c:v>7.7990101305322099</c:v>
                </c:pt>
                <c:pt idx="377">
                  <c:v>7.6555833055336855</c:v>
                </c:pt>
                <c:pt idx="378">
                  <c:v>7.5374114895890347</c:v>
                </c:pt>
                <c:pt idx="379">
                  <c:v>7.5002429115501226</c:v>
                </c:pt>
                <c:pt idx="380">
                  <c:v>7.5488985578808032</c:v>
                </c:pt>
                <c:pt idx="381">
                  <c:v>7.6995189999821587</c:v>
                </c:pt>
                <c:pt idx="382">
                  <c:v>7.8904150147080152</c:v>
                </c:pt>
                <c:pt idx="383">
                  <c:v>8.0644876426061423</c:v>
                </c:pt>
                <c:pt idx="384">
                  <c:v>8.2025546635602922</c:v>
                </c:pt>
                <c:pt idx="385">
                  <c:v>8.2626627860297734</c:v>
                </c:pt>
                <c:pt idx="386">
                  <c:v>8.2572295123066972</c:v>
                </c:pt>
                <c:pt idx="387">
                  <c:v>8.1841708914691669</c:v>
                </c:pt>
                <c:pt idx="388">
                  <c:v>8.0373363822035575</c:v>
                </c:pt>
                <c:pt idx="389">
                  <c:v>7.8561671481103437</c:v>
                </c:pt>
                <c:pt idx="390">
                  <c:v>7.6589173557029309</c:v>
                </c:pt>
                <c:pt idx="391">
                  <c:v>7.4968612660957543</c:v>
                </c:pt>
                <c:pt idx="392">
                  <c:v>7.3837156203329641</c:v>
                </c:pt>
                <c:pt idx="393">
                  <c:v>7.2961507221597461</c:v>
                </c:pt>
                <c:pt idx="394">
                  <c:v>7.2152335698135577</c:v>
                </c:pt>
                <c:pt idx="395">
                  <c:v>7.0962249552835521</c:v>
                </c:pt>
                <c:pt idx="396">
                  <c:v>6.9434545043868807</c:v>
                </c:pt>
                <c:pt idx="397">
                  <c:v>6.7749824378839758</c:v>
                </c:pt>
                <c:pt idx="398">
                  <c:v>6.6077355902421839</c:v>
                </c:pt>
                <c:pt idx="399">
                  <c:v>6.4753159731570724</c:v>
                </c:pt>
                <c:pt idx="400">
                  <c:v>6.3891816462278506</c:v>
                </c:pt>
                <c:pt idx="401">
                  <c:v>6.3446637931855028</c:v>
                </c:pt>
                <c:pt idx="402">
                  <c:v>6.3420691402039191</c:v>
                </c:pt>
                <c:pt idx="403">
                  <c:v>6.3760290106775699</c:v>
                </c:pt>
                <c:pt idx="404">
                  <c:v>6.4256728357767781</c:v>
                </c:pt>
                <c:pt idx="405">
                  <c:v>6.4835667524481515</c:v>
                </c:pt>
                <c:pt idx="406">
                  <c:v>6.5381131490928857</c:v>
                </c:pt>
                <c:pt idx="407">
                  <c:v>6.5685734047372275</c:v>
                </c:pt>
                <c:pt idx="408">
                  <c:v>6.6038760496302071</c:v>
                </c:pt>
                <c:pt idx="409">
                  <c:v>6.6754154341687446</c:v>
                </c:pt>
                <c:pt idx="410">
                  <c:v>6.7861963799055935</c:v>
                </c:pt>
                <c:pt idx="411">
                  <c:v>6.9567066049320347</c:v>
                </c:pt>
                <c:pt idx="412">
                  <c:v>7.1300051496416383</c:v>
                </c:pt>
                <c:pt idx="413">
                  <c:v>7.2354898301930373</c:v>
                </c:pt>
                <c:pt idx="414">
                  <c:v>7.2528673138438711</c:v>
                </c:pt>
                <c:pt idx="415">
                  <c:v>7.1346716305315496</c:v>
                </c:pt>
                <c:pt idx="416">
                  <c:v>6.9152666854230658</c:v>
                </c:pt>
                <c:pt idx="417">
                  <c:v>6.6583074965798383</c:v>
                </c:pt>
                <c:pt idx="418">
                  <c:v>6.417972728025755</c:v>
                </c:pt>
                <c:pt idx="419">
                  <c:v>6.2578328131470444</c:v>
                </c:pt>
                <c:pt idx="420">
                  <c:v>6.1931283173362832</c:v>
                </c:pt>
                <c:pt idx="421">
                  <c:v>6.1960875396332042</c:v>
                </c:pt>
                <c:pt idx="422">
                  <c:v>6.1884734229816383</c:v>
                </c:pt>
                <c:pt idx="423">
                  <c:v>6.134685536132654</c:v>
                </c:pt>
                <c:pt idx="424">
                  <c:v>6.0072751531909345</c:v>
                </c:pt>
                <c:pt idx="425">
                  <c:v>5.8194385873721899</c:v>
                </c:pt>
                <c:pt idx="426">
                  <c:v>5.6512565461770983</c:v>
                </c:pt>
                <c:pt idx="427">
                  <c:v>5.5154537961344818</c:v>
                </c:pt>
                <c:pt idx="428">
                  <c:v>5.4288659115088169</c:v>
                </c:pt>
                <c:pt idx="429">
                  <c:v>5.3696981526321341</c:v>
                </c:pt>
                <c:pt idx="430">
                  <c:v>5.2855827422362447</c:v>
                </c:pt>
                <c:pt idx="431">
                  <c:v>5.1814271076266376</c:v>
                </c:pt>
                <c:pt idx="432">
                  <c:v>5.0557689489078808</c:v>
                </c:pt>
                <c:pt idx="433">
                  <c:v>4.964225786381359</c:v>
                </c:pt>
                <c:pt idx="434">
                  <c:v>4.948774964290422</c:v>
                </c:pt>
                <c:pt idx="435">
                  <c:v>5.0044441187977773</c:v>
                </c:pt>
                <c:pt idx="436">
                  <c:v>5.1539160945984763</c:v>
                </c:pt>
                <c:pt idx="437">
                  <c:v>5.3496855662606277</c:v>
                </c:pt>
                <c:pt idx="438">
                  <c:v>5.5648311677485527</c:v>
                </c:pt>
                <c:pt idx="439">
                  <c:v>5.798948785823927</c:v>
                </c:pt>
                <c:pt idx="440">
                  <c:v>5.9917702401388748</c:v>
                </c:pt>
                <c:pt idx="441">
                  <c:v>6.1300826552334158</c:v>
                </c:pt>
                <c:pt idx="442">
                  <c:v>6.1922518652302951</c:v>
                </c:pt>
                <c:pt idx="443">
                  <c:v>6.1485177670256483</c:v>
                </c:pt>
                <c:pt idx="444">
                  <c:v>6.0353738544482409</c:v>
                </c:pt>
                <c:pt idx="445">
                  <c:v>5.8606006088566183</c:v>
                </c:pt>
                <c:pt idx="446">
                  <c:v>5.6438065535721815</c:v>
                </c:pt>
                <c:pt idx="447">
                  <c:v>5.4208695387411669</c:v>
                </c:pt>
                <c:pt idx="448">
                  <c:v>5.1717974796282569</c:v>
                </c:pt>
                <c:pt idx="449">
                  <c:v>4.9137485897710267</c:v>
                </c:pt>
                <c:pt idx="450">
                  <c:v>4.6502807682280878</c:v>
                </c:pt>
                <c:pt idx="451">
                  <c:v>4.3770682088463584</c:v>
                </c:pt>
                <c:pt idx="452">
                  <c:v>4.1537291450629104</c:v>
                </c:pt>
                <c:pt idx="453">
                  <c:v>4.017214953888625</c:v>
                </c:pt>
                <c:pt idx="454">
                  <c:v>3.9935843342855755</c:v>
                </c:pt>
                <c:pt idx="455">
                  <c:v>4.0794901879914534</c:v>
                </c:pt>
                <c:pt idx="456">
                  <c:v>4.2124453428528348</c:v>
                </c:pt>
                <c:pt idx="457">
                  <c:v>4.3270638476371319</c:v>
                </c:pt>
                <c:pt idx="458">
                  <c:v>4.393014959904229</c:v>
                </c:pt>
                <c:pt idx="459">
                  <c:v>4.4201064428728047</c:v>
                </c:pt>
                <c:pt idx="460">
                  <c:v>4.4339083961315238</c:v>
                </c:pt>
                <c:pt idx="461">
                  <c:v>4.4716673393940862</c:v>
                </c:pt>
                <c:pt idx="462">
                  <c:v>4.5451104253267651</c:v>
                </c:pt>
                <c:pt idx="463">
                  <c:v>4.6432828901631478</c:v>
                </c:pt>
                <c:pt idx="464">
                  <c:v>4.7842669097156794</c:v>
                </c:pt>
                <c:pt idx="465">
                  <c:v>4.9539119901062216</c:v>
                </c:pt>
                <c:pt idx="466">
                  <c:v>5.1341009501673689</c:v>
                </c:pt>
                <c:pt idx="467">
                  <c:v>5.3032330616295269</c:v>
                </c:pt>
                <c:pt idx="468">
                  <c:v>5.3963291857025917</c:v>
                </c:pt>
                <c:pt idx="469">
                  <c:v>5.3925586227453941</c:v>
                </c:pt>
                <c:pt idx="470">
                  <c:v>5.2887389083273195</c:v>
                </c:pt>
                <c:pt idx="471">
                  <c:v>5.1309933581814144</c:v>
                </c:pt>
                <c:pt idx="472">
                  <c:v>4.991921317212662</c:v>
                </c:pt>
                <c:pt idx="473">
                  <c:v>4.9138675826171454</c:v>
                </c:pt>
                <c:pt idx="474">
                  <c:v>4.938429241210839</c:v>
                </c:pt>
                <c:pt idx="475">
                  <c:v>5.016563311414572</c:v>
                </c:pt>
                <c:pt idx="476">
                  <c:v>5.0873264210872158</c:v>
                </c:pt>
                <c:pt idx="477">
                  <c:v>5.114802580501447</c:v>
                </c:pt>
                <c:pt idx="478">
                  <c:v>5.0315145599238171</c:v>
                </c:pt>
                <c:pt idx="479">
                  <c:v>4.8563567309847393</c:v>
                </c:pt>
                <c:pt idx="480">
                  <c:v>4.6417716826720179</c:v>
                </c:pt>
                <c:pt idx="481">
                  <c:v>4.4180440534490781</c:v>
                </c:pt>
                <c:pt idx="482">
                  <c:v>4.2647679062608725</c:v>
                </c:pt>
                <c:pt idx="483">
                  <c:v>4.2297077103902057</c:v>
                </c:pt>
                <c:pt idx="484">
                  <c:v>4.3082520842413903</c:v>
                </c:pt>
                <c:pt idx="485">
                  <c:v>4.4933107924052882</c:v>
                </c:pt>
                <c:pt idx="486">
                  <c:v>4.7426076335792668</c:v>
                </c:pt>
                <c:pt idx="487">
                  <c:v>4.987660546322159</c:v>
                </c:pt>
                <c:pt idx="488">
                  <c:v>5.1827516606251383</c:v>
                </c:pt>
                <c:pt idx="489">
                  <c:v>5.309625620654062</c:v>
                </c:pt>
                <c:pt idx="490">
                  <c:v>5.3550865157260095</c:v>
                </c:pt>
                <c:pt idx="491">
                  <c:v>5.3524597191850916</c:v>
                </c:pt>
                <c:pt idx="492">
                  <c:v>5.3465730887608984</c:v>
                </c:pt>
                <c:pt idx="493">
                  <c:v>5.3667322272986109</c:v>
                </c:pt>
                <c:pt idx="494">
                  <c:v>5.4446797091924335</c:v>
                </c:pt>
                <c:pt idx="495">
                  <c:v>5.5571641630692312</c:v>
                </c:pt>
                <c:pt idx="496">
                  <c:v>5.6613675995112764</c:v>
                </c:pt>
                <c:pt idx="497">
                  <c:v>5.6900889717717948</c:v>
                </c:pt>
                <c:pt idx="498">
                  <c:v>5.5926479215586529</c:v>
                </c:pt>
                <c:pt idx="499">
                  <c:v>5.3840080657739771</c:v>
                </c:pt>
                <c:pt idx="500">
                  <c:v>5.1087582162977005</c:v>
                </c:pt>
                <c:pt idx="501">
                  <c:v>4.8574341036829241</c:v>
                </c:pt>
                <c:pt idx="502">
                  <c:v>4.7016988242179085</c:v>
                </c:pt>
                <c:pt idx="503">
                  <c:v>4.65879242230573</c:v>
                </c:pt>
                <c:pt idx="504">
                  <c:v>4.7070605897682025</c:v>
                </c:pt>
                <c:pt idx="505">
                  <c:v>4.793363660114025</c:v>
                </c:pt>
                <c:pt idx="506">
                  <c:v>4.8535013175716504</c:v>
                </c:pt>
                <c:pt idx="507">
                  <c:v>4.8535912605431015</c:v>
                </c:pt>
                <c:pt idx="508">
                  <c:v>4.7899135254214684</c:v>
                </c:pt>
                <c:pt idx="509">
                  <c:v>4.6797489242673045</c:v>
                </c:pt>
                <c:pt idx="510">
                  <c:v>4.5777283587414486</c:v>
                </c:pt>
                <c:pt idx="511">
                  <c:v>4.52306507322111</c:v>
                </c:pt>
                <c:pt idx="512">
                  <c:v>4.5538866158150668</c:v>
                </c:pt>
                <c:pt idx="513">
                  <c:v>4.6764491711636227</c:v>
                </c:pt>
                <c:pt idx="514">
                  <c:v>4.8714520409736988</c:v>
                </c:pt>
                <c:pt idx="515">
                  <c:v>5.1200496769310204</c:v>
                </c:pt>
                <c:pt idx="516">
                  <c:v>5.3745628987648857</c:v>
                </c:pt>
                <c:pt idx="517">
                  <c:v>5.5953069358183374</c:v>
                </c:pt>
                <c:pt idx="518">
                  <c:v>5.7472487050649468</c:v>
                </c:pt>
                <c:pt idx="519">
                  <c:v>5.8136135839981558</c:v>
                </c:pt>
                <c:pt idx="520">
                  <c:v>5.806961568526388</c:v>
                </c:pt>
                <c:pt idx="521">
                  <c:v>5.7840959429380376</c:v>
                </c:pt>
                <c:pt idx="522">
                  <c:v>5.7827467396924348</c:v>
                </c:pt>
                <c:pt idx="523">
                  <c:v>5.8209672981825573</c:v>
                </c:pt>
                <c:pt idx="524">
                  <c:v>5.8967957557936863</c:v>
                </c:pt>
                <c:pt idx="525">
                  <c:v>5.9613112846441663</c:v>
                </c:pt>
                <c:pt idx="526">
                  <c:v>5.9942024220515222</c:v>
                </c:pt>
                <c:pt idx="527">
                  <c:v>5.9734877652983158</c:v>
                </c:pt>
                <c:pt idx="528">
                  <c:v>5.889363559291767</c:v>
                </c:pt>
                <c:pt idx="529">
                  <c:v>5.7332548858707773</c:v>
                </c:pt>
                <c:pt idx="530">
                  <c:v>5.5053420538194597</c:v>
                </c:pt>
                <c:pt idx="531">
                  <c:v>5.2377730623376211</c:v>
                </c:pt>
                <c:pt idx="532">
                  <c:v>4.9775581433984009</c:v>
                </c:pt>
                <c:pt idx="533">
                  <c:v>4.816206777883818</c:v>
                </c:pt>
                <c:pt idx="534">
                  <c:v>4.7983422694260724</c:v>
                </c:pt>
                <c:pt idx="535">
                  <c:v>4.9215071069609317</c:v>
                </c:pt>
                <c:pt idx="536">
                  <c:v>5.1576837277864964</c:v>
                </c:pt>
                <c:pt idx="537">
                  <c:v>5.4144057846459361</c:v>
                </c:pt>
                <c:pt idx="538">
                  <c:v>5.6393567883770199</c:v>
                </c:pt>
                <c:pt idx="539">
                  <c:v>5.8169079825317889</c:v>
                </c:pt>
                <c:pt idx="540">
                  <c:v>5.9345566310154059</c:v>
                </c:pt>
                <c:pt idx="541">
                  <c:v>6.0260865802454102</c:v>
                </c:pt>
                <c:pt idx="542">
                  <c:v>6.1241114574212299</c:v>
                </c:pt>
                <c:pt idx="543">
                  <c:v>6.2424398718985339</c:v>
                </c:pt>
                <c:pt idx="544">
                  <c:v>6.4004711726626864</c:v>
                </c:pt>
                <c:pt idx="545">
                  <c:v>6.609428567017595</c:v>
                </c:pt>
                <c:pt idx="546">
                  <c:v>6.8547211483851598</c:v>
                </c:pt>
                <c:pt idx="547">
                  <c:v>7.1205927008340026</c:v>
                </c:pt>
                <c:pt idx="548">
                  <c:v>7.3883969023234481</c:v>
                </c:pt>
                <c:pt idx="549">
                  <c:v>7.6158579005163096</c:v>
                </c:pt>
                <c:pt idx="550">
                  <c:v>7.7698251486337453</c:v>
                </c:pt>
                <c:pt idx="551">
                  <c:v>7.8278295657224195</c:v>
                </c:pt>
                <c:pt idx="552">
                  <c:v>7.7662820014176912</c:v>
                </c:pt>
                <c:pt idx="553">
                  <c:v>7.5947664431271935</c:v>
                </c:pt>
                <c:pt idx="554">
                  <c:v>7.3346037660911652</c:v>
                </c:pt>
                <c:pt idx="555">
                  <c:v>7.013901079313273</c:v>
                </c:pt>
                <c:pt idx="556">
                  <c:v>6.6895465295631586</c:v>
                </c:pt>
                <c:pt idx="557">
                  <c:v>6.3938764448453416</c:v>
                </c:pt>
                <c:pt idx="558">
                  <c:v>6.1732720587361767</c:v>
                </c:pt>
                <c:pt idx="559">
                  <c:v>6.0645305288641342</c:v>
                </c:pt>
                <c:pt idx="560">
                  <c:v>6.0480841996023331</c:v>
                </c:pt>
                <c:pt idx="561">
                  <c:v>6.1359944970114775</c:v>
                </c:pt>
                <c:pt idx="562">
                  <c:v>6.2979270559347391</c:v>
                </c:pt>
                <c:pt idx="563">
                  <c:v>6.4702889758415454</c:v>
                </c:pt>
                <c:pt idx="564">
                  <c:v>6.6568708320842847</c:v>
                </c:pt>
                <c:pt idx="565">
                  <c:v>6.8167661019972243</c:v>
                </c:pt>
                <c:pt idx="566">
                  <c:v>6.9288320284486158</c:v>
                </c:pt>
                <c:pt idx="567">
                  <c:v>7.0404227400279726</c:v>
                </c:pt>
                <c:pt idx="568">
                  <c:v>7.1199429501979257</c:v>
                </c:pt>
                <c:pt idx="569">
                  <c:v>7.1742618667484575</c:v>
                </c:pt>
                <c:pt idx="570">
                  <c:v>7.228731102512759</c:v>
                </c:pt>
                <c:pt idx="571">
                  <c:v>7.2641650271086968</c:v>
                </c:pt>
                <c:pt idx="572">
                  <c:v>7.3347067090435516</c:v>
                </c:pt>
                <c:pt idx="573">
                  <c:v>7.4507724787963809</c:v>
                </c:pt>
                <c:pt idx="574">
                  <c:v>7.5946976529030517</c:v>
                </c:pt>
                <c:pt idx="575">
                  <c:v>7.7473753570606689</c:v>
                </c:pt>
                <c:pt idx="576">
                  <c:v>7.8492567818500358</c:v>
                </c:pt>
                <c:pt idx="577">
                  <c:v>7.8997243852896641</c:v>
                </c:pt>
                <c:pt idx="578">
                  <c:v>7.9260893116350504</c:v>
                </c:pt>
                <c:pt idx="579">
                  <c:v>7.9542031155793032</c:v>
                </c:pt>
                <c:pt idx="580">
                  <c:v>8.0172500211544051</c:v>
                </c:pt>
                <c:pt idx="581">
                  <c:v>8.1008196553091416</c:v>
                </c:pt>
                <c:pt idx="582">
                  <c:v>8.1443392180493746</c:v>
                </c:pt>
                <c:pt idx="583">
                  <c:v>8.1271836885275448</c:v>
                </c:pt>
                <c:pt idx="584">
                  <c:v>8.0472827209006557</c:v>
                </c:pt>
                <c:pt idx="585">
                  <c:v>7.9272594774160545</c:v>
                </c:pt>
                <c:pt idx="586">
                  <c:v>7.8522708676341963</c:v>
                </c:pt>
                <c:pt idx="587">
                  <c:v>7.8637057412347415</c:v>
                </c:pt>
                <c:pt idx="588">
                  <c:v>7.9654487473977733</c:v>
                </c:pt>
                <c:pt idx="589">
                  <c:v>8.1550027106078709</c:v>
                </c:pt>
                <c:pt idx="590">
                  <c:v>8.3689528899463799</c:v>
                </c:pt>
                <c:pt idx="591">
                  <c:v>8.5549901254695566</c:v>
                </c:pt>
                <c:pt idx="592">
                  <c:v>8.6974523720175032</c:v>
                </c:pt>
                <c:pt idx="593">
                  <c:v>8.7680494863835534</c:v>
                </c:pt>
                <c:pt idx="594">
                  <c:v>8.7977736067954773</c:v>
                </c:pt>
                <c:pt idx="595">
                  <c:v>8.8314627653963349</c:v>
                </c:pt>
                <c:pt idx="596">
                  <c:v>8.897543836007543</c:v>
                </c:pt>
                <c:pt idx="597">
                  <c:v>9.0458671535573565</c:v>
                </c:pt>
                <c:pt idx="598">
                  <c:v>9.272051851295684</c:v>
                </c:pt>
                <c:pt idx="599">
                  <c:v>9.5497491868786231</c:v>
                </c:pt>
                <c:pt idx="600">
                  <c:v>9.8337842066885734</c:v>
                </c:pt>
                <c:pt idx="601">
                  <c:v>10.059488022761013</c:v>
                </c:pt>
                <c:pt idx="602">
                  <c:v>10.20755120279526</c:v>
                </c:pt>
                <c:pt idx="603">
                  <c:v>10.265957380630319</c:v>
                </c:pt>
                <c:pt idx="604">
                  <c:v>10.265537840422915</c:v>
                </c:pt>
                <c:pt idx="605">
                  <c:v>10.237534854738737</c:v>
                </c:pt>
                <c:pt idx="606">
                  <c:v>10.164253084479089</c:v>
                </c:pt>
                <c:pt idx="607">
                  <c:v>10.05492927797884</c:v>
                </c:pt>
                <c:pt idx="608">
                  <c:v>9.8986862076861666</c:v>
                </c:pt>
                <c:pt idx="609">
                  <c:v>9.7269867348397483</c:v>
                </c:pt>
                <c:pt idx="610">
                  <c:v>9.6017390547213815</c:v>
                </c:pt>
                <c:pt idx="611">
                  <c:v>9.5527187740822548</c:v>
                </c:pt>
                <c:pt idx="612">
                  <c:v>9.5970680377555801</c:v>
                </c:pt>
                <c:pt idx="613">
                  <c:v>9.6869644338146941</c:v>
                </c:pt>
                <c:pt idx="614">
                  <c:v>9.8029513553241685</c:v>
                </c:pt>
                <c:pt idx="615">
                  <c:v>9.9178124250999957</c:v>
                </c:pt>
                <c:pt idx="616">
                  <c:v>10.002326996606056</c:v>
                </c:pt>
                <c:pt idx="617">
                  <c:v>10.069506878398979</c:v>
                </c:pt>
                <c:pt idx="618">
                  <c:v>10.074367319809252</c:v>
                </c:pt>
                <c:pt idx="619">
                  <c:v>10.028040459743982</c:v>
                </c:pt>
                <c:pt idx="620">
                  <c:v>9.9824820837250066</c:v>
                </c:pt>
                <c:pt idx="621">
                  <c:v>9.971291793514812</c:v>
                </c:pt>
                <c:pt idx="622">
                  <c:v>10.06325522990937</c:v>
                </c:pt>
                <c:pt idx="623">
                  <c:v>10.250259007055579</c:v>
                </c:pt>
                <c:pt idx="624">
                  <c:v>10.478048572062011</c:v>
                </c:pt>
                <c:pt idx="625">
                  <c:v>10.720363244542964</c:v>
                </c:pt>
                <c:pt idx="626">
                  <c:v>10.924294315637308</c:v>
                </c:pt>
                <c:pt idx="627">
                  <c:v>11.08850621967389</c:v>
                </c:pt>
                <c:pt idx="628">
                  <c:v>11.222212375949089</c:v>
                </c:pt>
                <c:pt idx="629">
                  <c:v>11.282362166934657</c:v>
                </c:pt>
                <c:pt idx="630">
                  <c:v>11.265580271182586</c:v>
                </c:pt>
                <c:pt idx="631">
                  <c:v>11.142558857714349</c:v>
                </c:pt>
                <c:pt idx="632">
                  <c:v>10.91385983186181</c:v>
                </c:pt>
                <c:pt idx="633">
                  <c:v>10.642911874009865</c:v>
                </c:pt>
                <c:pt idx="634">
                  <c:v>10.375720912201752</c:v>
                </c:pt>
                <c:pt idx="635">
                  <c:v>10.20510053102247</c:v>
                </c:pt>
                <c:pt idx="636">
                  <c:v>10.170005631720016</c:v>
                </c:pt>
                <c:pt idx="637">
                  <c:v>10.258769983003646</c:v>
                </c:pt>
                <c:pt idx="638">
                  <c:v>10.427599162664821</c:v>
                </c:pt>
                <c:pt idx="639">
                  <c:v>10.565511313412753</c:v>
                </c:pt>
                <c:pt idx="640">
                  <c:v>10.624417632456764</c:v>
                </c:pt>
                <c:pt idx="641">
                  <c:v>10.578657756808941</c:v>
                </c:pt>
                <c:pt idx="642">
                  <c:v>10.451164373563964</c:v>
                </c:pt>
                <c:pt idx="643">
                  <c:v>10.315956634411158</c:v>
                </c:pt>
                <c:pt idx="644">
                  <c:v>10.204192507070069</c:v>
                </c:pt>
                <c:pt idx="645">
                  <c:v>10.142388023490078</c:v>
                </c:pt>
                <c:pt idx="646">
                  <c:v>10.141520498879515</c:v>
                </c:pt>
                <c:pt idx="647">
                  <c:v>10.190686405328755</c:v>
                </c:pt>
                <c:pt idx="648">
                  <c:v>10.281858068856835</c:v>
                </c:pt>
                <c:pt idx="649">
                  <c:v>10.423898367720112</c:v>
                </c:pt>
                <c:pt idx="650">
                  <c:v>10.599723040799862</c:v>
                </c:pt>
                <c:pt idx="651">
                  <c:v>10.801906205988729</c:v>
                </c:pt>
                <c:pt idx="652">
                  <c:v>11.031943749088988</c:v>
                </c:pt>
                <c:pt idx="653">
                  <c:v>11.263101478436944</c:v>
                </c:pt>
                <c:pt idx="654">
                  <c:v>11.497007465707927</c:v>
                </c:pt>
                <c:pt idx="655">
                  <c:v>11.704226316886412</c:v>
                </c:pt>
                <c:pt idx="656">
                  <c:v>11.854113741222985</c:v>
                </c:pt>
                <c:pt idx="657">
                  <c:v>11.908159483144395</c:v>
                </c:pt>
                <c:pt idx="658">
                  <c:v>11.835507739110742</c:v>
                </c:pt>
                <c:pt idx="659">
                  <c:v>11.65227563252097</c:v>
                </c:pt>
                <c:pt idx="660">
                  <c:v>11.369262417752552</c:v>
                </c:pt>
                <c:pt idx="661">
                  <c:v>11.063249332003913</c:v>
                </c:pt>
                <c:pt idx="662">
                  <c:v>10.771375824138561</c:v>
                </c:pt>
                <c:pt idx="663">
                  <c:v>10.507016208917772</c:v>
                </c:pt>
                <c:pt idx="664">
                  <c:v>10.319548631211372</c:v>
                </c:pt>
                <c:pt idx="665">
                  <c:v>10.176189304633834</c:v>
                </c:pt>
                <c:pt idx="666">
                  <c:v>10.088708039844636</c:v>
                </c:pt>
                <c:pt idx="667">
                  <c:v>10.070476103343191</c:v>
                </c:pt>
                <c:pt idx="668">
                  <c:v>10.077213045534362</c:v>
                </c:pt>
                <c:pt idx="669">
                  <c:v>10.12922926294652</c:v>
                </c:pt>
                <c:pt idx="670">
                  <c:v>10.2165711666494</c:v>
                </c:pt>
                <c:pt idx="671">
                  <c:v>10.331792770300869</c:v>
                </c:pt>
                <c:pt idx="672">
                  <c:v>10.490444653354956</c:v>
                </c:pt>
                <c:pt idx="673">
                  <c:v>10.663119304792252</c:v>
                </c:pt>
                <c:pt idx="674">
                  <c:v>10.83305283653517</c:v>
                </c:pt>
                <c:pt idx="675">
                  <c:v>10.973942839086085</c:v>
                </c:pt>
                <c:pt idx="676">
                  <c:v>11.093007023515627</c:v>
                </c:pt>
                <c:pt idx="677">
                  <c:v>11.204920266178387</c:v>
                </c:pt>
                <c:pt idx="678">
                  <c:v>11.33123434947295</c:v>
                </c:pt>
                <c:pt idx="679">
                  <c:v>11.498481938342556</c:v>
                </c:pt>
                <c:pt idx="680">
                  <c:v>11.662858200132076</c:v>
                </c:pt>
                <c:pt idx="681">
                  <c:v>11.814287921611569</c:v>
                </c:pt>
                <c:pt idx="682">
                  <c:v>11.907730021269261</c:v>
                </c:pt>
                <c:pt idx="683">
                  <c:v>11.899332993092855</c:v>
                </c:pt>
                <c:pt idx="684">
                  <c:v>11.81453099383147</c:v>
                </c:pt>
                <c:pt idx="685">
                  <c:v>11.652470557402998</c:v>
                </c:pt>
                <c:pt idx="686">
                  <c:v>11.458286615900057</c:v>
                </c:pt>
                <c:pt idx="687">
                  <c:v>11.294271132883182</c:v>
                </c:pt>
                <c:pt idx="688">
                  <c:v>11.203133563227242</c:v>
                </c:pt>
                <c:pt idx="689">
                  <c:v>11.196626991328241</c:v>
                </c:pt>
                <c:pt idx="690">
                  <c:v>11.244805361437272</c:v>
                </c:pt>
                <c:pt idx="691">
                  <c:v>11.290358230518663</c:v>
                </c:pt>
                <c:pt idx="692">
                  <c:v>11.244439402534518</c:v>
                </c:pt>
                <c:pt idx="693">
                  <c:v>11.092382782049054</c:v>
                </c:pt>
                <c:pt idx="694">
                  <c:v>10.870417883576003</c:v>
                </c:pt>
                <c:pt idx="695">
                  <c:v>10.623767632536925</c:v>
                </c:pt>
                <c:pt idx="696">
                  <c:v>10.419882350546752</c:v>
                </c:pt>
                <c:pt idx="697">
                  <c:v>10.277916071118927</c:v>
                </c:pt>
                <c:pt idx="698">
                  <c:v>10.183958212885116</c:v>
                </c:pt>
                <c:pt idx="699">
                  <c:v>10.141440929863908</c:v>
                </c:pt>
                <c:pt idx="700">
                  <c:v>10.169393196969525</c:v>
                </c:pt>
                <c:pt idx="701">
                  <c:v>10.276420151705768</c:v>
                </c:pt>
                <c:pt idx="702">
                  <c:v>10.450827183223138</c:v>
                </c:pt>
                <c:pt idx="703">
                  <c:v>10.645297380278098</c:v>
                </c:pt>
                <c:pt idx="704">
                  <c:v>10.800511757134363</c:v>
                </c:pt>
                <c:pt idx="705">
                  <c:v>10.880959439367896</c:v>
                </c:pt>
                <c:pt idx="706">
                  <c:v>10.898378207669339</c:v>
                </c:pt>
                <c:pt idx="707">
                  <c:v>10.901981152404799</c:v>
                </c:pt>
                <c:pt idx="708">
                  <c:v>10.923890093897384</c:v>
                </c:pt>
                <c:pt idx="709">
                  <c:v>10.997674535185263</c:v>
                </c:pt>
                <c:pt idx="710">
                  <c:v>11.113846019860237</c:v>
                </c:pt>
                <c:pt idx="711">
                  <c:v>11.232241997417196</c:v>
                </c:pt>
                <c:pt idx="712">
                  <c:v>11.331525517098678</c:v>
                </c:pt>
                <c:pt idx="713">
                  <c:v>11.382922561481973</c:v>
                </c:pt>
                <c:pt idx="714">
                  <c:v>11.371273405286146</c:v>
                </c:pt>
                <c:pt idx="715">
                  <c:v>11.30167465486894</c:v>
                </c:pt>
                <c:pt idx="716">
                  <c:v>11.161949570118695</c:v>
                </c:pt>
                <c:pt idx="717">
                  <c:v>10.93039434534758</c:v>
                </c:pt>
                <c:pt idx="718">
                  <c:v>10.635541488695004</c:v>
                </c:pt>
                <c:pt idx="719">
                  <c:v>10.303740450637898</c:v>
                </c:pt>
                <c:pt idx="720">
                  <c:v>10.00237671015358</c:v>
                </c:pt>
                <c:pt idx="721">
                  <c:v>9.8078273128901756</c:v>
                </c:pt>
                <c:pt idx="722">
                  <c:v>9.7023204006403674</c:v>
                </c:pt>
                <c:pt idx="723">
                  <c:v>9.6739110758148286</c:v>
                </c:pt>
                <c:pt idx="724">
                  <c:v>9.674785288768323</c:v>
                </c:pt>
                <c:pt idx="725">
                  <c:v>9.6707829543851194</c:v>
                </c:pt>
                <c:pt idx="726">
                  <c:v>9.6963029219525421</c:v>
                </c:pt>
                <c:pt idx="727">
                  <c:v>9.7529587977716723</c:v>
                </c:pt>
                <c:pt idx="728">
                  <c:v>9.8240360045428581</c:v>
                </c:pt>
                <c:pt idx="729">
                  <c:v>9.8727172199206485</c:v>
                </c:pt>
                <c:pt idx="730">
                  <c:v>9.8636303383145716</c:v>
                </c:pt>
                <c:pt idx="731">
                  <c:v>9.7821633453507175</c:v>
                </c:pt>
                <c:pt idx="732">
                  <c:v>9.6686161967166804</c:v>
                </c:pt>
                <c:pt idx="733">
                  <c:v>9.5777928487790085</c:v>
                </c:pt>
                <c:pt idx="734">
                  <c:v>9.5020714534862272</c:v>
                </c:pt>
                <c:pt idx="735">
                  <c:v>9.4586455211910199</c:v>
                </c:pt>
                <c:pt idx="736">
                  <c:v>9.417842861446486</c:v>
                </c:pt>
                <c:pt idx="737">
                  <c:v>9.3278494455552785</c:v>
                </c:pt>
                <c:pt idx="738">
                  <c:v>9.2228284637768621</c:v>
                </c:pt>
                <c:pt idx="739">
                  <c:v>9.0963869558171773</c:v>
                </c:pt>
                <c:pt idx="740">
                  <c:v>8.9661115836122534</c:v>
                </c:pt>
                <c:pt idx="741">
                  <c:v>8.8711274716385269</c:v>
                </c:pt>
                <c:pt idx="742">
                  <c:v>8.7636618647851847</c:v>
                </c:pt>
                <c:pt idx="743">
                  <c:v>8.6358627346835686</c:v>
                </c:pt>
                <c:pt idx="744">
                  <c:v>8.4875229365023088</c:v>
                </c:pt>
                <c:pt idx="745">
                  <c:v>8.3187764503559656</c:v>
                </c:pt>
              </c:numCache>
            </c:numRef>
          </c:yVal>
          <c:smooth val="1"/>
          <c:extLst>
            <c:ext xmlns:c16="http://schemas.microsoft.com/office/drawing/2014/chart" uri="{C3380CC4-5D6E-409C-BE32-E72D297353CC}">
              <c16:uniqueId val="{00000004-1FAC-42BF-855F-470D99638BCE}"/>
            </c:ext>
          </c:extLst>
        </c:ser>
        <c:dLbls>
          <c:showLegendKey val="0"/>
          <c:showVal val="0"/>
          <c:showCatName val="0"/>
          <c:showSerName val="0"/>
          <c:showPercent val="0"/>
          <c:showBubbleSize val="0"/>
        </c:dLbls>
        <c:axId val="493553600"/>
        <c:axId val="493551680"/>
      </c:scatterChart>
      <c:valAx>
        <c:axId val="493553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a:pPr>
                <a:r>
                  <a:rPr lang="en-IN"/>
                  <a:t>Hours</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51680"/>
        <c:crosses val="autoZero"/>
        <c:crossBetween val="midCat"/>
      </c:valAx>
      <c:valAx>
        <c:axId val="49355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IN"/>
                  <a:t>Algae_growth</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53600"/>
        <c:crosses val="autoZero"/>
        <c:crossBetween val="midCat"/>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3-period_4th</a:t>
            </a:r>
            <a:r>
              <a:rPr lang="en-IN" baseline="0"/>
              <a:t> order chart_with original data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solution'!$B$1</c:f>
              <c:strCache>
                <c:ptCount val="1"/>
                <c:pt idx="0">
                  <c:v>Algal Growth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yVal>
          <c:smooth val="1"/>
          <c:extLst>
            <c:ext xmlns:c16="http://schemas.microsoft.com/office/drawing/2014/chart" uri="{C3380CC4-5D6E-409C-BE32-E72D297353CC}">
              <c16:uniqueId val="{00000000-D9C2-4957-B0D2-5FC360C7846A}"/>
            </c:ext>
          </c:extLst>
        </c:ser>
        <c:ser>
          <c:idx val="1"/>
          <c:order val="1"/>
          <c:tx>
            <c:strRef>
              <c:f>'Analyses and solution'!$H$1</c:f>
              <c:strCache>
                <c:ptCount val="1"/>
                <c:pt idx="0">
                  <c:v>3-period-4thOrder-MA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solution'!$H$2:$H$747</c:f>
              <c:numCache>
                <c:formatCode>General</c:formatCode>
                <c:ptCount val="746"/>
                <c:pt idx="0">
                  <c:v>6.9345063332049524</c:v>
                </c:pt>
                <c:pt idx="1">
                  <c:v>8.5979184250940595</c:v>
                </c:pt>
                <c:pt idx="2">
                  <c:v>9.3137399550813367</c:v>
                </c:pt>
                <c:pt idx="3">
                  <c:v>8.2820549040000007</c:v>
                </c:pt>
                <c:pt idx="4">
                  <c:v>8.2816086910000006</c:v>
                </c:pt>
                <c:pt idx="5">
                  <c:v>7.3773415269999996</c:v>
                </c:pt>
                <c:pt idx="6">
                  <c:v>7.980335041</c:v>
                </c:pt>
                <c:pt idx="7">
                  <c:v>7.4508063059999996</c:v>
                </c:pt>
                <c:pt idx="8">
                  <c:v>6.9824792809999998</c:v>
                </c:pt>
                <c:pt idx="9">
                  <c:v>7.4712068760000001</c:v>
                </c:pt>
                <c:pt idx="10">
                  <c:v>7.0956796950000003</c:v>
                </c:pt>
                <c:pt idx="11">
                  <c:v>6.9994584140000002</c:v>
                </c:pt>
                <c:pt idx="12">
                  <c:v>7.1887816615226461</c:v>
                </c:pt>
                <c:pt idx="13">
                  <c:v>7.0853226275740004</c:v>
                </c:pt>
                <c:pt idx="14">
                  <c:v>7.1943241524999841</c:v>
                </c:pt>
                <c:pt idx="15">
                  <c:v>7.359631033972021</c:v>
                </c:pt>
                <c:pt idx="16">
                  <c:v>7.4083907455127784</c:v>
                </c:pt>
                <c:pt idx="17">
                  <c:v>7.2545404958799606</c:v>
                </c:pt>
                <c:pt idx="18">
                  <c:v>6.9821525950263172</c:v>
                </c:pt>
                <c:pt idx="19">
                  <c:v>6.7251221398430685</c:v>
                </c:pt>
                <c:pt idx="20">
                  <c:v>6.5531647935634689</c:v>
                </c:pt>
                <c:pt idx="21">
                  <c:v>6.4204825625616992</c:v>
                </c:pt>
                <c:pt idx="22">
                  <c:v>6.2816832930992073</c:v>
                </c:pt>
                <c:pt idx="23">
                  <c:v>6.1072383943749751</c:v>
                </c:pt>
                <c:pt idx="24">
                  <c:v>5.9390682905279162</c:v>
                </c:pt>
                <c:pt idx="25">
                  <c:v>5.7652789511583924</c:v>
                </c:pt>
                <c:pt idx="26">
                  <c:v>5.6388101276254998</c:v>
                </c:pt>
                <c:pt idx="27">
                  <c:v>5.5584113602543264</c:v>
                </c:pt>
                <c:pt idx="28">
                  <c:v>5.5100563899890007</c:v>
                </c:pt>
                <c:pt idx="29">
                  <c:v>5.4429811981113874</c:v>
                </c:pt>
                <c:pt idx="30">
                  <c:v>5.391787509540432</c:v>
                </c:pt>
                <c:pt idx="31">
                  <c:v>5.5384769678567638</c:v>
                </c:pt>
                <c:pt idx="32">
                  <c:v>5.9592182077375142</c:v>
                </c:pt>
                <c:pt idx="33">
                  <c:v>6.57298032547763</c:v>
                </c:pt>
                <c:pt idx="34">
                  <c:v>7.0472979974823895</c:v>
                </c:pt>
                <c:pt idx="35">
                  <c:v>7.1648095472783373</c:v>
                </c:pt>
                <c:pt idx="36">
                  <c:v>6.8600075320375886</c:v>
                </c:pt>
                <c:pt idx="37">
                  <c:v>6.3390283076815068</c:v>
                </c:pt>
                <c:pt idx="38">
                  <c:v>5.8576909882332808</c:v>
                </c:pt>
                <c:pt idx="39">
                  <c:v>5.5977466286681477</c:v>
                </c:pt>
                <c:pt idx="40">
                  <c:v>5.5333953512484726</c:v>
                </c:pt>
                <c:pt idx="41">
                  <c:v>5.5312740803163694</c:v>
                </c:pt>
                <c:pt idx="42">
                  <c:v>5.5040590224219654</c:v>
                </c:pt>
                <c:pt idx="43">
                  <c:v>5.5125828062879512</c:v>
                </c:pt>
                <c:pt idx="44">
                  <c:v>5.6049868650982821</c:v>
                </c:pt>
                <c:pt idx="45">
                  <c:v>5.7992250133062671</c:v>
                </c:pt>
                <c:pt idx="46">
                  <c:v>5.9836101340770389</c:v>
                </c:pt>
                <c:pt idx="47">
                  <c:v>6.0959835232382682</c:v>
                </c:pt>
                <c:pt idx="48">
                  <c:v>6.0298095420895272</c:v>
                </c:pt>
                <c:pt idx="49">
                  <c:v>5.7627226303760537</c:v>
                </c:pt>
                <c:pt idx="50">
                  <c:v>5.357281319429597</c:v>
                </c:pt>
                <c:pt idx="51">
                  <c:v>4.9493606550071618</c:v>
                </c:pt>
                <c:pt idx="52">
                  <c:v>4.6675846352809378</c:v>
                </c:pt>
                <c:pt idx="53">
                  <c:v>4.4717907962356707</c:v>
                </c:pt>
                <c:pt idx="54">
                  <c:v>4.3356088156769781</c:v>
                </c:pt>
                <c:pt idx="55">
                  <c:v>4.21462608285524</c:v>
                </c:pt>
                <c:pt idx="56">
                  <c:v>4.2005171884325172</c:v>
                </c:pt>
                <c:pt idx="57">
                  <c:v>4.2987087815961651</c:v>
                </c:pt>
                <c:pt idx="58">
                  <c:v>4.4630700222393349</c:v>
                </c:pt>
                <c:pt idx="59">
                  <c:v>4.5565829288823663</c:v>
                </c:pt>
                <c:pt idx="60">
                  <c:v>4.5526960062414288</c:v>
                </c:pt>
                <c:pt idx="61">
                  <c:v>4.5799442335382379</c:v>
                </c:pt>
                <c:pt idx="62">
                  <c:v>4.8304475052382942</c:v>
                </c:pt>
                <c:pt idx="63">
                  <c:v>5.332405594575838</c:v>
                </c:pt>
                <c:pt idx="64">
                  <c:v>5.9238413159809973</c:v>
                </c:pt>
                <c:pt idx="65">
                  <c:v>6.3492143856391801</c:v>
                </c:pt>
                <c:pt idx="66">
                  <c:v>6.5093106348258276</c:v>
                </c:pt>
                <c:pt idx="67">
                  <c:v>6.4143521267786481</c:v>
                </c:pt>
                <c:pt idx="68">
                  <c:v>6.2049386464627112</c:v>
                </c:pt>
                <c:pt idx="69">
                  <c:v>5.9404578492289906</c:v>
                </c:pt>
                <c:pt idx="70">
                  <c:v>5.6597762761477108</c:v>
                </c:pt>
                <c:pt idx="71">
                  <c:v>5.3319820864832153</c:v>
                </c:pt>
                <c:pt idx="72">
                  <c:v>4.960370837625792</c:v>
                </c:pt>
                <c:pt idx="73">
                  <c:v>4.5666883123949669</c:v>
                </c:pt>
                <c:pt idx="74">
                  <c:v>4.1699966894460738</c:v>
                </c:pt>
                <c:pt idx="75">
                  <c:v>3.7991674371758788</c:v>
                </c:pt>
                <c:pt idx="76">
                  <c:v>3.5171751761985242</c:v>
                </c:pt>
                <c:pt idx="77">
                  <c:v>3.3707563913804068</c:v>
                </c:pt>
                <c:pt idx="78">
                  <c:v>3.4261377659276921</c:v>
                </c:pt>
                <c:pt idx="79">
                  <c:v>3.5758452167543173</c:v>
                </c:pt>
                <c:pt idx="80">
                  <c:v>3.7993669187770007</c:v>
                </c:pt>
                <c:pt idx="81">
                  <c:v>3.9482670322845306</c:v>
                </c:pt>
                <c:pt idx="82">
                  <c:v>4.1076342200416285</c:v>
                </c:pt>
                <c:pt idx="83">
                  <c:v>4.2150920009242627</c:v>
                </c:pt>
                <c:pt idx="84">
                  <c:v>4.3445002363005223</c:v>
                </c:pt>
                <c:pt idx="85">
                  <c:v>4.3784328000116295</c:v>
                </c:pt>
                <c:pt idx="86">
                  <c:v>4.3678904028735843</c:v>
                </c:pt>
                <c:pt idx="87">
                  <c:v>4.3051760584129681</c:v>
                </c:pt>
                <c:pt idx="88">
                  <c:v>4.3164906572416903</c:v>
                </c:pt>
                <c:pt idx="89">
                  <c:v>4.3857707275121962</c:v>
                </c:pt>
                <c:pt idx="90">
                  <c:v>4.5055158967089932</c:v>
                </c:pt>
                <c:pt idx="91">
                  <c:v>4.5770527102149758</c:v>
                </c:pt>
                <c:pt idx="92">
                  <c:v>4.5572914878834219</c:v>
                </c:pt>
                <c:pt idx="93">
                  <c:v>4.3964292124252706</c:v>
                </c:pt>
                <c:pt idx="94">
                  <c:v>4.1040935972807899</c:v>
                </c:pt>
                <c:pt idx="95">
                  <c:v>3.7375524071695008</c:v>
                </c:pt>
                <c:pt idx="96">
                  <c:v>3.4327522654007918</c:v>
                </c:pt>
                <c:pt idx="97">
                  <c:v>3.3255712954101342</c:v>
                </c:pt>
                <c:pt idx="98">
                  <c:v>3.5241729061820002</c:v>
                </c:pt>
                <c:pt idx="99">
                  <c:v>3.9402215230051314</c:v>
                </c:pt>
                <c:pt idx="100">
                  <c:v>4.3621534451051209</c:v>
                </c:pt>
                <c:pt idx="101">
                  <c:v>4.4646230768549069</c:v>
                </c:pt>
                <c:pt idx="102">
                  <c:v>4.2087343743507271</c:v>
                </c:pt>
                <c:pt idx="103">
                  <c:v>3.7873298528398256</c:v>
                </c:pt>
                <c:pt idx="104">
                  <c:v>3.5430710946035311</c:v>
                </c:pt>
                <c:pt idx="105">
                  <c:v>3.5319049321628451</c:v>
                </c:pt>
                <c:pt idx="106">
                  <c:v>3.5958967319354502</c:v>
                </c:pt>
                <c:pt idx="107">
                  <c:v>3.609421408238378</c:v>
                </c:pt>
                <c:pt idx="108">
                  <c:v>3.6316445359827303</c:v>
                </c:pt>
                <c:pt idx="109">
                  <c:v>3.8121153598539332</c:v>
                </c:pt>
                <c:pt idx="110">
                  <c:v>4.0729797992352639</c:v>
                </c:pt>
                <c:pt idx="111">
                  <c:v>4.2608949636431932</c:v>
                </c:pt>
                <c:pt idx="112">
                  <c:v>4.2815933367956136</c:v>
                </c:pt>
                <c:pt idx="113">
                  <c:v>4.2572874543927268</c:v>
                </c:pt>
                <c:pt idx="114">
                  <c:v>4.3517350258326841</c:v>
                </c:pt>
                <c:pt idx="115">
                  <c:v>4.5536769863209807</c:v>
                </c:pt>
                <c:pt idx="116">
                  <c:v>4.7862039572690094</c:v>
                </c:pt>
                <c:pt idx="117">
                  <c:v>4.898328559717136</c:v>
                </c:pt>
                <c:pt idx="118">
                  <c:v>4.9571114359953894</c:v>
                </c:pt>
                <c:pt idx="119">
                  <c:v>4.9574575411851809</c:v>
                </c:pt>
                <c:pt idx="120">
                  <c:v>4.9922560976272168</c:v>
                </c:pt>
                <c:pt idx="121">
                  <c:v>4.9397024686563276</c:v>
                </c:pt>
                <c:pt idx="122">
                  <c:v>4.8400257029376306</c:v>
                </c:pt>
                <c:pt idx="123">
                  <c:v>4.6687432514930673</c:v>
                </c:pt>
                <c:pt idx="124">
                  <c:v>4.5419411087050205</c:v>
                </c:pt>
                <c:pt idx="125">
                  <c:v>4.4169273178180894</c:v>
                </c:pt>
                <c:pt idx="126">
                  <c:v>4.2765322035343774</c:v>
                </c:pt>
                <c:pt idx="127">
                  <c:v>4.1203742547559958</c:v>
                </c:pt>
                <c:pt idx="128">
                  <c:v>3.9621976104849801</c:v>
                </c:pt>
                <c:pt idx="129">
                  <c:v>3.8286195324839594</c:v>
                </c:pt>
                <c:pt idx="130">
                  <c:v>3.654040963977534</c:v>
                </c:pt>
                <c:pt idx="131">
                  <c:v>3.5482152702568732</c:v>
                </c:pt>
                <c:pt idx="132">
                  <c:v>3.5208287277005303</c:v>
                </c:pt>
                <c:pt idx="133">
                  <c:v>3.6429945050372239</c:v>
                </c:pt>
                <c:pt idx="134">
                  <c:v>3.7246575783271676</c:v>
                </c:pt>
                <c:pt idx="135">
                  <c:v>3.7602577206778527</c:v>
                </c:pt>
                <c:pt idx="136">
                  <c:v>3.7074398176418337</c:v>
                </c:pt>
                <c:pt idx="137">
                  <c:v>3.7476353338203627</c:v>
                </c:pt>
                <c:pt idx="138">
                  <c:v>3.8889026369770492</c:v>
                </c:pt>
                <c:pt idx="139">
                  <c:v>4.0972443265638843</c:v>
                </c:pt>
                <c:pt idx="140">
                  <c:v>4.2117889322583224</c:v>
                </c:pt>
                <c:pt idx="141">
                  <c:v>4.1826831332932004</c:v>
                </c:pt>
                <c:pt idx="142">
                  <c:v>4.1171828986382044</c:v>
                </c:pt>
                <c:pt idx="143">
                  <c:v>4.1439625967073264</c:v>
                </c:pt>
                <c:pt idx="144">
                  <c:v>4.3410427988173099</c:v>
                </c:pt>
                <c:pt idx="145">
                  <c:v>4.6112175121133294</c:v>
                </c:pt>
                <c:pt idx="146">
                  <c:v>4.8962214137576687</c:v>
                </c:pt>
                <c:pt idx="147">
                  <c:v>5.0751111081392137</c:v>
                </c:pt>
                <c:pt idx="148">
                  <c:v>5.1540668139294761</c:v>
                </c:pt>
                <c:pt idx="149">
                  <c:v>5.0958540762957467</c:v>
                </c:pt>
                <c:pt idx="150">
                  <c:v>4.9966643741909449</c:v>
                </c:pt>
                <c:pt idx="151">
                  <c:v>4.8710474893518194</c:v>
                </c:pt>
                <c:pt idx="152">
                  <c:v>4.7382968447242595</c:v>
                </c:pt>
                <c:pt idx="153">
                  <c:v>4.5815592499970199</c:v>
                </c:pt>
                <c:pt idx="154">
                  <c:v>4.4200222843196819</c:v>
                </c:pt>
                <c:pt idx="155">
                  <c:v>4.3526334986628035</c:v>
                </c:pt>
                <c:pt idx="156">
                  <c:v>4.4186219976813135</c:v>
                </c:pt>
                <c:pt idx="157">
                  <c:v>4.6815633613350363</c:v>
                </c:pt>
                <c:pt idx="158">
                  <c:v>5.0680691171166705</c:v>
                </c:pt>
                <c:pt idx="159">
                  <c:v>5.5083160195087464</c:v>
                </c:pt>
                <c:pt idx="160">
                  <c:v>5.8463690993949298</c:v>
                </c:pt>
                <c:pt idx="161">
                  <c:v>6.0314767316177749</c:v>
                </c:pt>
                <c:pt idx="162">
                  <c:v>6.074245145361485</c:v>
                </c:pt>
                <c:pt idx="163">
                  <c:v>6.0552751451725335</c:v>
                </c:pt>
                <c:pt idx="164">
                  <c:v>5.9749063847157942</c:v>
                </c:pt>
                <c:pt idx="165">
                  <c:v>5.7858159112906415</c:v>
                </c:pt>
                <c:pt idx="166">
                  <c:v>5.4611876135676063</c:v>
                </c:pt>
                <c:pt idx="167">
                  <c:v>5.1141795734139182</c:v>
                </c:pt>
                <c:pt idx="168">
                  <c:v>4.9483519024312308</c:v>
                </c:pt>
                <c:pt idx="169">
                  <c:v>5.1118488166117766</c:v>
                </c:pt>
                <c:pt idx="170">
                  <c:v>5.5672472065509409</c:v>
                </c:pt>
                <c:pt idx="171">
                  <c:v>6.0699772425005394</c:v>
                </c:pt>
                <c:pt idx="172">
                  <c:v>6.3610802697762461</c:v>
                </c:pt>
                <c:pt idx="173">
                  <c:v>6.3357007321749341</c:v>
                </c:pt>
                <c:pt idx="174">
                  <c:v>6.1132565627235245</c:v>
                </c:pt>
                <c:pt idx="175">
                  <c:v>5.9186561783081801</c:v>
                </c:pt>
                <c:pt idx="176">
                  <c:v>5.8815372600426867</c:v>
                </c:pt>
                <c:pt idx="177">
                  <c:v>6.0209571157353814</c:v>
                </c:pt>
                <c:pt idx="178">
                  <c:v>6.2089079464964323</c:v>
                </c:pt>
                <c:pt idx="179">
                  <c:v>6.2927670108039315</c:v>
                </c:pt>
                <c:pt idx="180">
                  <c:v>6.1340584815073447</c:v>
                </c:pt>
                <c:pt idx="181">
                  <c:v>5.7274862062041505</c:v>
                </c:pt>
                <c:pt idx="182">
                  <c:v>5.2781339157628038</c:v>
                </c:pt>
                <c:pt idx="183">
                  <c:v>5.0293241421226407</c:v>
                </c:pt>
                <c:pt idx="184">
                  <c:v>5.1927474247242218</c:v>
                </c:pt>
                <c:pt idx="185">
                  <c:v>5.6840647775401685</c:v>
                </c:pt>
                <c:pt idx="186">
                  <c:v>6.3279298309285359</c:v>
                </c:pt>
                <c:pt idx="187">
                  <c:v>6.8179634787092036</c:v>
                </c:pt>
                <c:pt idx="188">
                  <c:v>7.0214948853636985</c:v>
                </c:pt>
                <c:pt idx="189">
                  <c:v>6.8789824551637091</c:v>
                </c:pt>
                <c:pt idx="190">
                  <c:v>6.5156579177744112</c:v>
                </c:pt>
                <c:pt idx="191">
                  <c:v>6.1081233341642642</c:v>
                </c:pt>
                <c:pt idx="192">
                  <c:v>5.8309878687663748</c:v>
                </c:pt>
                <c:pt idx="193">
                  <c:v>5.7978327898290507</c:v>
                </c:pt>
                <c:pt idx="194">
                  <c:v>5.9699946715868046</c:v>
                </c:pt>
                <c:pt idx="195">
                  <c:v>6.3072561480060365</c:v>
                </c:pt>
                <c:pt idx="196">
                  <c:v>6.7138126824786459</c:v>
                </c:pt>
                <c:pt idx="197">
                  <c:v>7.1529360606369279</c:v>
                </c:pt>
                <c:pt idx="198">
                  <c:v>7.584406035370364</c:v>
                </c:pt>
                <c:pt idx="199">
                  <c:v>7.9764115432560869</c:v>
                </c:pt>
                <c:pt idx="200">
                  <c:v>8.3072996707804325</c:v>
                </c:pt>
                <c:pt idx="201">
                  <c:v>8.4941666493955861</c:v>
                </c:pt>
                <c:pt idx="202">
                  <c:v>8.5329526732071788</c:v>
                </c:pt>
                <c:pt idx="203">
                  <c:v>8.4396951346491402</c:v>
                </c:pt>
                <c:pt idx="204">
                  <c:v>8.2657170412984939</c:v>
                </c:pt>
                <c:pt idx="205">
                  <c:v>7.9735691727808238</c:v>
                </c:pt>
                <c:pt idx="206">
                  <c:v>7.5429455762780462</c:v>
                </c:pt>
                <c:pt idx="207">
                  <c:v>7.0917601539932384</c:v>
                </c:pt>
                <c:pt idx="208">
                  <c:v>6.8215126733256453</c:v>
                </c:pt>
                <c:pt idx="209">
                  <c:v>6.8223240929288593</c:v>
                </c:pt>
                <c:pt idx="210">
                  <c:v>6.9483589488779396</c:v>
                </c:pt>
                <c:pt idx="211">
                  <c:v>6.9788893634720921</c:v>
                </c:pt>
                <c:pt idx="212">
                  <c:v>6.8807779155493067</c:v>
                </c:pt>
                <c:pt idx="213">
                  <c:v>6.7929194126152188</c:v>
                </c:pt>
                <c:pt idx="214">
                  <c:v>6.9080736757841619</c:v>
                </c:pt>
                <c:pt idx="215">
                  <c:v>7.183612454112116</c:v>
                </c:pt>
                <c:pt idx="216">
                  <c:v>7.5141220722666473</c:v>
                </c:pt>
                <c:pt idx="217">
                  <c:v>7.7874879851788732</c:v>
                </c:pt>
                <c:pt idx="218">
                  <c:v>8.033069035445239</c:v>
                </c:pt>
                <c:pt idx="219">
                  <c:v>8.2553274158870522</c:v>
                </c:pt>
                <c:pt idx="220">
                  <c:v>8.3866208929212096</c:v>
                </c:pt>
                <c:pt idx="221">
                  <c:v>8.4391719985908882</c:v>
                </c:pt>
                <c:pt idx="222">
                  <c:v>8.4649858536629186</c:v>
                </c:pt>
                <c:pt idx="223">
                  <c:v>8.5805026898742796</c:v>
                </c:pt>
                <c:pt idx="224">
                  <c:v>8.7180930006936759</c:v>
                </c:pt>
                <c:pt idx="225">
                  <c:v>8.8722081561172175</c:v>
                </c:pt>
                <c:pt idx="226">
                  <c:v>9.0429068926478724</c:v>
                </c:pt>
                <c:pt idx="227">
                  <c:v>9.280606021256153</c:v>
                </c:pt>
                <c:pt idx="228">
                  <c:v>9.4537848149392616</c:v>
                </c:pt>
                <c:pt idx="229">
                  <c:v>9.4490131422423911</c:v>
                </c:pt>
                <c:pt idx="230">
                  <c:v>9.2841840210516633</c:v>
                </c:pt>
                <c:pt idx="231">
                  <c:v>9.1440094452167546</c:v>
                </c:pt>
                <c:pt idx="232">
                  <c:v>9.1099808014220205</c:v>
                </c:pt>
                <c:pt idx="233">
                  <c:v>9.1247327933560296</c:v>
                </c:pt>
                <c:pt idx="234">
                  <c:v>9.0374942594201571</c:v>
                </c:pt>
                <c:pt idx="235">
                  <c:v>8.8524704858711214</c:v>
                </c:pt>
                <c:pt idx="236">
                  <c:v>8.6174220318198582</c:v>
                </c:pt>
                <c:pt idx="237">
                  <c:v>8.5248409353859103</c:v>
                </c:pt>
                <c:pt idx="238">
                  <c:v>8.6182574040010778</c:v>
                </c:pt>
                <c:pt idx="239">
                  <c:v>8.9327736352541987</c:v>
                </c:pt>
                <c:pt idx="240">
                  <c:v>9.2832149739035827</c:v>
                </c:pt>
                <c:pt idx="241">
                  <c:v>9.57397712301184</c:v>
                </c:pt>
                <c:pt idx="242">
                  <c:v>9.7022110399947579</c:v>
                </c:pt>
                <c:pt idx="243">
                  <c:v>9.6953517298971921</c:v>
                </c:pt>
                <c:pt idx="244">
                  <c:v>9.544438654879686</c:v>
                </c:pt>
                <c:pt idx="245">
                  <c:v>9.2967851225807348</c:v>
                </c:pt>
                <c:pt idx="246">
                  <c:v>9.0366019305172198</c:v>
                </c:pt>
                <c:pt idx="247">
                  <c:v>8.8961047037202281</c:v>
                </c:pt>
                <c:pt idx="248">
                  <c:v>8.9750561024643343</c:v>
                </c:pt>
                <c:pt idx="249">
                  <c:v>9.2760986466034101</c:v>
                </c:pt>
                <c:pt idx="250">
                  <c:v>9.6991953844308458</c:v>
                </c:pt>
                <c:pt idx="251">
                  <c:v>10.078436458347733</c:v>
                </c:pt>
                <c:pt idx="252">
                  <c:v>10.319863354239416</c:v>
                </c:pt>
                <c:pt idx="253">
                  <c:v>10.43935748098157</c:v>
                </c:pt>
                <c:pt idx="254">
                  <c:v>10.509203170291084</c:v>
                </c:pt>
                <c:pt idx="255">
                  <c:v>10.526598506854784</c:v>
                </c:pt>
                <c:pt idx="256">
                  <c:v>10.43254748586522</c:v>
                </c:pt>
                <c:pt idx="257">
                  <c:v>10.233064720218223</c:v>
                </c:pt>
                <c:pt idx="258">
                  <c:v>10.001100609351093</c:v>
                </c:pt>
                <c:pt idx="259">
                  <c:v>9.8265917381337147</c:v>
                </c:pt>
                <c:pt idx="260">
                  <c:v>9.6882263382463236</c:v>
                </c:pt>
                <c:pt idx="261">
                  <c:v>9.5613962646130677</c:v>
                </c:pt>
                <c:pt idx="262">
                  <c:v>9.4442580960939893</c:v>
                </c:pt>
                <c:pt idx="263">
                  <c:v>9.4062284954526536</c:v>
                </c:pt>
                <c:pt idx="264">
                  <c:v>9.4725616592315038</c:v>
                </c:pt>
                <c:pt idx="265">
                  <c:v>9.6106736518723554</c:v>
                </c:pt>
                <c:pt idx="266">
                  <c:v>9.7127321125211754</c:v>
                </c:pt>
                <c:pt idx="267">
                  <c:v>9.7250217233069787</c:v>
                </c:pt>
                <c:pt idx="268">
                  <c:v>9.6068587048971494</c:v>
                </c:pt>
                <c:pt idx="269">
                  <c:v>9.4663710321101817</c:v>
                </c:pt>
                <c:pt idx="270">
                  <c:v>9.3701698864607987</c:v>
                </c:pt>
                <c:pt idx="271">
                  <c:v>9.4821945734534641</c:v>
                </c:pt>
                <c:pt idx="272">
                  <c:v>9.7450756852898675</c:v>
                </c:pt>
                <c:pt idx="273">
                  <c:v>10.116143817924959</c:v>
                </c:pt>
                <c:pt idx="274">
                  <c:v>10.369108785079645</c:v>
                </c:pt>
                <c:pt idx="275">
                  <c:v>10.506989372816127</c:v>
                </c:pt>
                <c:pt idx="276">
                  <c:v>10.541532569329549</c:v>
                </c:pt>
                <c:pt idx="277">
                  <c:v>10.643028137861334</c:v>
                </c:pt>
                <c:pt idx="278">
                  <c:v>10.810454816689271</c:v>
                </c:pt>
                <c:pt idx="279">
                  <c:v>11.004918365476213</c:v>
                </c:pt>
                <c:pt idx="280">
                  <c:v>11.095942112669055</c:v>
                </c:pt>
                <c:pt idx="281">
                  <c:v>11.02349817089474</c:v>
                </c:pt>
                <c:pt idx="282">
                  <c:v>10.801745746646445</c:v>
                </c:pt>
                <c:pt idx="283">
                  <c:v>10.544718931900277</c:v>
                </c:pt>
                <c:pt idx="284">
                  <c:v>10.393582447442434</c:v>
                </c:pt>
                <c:pt idx="285">
                  <c:v>10.406902848536594</c:v>
                </c:pt>
                <c:pt idx="286">
                  <c:v>10.556214381867266</c:v>
                </c:pt>
                <c:pt idx="287">
                  <c:v>10.75591246227782</c:v>
                </c:pt>
                <c:pt idx="288">
                  <c:v>10.97103299603949</c:v>
                </c:pt>
                <c:pt idx="289">
                  <c:v>11.137564590880688</c:v>
                </c:pt>
                <c:pt idx="290">
                  <c:v>11.205485616562777</c:v>
                </c:pt>
                <c:pt idx="291">
                  <c:v>11.108392035477914</c:v>
                </c:pt>
                <c:pt idx="292">
                  <c:v>10.918135665663579</c:v>
                </c:pt>
                <c:pt idx="293">
                  <c:v>10.755101665509189</c:v>
                </c:pt>
                <c:pt idx="294">
                  <c:v>10.718086876579486</c:v>
                </c:pt>
                <c:pt idx="295">
                  <c:v>10.761707364211825</c:v>
                </c:pt>
                <c:pt idx="296">
                  <c:v>10.767442311754737</c:v>
                </c:pt>
                <c:pt idx="297">
                  <c:v>10.662552443573377</c:v>
                </c:pt>
                <c:pt idx="298">
                  <c:v>10.46530291185497</c:v>
                </c:pt>
                <c:pt idx="299">
                  <c:v>10.282352699148774</c:v>
                </c:pt>
                <c:pt idx="300">
                  <c:v>10.242531038037308</c:v>
                </c:pt>
                <c:pt idx="301">
                  <c:v>10.400381090000955</c:v>
                </c:pt>
                <c:pt idx="302">
                  <c:v>10.678142194452947</c:v>
                </c:pt>
                <c:pt idx="303">
                  <c:v>10.890267451752207</c:v>
                </c:pt>
                <c:pt idx="304">
                  <c:v>10.911689041935366</c:v>
                </c:pt>
                <c:pt idx="305">
                  <c:v>10.768808696030439</c:v>
                </c:pt>
                <c:pt idx="306">
                  <c:v>10.585350817243167</c:v>
                </c:pt>
                <c:pt idx="307">
                  <c:v>10.527335649911658</c:v>
                </c:pt>
                <c:pt idx="308">
                  <c:v>10.635898650316287</c:v>
                </c:pt>
                <c:pt idx="309">
                  <c:v>10.89122606584197</c:v>
                </c:pt>
                <c:pt idx="310">
                  <c:v>11.135505463399268</c:v>
                </c:pt>
                <c:pt idx="311">
                  <c:v>11.311773389093625</c:v>
                </c:pt>
                <c:pt idx="312">
                  <c:v>11.403565261303243</c:v>
                </c:pt>
                <c:pt idx="313">
                  <c:v>11.454900775530158</c:v>
                </c:pt>
                <c:pt idx="314">
                  <c:v>11.383416132826182</c:v>
                </c:pt>
                <c:pt idx="315">
                  <c:v>11.071263001407408</c:v>
                </c:pt>
                <c:pt idx="316">
                  <c:v>10.525914080102668</c:v>
                </c:pt>
                <c:pt idx="317">
                  <c:v>9.9166719276139492</c:v>
                </c:pt>
                <c:pt idx="318">
                  <c:v>9.5254072279618232</c:v>
                </c:pt>
                <c:pt idx="319">
                  <c:v>9.4277696132625781</c:v>
                </c:pt>
                <c:pt idx="320">
                  <c:v>9.5859865281403955</c:v>
                </c:pt>
                <c:pt idx="321">
                  <c:v>9.7648179188015369</c:v>
                </c:pt>
                <c:pt idx="322">
                  <c:v>9.8807564977809861</c:v>
                </c:pt>
                <c:pt idx="323">
                  <c:v>9.8803815491116307</c:v>
                </c:pt>
                <c:pt idx="324">
                  <c:v>9.8662617786155966</c:v>
                </c:pt>
                <c:pt idx="325">
                  <c:v>9.8293247918302011</c:v>
                </c:pt>
                <c:pt idx="326">
                  <c:v>9.7718932686534927</c:v>
                </c:pt>
                <c:pt idx="327">
                  <c:v>9.637850096780296</c:v>
                </c:pt>
                <c:pt idx="328">
                  <c:v>9.513492072013614</c:v>
                </c:pt>
                <c:pt idx="329">
                  <c:v>9.4368187033801103</c:v>
                </c:pt>
                <c:pt idx="330">
                  <c:v>9.5092078862415974</c:v>
                </c:pt>
                <c:pt idx="331">
                  <c:v>9.6885667522733545</c:v>
                </c:pt>
                <c:pt idx="332">
                  <c:v>10.020719323490246</c:v>
                </c:pt>
                <c:pt idx="333">
                  <c:v>10.403257421035006</c:v>
                </c:pt>
                <c:pt idx="334">
                  <c:v>10.786814962018846</c:v>
                </c:pt>
                <c:pt idx="335">
                  <c:v>11.010039819456766</c:v>
                </c:pt>
                <c:pt idx="336">
                  <c:v>11.063643016554314</c:v>
                </c:pt>
                <c:pt idx="337">
                  <c:v>10.957304543966005</c:v>
                </c:pt>
                <c:pt idx="338">
                  <c:v>10.783070370709597</c:v>
                </c:pt>
                <c:pt idx="339">
                  <c:v>10.528973665020663</c:v>
                </c:pt>
                <c:pt idx="340">
                  <c:v>10.190911692181414</c:v>
                </c:pt>
                <c:pt idx="341">
                  <c:v>9.7788230095590922</c:v>
                </c:pt>
                <c:pt idx="342">
                  <c:v>9.4467365179942178</c:v>
                </c:pt>
                <c:pt idx="343">
                  <c:v>9.255224637069297</c:v>
                </c:pt>
                <c:pt idx="344">
                  <c:v>9.2109864574854878</c:v>
                </c:pt>
                <c:pt idx="345">
                  <c:v>9.1214023456124043</c:v>
                </c:pt>
                <c:pt idx="346">
                  <c:v>9.0162070214409749</c:v>
                </c:pt>
                <c:pt idx="347">
                  <c:v>8.9152921838770443</c:v>
                </c:pt>
                <c:pt idx="348">
                  <c:v>9.008788467311696</c:v>
                </c:pt>
                <c:pt idx="349">
                  <c:v>9.1977681695413409</c:v>
                </c:pt>
                <c:pt idx="350">
                  <c:v>9.4722853791449921</c:v>
                </c:pt>
                <c:pt idx="351">
                  <c:v>9.7005096892336784</c:v>
                </c:pt>
                <c:pt idx="352">
                  <c:v>9.9097274589464632</c:v>
                </c:pt>
                <c:pt idx="353">
                  <c:v>9.9786194462927043</c:v>
                </c:pt>
                <c:pt idx="354">
                  <c:v>9.8733638888623769</c:v>
                </c:pt>
                <c:pt idx="355">
                  <c:v>9.5872866122105975</c:v>
                </c:pt>
                <c:pt idx="356">
                  <c:v>9.2673727756477522</c:v>
                </c:pt>
                <c:pt idx="357">
                  <c:v>9.0559334407097118</c:v>
                </c:pt>
                <c:pt idx="358">
                  <c:v>9.0399254991148918</c:v>
                </c:pt>
                <c:pt idx="359">
                  <c:v>9.1977549886562855</c:v>
                </c:pt>
                <c:pt idx="360">
                  <c:v>9.3987272904413661</c:v>
                </c:pt>
                <c:pt idx="361">
                  <c:v>9.4910521739621299</c:v>
                </c:pt>
                <c:pt idx="362">
                  <c:v>9.4136110808062323</c:v>
                </c:pt>
                <c:pt idx="363">
                  <c:v>9.1994754153605616</c:v>
                </c:pt>
                <c:pt idx="364">
                  <c:v>8.9339086979348767</c:v>
                </c:pt>
                <c:pt idx="365">
                  <c:v>8.6080804531969957</c:v>
                </c:pt>
                <c:pt idx="366">
                  <c:v>8.2637720194494708</c:v>
                </c:pt>
                <c:pt idx="367">
                  <c:v>7.9059393912536597</c:v>
                </c:pt>
                <c:pt idx="368">
                  <c:v>7.6609629011676006</c:v>
                </c:pt>
                <c:pt idx="369">
                  <c:v>7.5615727591742248</c:v>
                </c:pt>
                <c:pt idx="370">
                  <c:v>7.6846802834224119</c:v>
                </c:pt>
                <c:pt idx="371">
                  <c:v>7.8997946107156549</c:v>
                </c:pt>
                <c:pt idx="372">
                  <c:v>8.0872102233727965</c:v>
                </c:pt>
                <c:pt idx="373">
                  <c:v>8.0532839828535909</c:v>
                </c:pt>
                <c:pt idx="374">
                  <c:v>7.8620029523571704</c:v>
                </c:pt>
                <c:pt idx="375">
                  <c:v>7.6025975128125198</c:v>
                </c:pt>
                <c:pt idx="376">
                  <c:v>7.4255590741633659</c:v>
                </c:pt>
                <c:pt idx="377">
                  <c:v>7.3407349419634578</c:v>
                </c:pt>
                <c:pt idx="378">
                  <c:v>7.3903175382403639</c:v>
                </c:pt>
                <c:pt idx="379">
                  <c:v>7.6041459979463433</c:v>
                </c:pt>
                <c:pt idx="380">
                  <c:v>7.9269774890953189</c:v>
                </c:pt>
                <c:pt idx="381">
                  <c:v>8.215400884872361</c:v>
                </c:pt>
                <c:pt idx="382">
                  <c:v>8.3152297168155016</c:v>
                </c:pt>
                <c:pt idx="383">
                  <c:v>8.3067635151273009</c:v>
                </c:pt>
                <c:pt idx="384">
                  <c:v>8.2703199838815671</c:v>
                </c:pt>
                <c:pt idx="385">
                  <c:v>8.2947799227108252</c:v>
                </c:pt>
                <c:pt idx="386">
                  <c:v>8.1829965754355136</c:v>
                </c:pt>
                <c:pt idx="387">
                  <c:v>7.9213086674460973</c:v>
                </c:pt>
                <c:pt idx="388">
                  <c:v>7.5364995375690285</c:v>
                </c:pt>
                <c:pt idx="389">
                  <c:v>7.3270614172748516</c:v>
                </c:pt>
                <c:pt idx="390">
                  <c:v>7.3113035814186915</c:v>
                </c:pt>
                <c:pt idx="391">
                  <c:v>7.3832237417172095</c:v>
                </c:pt>
                <c:pt idx="392">
                  <c:v>7.3138767197247594</c:v>
                </c:pt>
                <c:pt idx="393">
                  <c:v>7.1299481925756147</c:v>
                </c:pt>
                <c:pt idx="394">
                  <c:v>6.939343502399975</c:v>
                </c:pt>
                <c:pt idx="395">
                  <c:v>6.7870540955481529</c:v>
                </c:pt>
                <c:pt idx="396">
                  <c:v>6.5936031245845932</c:v>
                </c:pt>
                <c:pt idx="397">
                  <c:v>6.3876177785436843</c:v>
                </c:pt>
                <c:pt idx="398">
                  <c:v>6.2762936147624089</c:v>
                </c:pt>
                <c:pt idx="399">
                  <c:v>6.3123742451849489</c:v>
                </c:pt>
                <c:pt idx="400">
                  <c:v>6.3596627616537686</c:v>
                </c:pt>
                <c:pt idx="401">
                  <c:v>6.3517565033605097</c:v>
                </c:pt>
                <c:pt idx="402">
                  <c:v>6.3512912650863553</c:v>
                </c:pt>
                <c:pt idx="403">
                  <c:v>6.4710025861002292</c:v>
                </c:pt>
                <c:pt idx="404">
                  <c:v>6.6233881952989577</c:v>
                </c:pt>
                <c:pt idx="405">
                  <c:v>6.6606778088853638</c:v>
                </c:pt>
                <c:pt idx="406">
                  <c:v>6.5638941125324841</c:v>
                </c:pt>
                <c:pt idx="407">
                  <c:v>6.5078653934559467</c:v>
                </c:pt>
                <c:pt idx="408">
                  <c:v>6.6509133499096373</c:v>
                </c:pt>
                <c:pt idx="409">
                  <c:v>6.9444549547282648</c:v>
                </c:pt>
                <c:pt idx="410">
                  <c:v>7.2460693154970981</c:v>
                </c:pt>
                <c:pt idx="411">
                  <c:v>7.4050301444020263</c:v>
                </c:pt>
                <c:pt idx="412">
                  <c:v>7.4216376465004039</c:v>
                </c:pt>
                <c:pt idx="413">
                  <c:v>7.288642686950328</c:v>
                </c:pt>
                <c:pt idx="414">
                  <c:v>7.013949791770596</c:v>
                </c:pt>
                <c:pt idx="415">
                  <c:v>6.6386918855769599</c:v>
                </c:pt>
                <c:pt idx="416">
                  <c:v>6.2546815479816713</c:v>
                </c:pt>
                <c:pt idx="417">
                  <c:v>6.0567704272832303</c:v>
                </c:pt>
                <c:pt idx="418">
                  <c:v>6.0505417941906261</c:v>
                </c:pt>
                <c:pt idx="419">
                  <c:v>6.2155912445862862</c:v>
                </c:pt>
                <c:pt idx="420">
                  <c:v>6.3292009747879137</c:v>
                </c:pt>
                <c:pt idx="421">
                  <c:v>6.3139853636110841</c:v>
                </c:pt>
                <c:pt idx="422">
                  <c:v>6.0969097431098627</c:v>
                </c:pt>
                <c:pt idx="423">
                  <c:v>5.7950265839826303</c:v>
                </c:pt>
                <c:pt idx="424">
                  <c:v>5.521296014316472</c:v>
                </c:pt>
                <c:pt idx="425">
                  <c:v>5.3953483243629767</c:v>
                </c:pt>
                <c:pt idx="426">
                  <c:v>5.3888827267366324</c:v>
                </c:pt>
                <c:pt idx="427">
                  <c:v>5.433441201345957</c:v>
                </c:pt>
                <c:pt idx="428">
                  <c:v>5.3918471043679075</c:v>
                </c:pt>
                <c:pt idx="429">
                  <c:v>5.2457513658731605</c:v>
                </c:pt>
                <c:pt idx="430">
                  <c:v>5.0100244982451514</c:v>
                </c:pt>
                <c:pt idx="431">
                  <c:v>4.8286701399787084</c:v>
                </c:pt>
                <c:pt idx="432">
                  <c:v>4.7802390999203759</c:v>
                </c:pt>
                <c:pt idx="433">
                  <c:v>4.9075033025605839</c:v>
                </c:pt>
                <c:pt idx="434">
                  <c:v>5.1178143113082895</c:v>
                </c:pt>
                <c:pt idx="435">
                  <c:v>5.3511342103207378</c:v>
                </c:pt>
                <c:pt idx="436">
                  <c:v>5.5471921524056178</c:v>
                </c:pt>
                <c:pt idx="437">
                  <c:v>5.7841915145984624</c:v>
                </c:pt>
                <c:pt idx="438">
                  <c:v>6.0408162880340042</c:v>
                </c:pt>
                <c:pt idx="439">
                  <c:v>6.2908969381744342</c:v>
                </c:pt>
                <c:pt idx="440">
                  <c:v>6.3576464368521419</c:v>
                </c:pt>
                <c:pt idx="441">
                  <c:v>6.258113676367163</c:v>
                </c:pt>
                <c:pt idx="442">
                  <c:v>6.0489528082645956</c:v>
                </c:pt>
                <c:pt idx="443">
                  <c:v>5.8820296067706925</c:v>
                </c:pt>
                <c:pt idx="444">
                  <c:v>5.6933052728934284</c:v>
                </c:pt>
                <c:pt idx="445">
                  <c:v>5.4506403183187961</c:v>
                </c:pt>
                <c:pt idx="446">
                  <c:v>5.1516492659286897</c:v>
                </c:pt>
                <c:pt idx="447">
                  <c:v>4.9027678455006489</c:v>
                </c:pt>
                <c:pt idx="448">
                  <c:v>4.6939332127913431</c:v>
                </c:pt>
                <c:pt idx="449">
                  <c:v>4.4181024318360409</c:v>
                </c:pt>
                <c:pt idx="450">
                  <c:v>4.0648477143690469</c:v>
                </c:pt>
                <c:pt idx="451">
                  <c:v>3.7629072430665471</c:v>
                </c:pt>
                <c:pt idx="452">
                  <c:v>3.7384794944711328</c:v>
                </c:pt>
                <c:pt idx="453">
                  <c:v>3.9952688579449536</c:v>
                </c:pt>
                <c:pt idx="454">
                  <c:v>4.345010286647188</c:v>
                </c:pt>
                <c:pt idx="455">
                  <c:v>4.5168275236069348</c:v>
                </c:pt>
                <c:pt idx="456">
                  <c:v>4.4611335293705592</c:v>
                </c:pt>
                <c:pt idx="457">
                  <c:v>4.3486108105437067</c:v>
                </c:pt>
                <c:pt idx="458">
                  <c:v>4.3446209162914462</c:v>
                </c:pt>
                <c:pt idx="459">
                  <c:v>4.4571859756953955</c:v>
                </c:pt>
                <c:pt idx="460">
                  <c:v>4.5476281340885309</c:v>
                </c:pt>
                <c:pt idx="461">
                  <c:v>4.6186420113673883</c:v>
                </c:pt>
                <c:pt idx="462">
                  <c:v>4.6941768934757659</c:v>
                </c:pt>
                <c:pt idx="463">
                  <c:v>4.899200324571674</c:v>
                </c:pt>
                <c:pt idx="464">
                  <c:v>5.1332351424267069</c:v>
                </c:pt>
                <c:pt idx="465">
                  <c:v>5.4045784944893223</c:v>
                </c:pt>
                <c:pt idx="466">
                  <c:v>5.5493072339356599</c:v>
                </c:pt>
                <c:pt idx="467">
                  <c:v>5.5892185512965149</c:v>
                </c:pt>
                <c:pt idx="468">
                  <c:v>5.4043500578358596</c:v>
                </c:pt>
                <c:pt idx="469">
                  <c:v>5.1163066779143946</c:v>
                </c:pt>
                <c:pt idx="470">
                  <c:v>4.8145909897323316</c:v>
                </c:pt>
                <c:pt idx="471">
                  <c:v>4.7211960959303427</c:v>
                </c:pt>
                <c:pt idx="472">
                  <c:v>4.8225505671598787</c:v>
                </c:pt>
                <c:pt idx="473">
                  <c:v>5.0489594613980691</c:v>
                </c:pt>
                <c:pt idx="474">
                  <c:v>5.2045418700414219</c:v>
                </c:pt>
                <c:pt idx="475">
                  <c:v>5.2649386496900128</c:v>
                </c:pt>
                <c:pt idx="476">
                  <c:v>5.174350112399587</c:v>
                </c:pt>
                <c:pt idx="477">
                  <c:v>4.9668561531262059</c:v>
                </c:pt>
                <c:pt idx="478">
                  <c:v>4.6317952290038411</c:v>
                </c:pt>
                <c:pt idx="479">
                  <c:v>4.3071000085911813</c:v>
                </c:pt>
                <c:pt idx="480">
                  <c:v>4.0917694885496241</c:v>
                </c:pt>
                <c:pt idx="481">
                  <c:v>4.0535406693193794</c:v>
                </c:pt>
                <c:pt idx="482">
                  <c:v>4.1586337071334718</c:v>
                </c:pt>
                <c:pt idx="483">
                  <c:v>4.3979202791249579</c:v>
                </c:pt>
                <c:pt idx="484">
                  <c:v>4.7403210115286258</c:v>
                </c:pt>
                <c:pt idx="485">
                  <c:v>5.0858533656285454</c:v>
                </c:pt>
                <c:pt idx="486">
                  <c:v>5.3328733604680787</c:v>
                </c:pt>
                <c:pt idx="487">
                  <c:v>5.4120337659702953</c:v>
                </c:pt>
                <c:pt idx="488">
                  <c:v>5.4184052563129308</c:v>
                </c:pt>
                <c:pt idx="489">
                  <c:v>5.3576746324435689</c:v>
                </c:pt>
                <c:pt idx="490">
                  <c:v>5.3196582277044762</c:v>
                </c:pt>
                <c:pt idx="491">
                  <c:v>5.2601531921607654</c:v>
                </c:pt>
                <c:pt idx="492">
                  <c:v>5.3304012630054141</c:v>
                </c:pt>
                <c:pt idx="493">
                  <c:v>5.5047441275077356</c:v>
                </c:pt>
                <c:pt idx="494">
                  <c:v>5.7811216859062613</c:v>
                </c:pt>
                <c:pt idx="495">
                  <c:v>5.9233998394203802</c:v>
                </c:pt>
                <c:pt idx="496">
                  <c:v>5.8379390224270375</c:v>
                </c:pt>
                <c:pt idx="497">
                  <c:v>5.4941440468907699</c:v>
                </c:pt>
                <c:pt idx="498">
                  <c:v>5.0530878271913169</c:v>
                </c:pt>
                <c:pt idx="499">
                  <c:v>4.6618931601434825</c:v>
                </c:pt>
                <c:pt idx="500">
                  <c:v>4.4765337386329973</c:v>
                </c:pt>
                <c:pt idx="501">
                  <c:v>4.5128223809510972</c:v>
                </c:pt>
                <c:pt idx="502">
                  <c:v>4.7014995062532341</c:v>
                </c:pt>
                <c:pt idx="503">
                  <c:v>4.8608979543939057</c:v>
                </c:pt>
                <c:pt idx="504">
                  <c:v>4.9482290609048425</c:v>
                </c:pt>
                <c:pt idx="505">
                  <c:v>4.9457631485382398</c:v>
                </c:pt>
                <c:pt idx="506">
                  <c:v>4.8865269302484355</c:v>
                </c:pt>
                <c:pt idx="507">
                  <c:v>4.7114895914086867</c:v>
                </c:pt>
                <c:pt idx="508">
                  <c:v>4.4823367208966696</c:v>
                </c:pt>
                <c:pt idx="509">
                  <c:v>4.353628138444865</c:v>
                </c:pt>
                <c:pt idx="510">
                  <c:v>4.4050245121769747</c:v>
                </c:pt>
                <c:pt idx="511">
                  <c:v>4.6196355328589549</c:v>
                </c:pt>
                <c:pt idx="512">
                  <c:v>4.8260543998938905</c:v>
                </c:pt>
                <c:pt idx="513">
                  <c:v>5.0892570565134791</c:v>
                </c:pt>
                <c:pt idx="514">
                  <c:v>5.3626216477703785</c:v>
                </c:pt>
                <c:pt idx="515">
                  <c:v>5.7112128859860798</c:v>
                </c:pt>
                <c:pt idx="516">
                  <c:v>5.918246075770198</c:v>
                </c:pt>
                <c:pt idx="517">
                  <c:v>5.9707894238663179</c:v>
                </c:pt>
                <c:pt idx="518">
                  <c:v>5.8349240297950713</c:v>
                </c:pt>
                <c:pt idx="519">
                  <c:v>5.688445911406725</c:v>
                </c:pt>
                <c:pt idx="520">
                  <c:v>5.6500895749160698</c:v>
                </c:pt>
                <c:pt idx="521">
                  <c:v>5.7518958874216848</c:v>
                </c:pt>
                <c:pt idx="522">
                  <c:v>5.944277800601161</c:v>
                </c:pt>
                <c:pt idx="523">
                  <c:v>6.0531663310735402</c:v>
                </c:pt>
                <c:pt idx="524">
                  <c:v>6.0770044936686842</c:v>
                </c:pt>
                <c:pt idx="525">
                  <c:v>5.9997294635752239</c:v>
                </c:pt>
                <c:pt idx="526">
                  <c:v>5.9468031293791723</c:v>
                </c:pt>
                <c:pt idx="527">
                  <c:v>5.8481370477329548</c:v>
                </c:pt>
                <c:pt idx="528">
                  <c:v>5.653683267134908</c:v>
                </c:pt>
                <c:pt idx="529">
                  <c:v>5.2780563787107182</c:v>
                </c:pt>
                <c:pt idx="530">
                  <c:v>4.8440004067947449</c:v>
                </c:pt>
                <c:pt idx="531">
                  <c:v>4.5295551433360428</c:v>
                </c:pt>
                <c:pt idx="532">
                  <c:v>4.5188732693508937</c:v>
                </c:pt>
                <c:pt idx="533">
                  <c:v>4.7823167726038855</c:v>
                </c:pt>
                <c:pt idx="534">
                  <c:v>5.1800717777992187</c:v>
                </c:pt>
                <c:pt idx="535">
                  <c:v>5.5199156429638059</c:v>
                </c:pt>
                <c:pt idx="536">
                  <c:v>5.7434815070035539</c:v>
                </c:pt>
                <c:pt idx="537">
                  <c:v>5.8708177588796273</c:v>
                </c:pt>
                <c:pt idx="538">
                  <c:v>5.9590241462325855</c:v>
                </c:pt>
                <c:pt idx="539">
                  <c:v>6.033028657000358</c:v>
                </c:pt>
                <c:pt idx="540">
                  <c:v>6.0940465330257458</c:v>
                </c:pt>
                <c:pt idx="541">
                  <c:v>6.174773136097472</c:v>
                </c:pt>
                <c:pt idx="542">
                  <c:v>6.3210717010224142</c:v>
                </c:pt>
                <c:pt idx="543">
                  <c:v>6.5539798801327835</c:v>
                </c:pt>
                <c:pt idx="544">
                  <c:v>6.8370031492323733</c:v>
                </c:pt>
                <c:pt idx="545">
                  <c:v>7.1176811449265465</c:v>
                </c:pt>
                <c:pt idx="546">
                  <c:v>7.4070862594641893</c:v>
                </c:pt>
                <c:pt idx="547">
                  <c:v>7.6920859446752567</c:v>
                </c:pt>
                <c:pt idx="548">
                  <c:v>7.9284554558159455</c:v>
                </c:pt>
                <c:pt idx="549">
                  <c:v>7.9985301560545325</c:v>
                </c:pt>
                <c:pt idx="550">
                  <c:v>7.9094793087215791</c:v>
                </c:pt>
                <c:pt idx="551">
                  <c:v>7.6903243584179188</c:v>
                </c:pt>
                <c:pt idx="552">
                  <c:v>7.4154884772860017</c:v>
                </c:pt>
                <c:pt idx="553">
                  <c:v>7.0519298914884851</c:v>
                </c:pt>
                <c:pt idx="554">
                  <c:v>6.6472846972201731</c:v>
                </c:pt>
                <c:pt idx="555">
                  <c:v>6.269126867486154</c:v>
                </c:pt>
                <c:pt idx="556">
                  <c:v>6.0238069499420126</c:v>
                </c:pt>
                <c:pt idx="557">
                  <c:v>5.9203865118772105</c:v>
                </c:pt>
                <c:pt idx="558">
                  <c:v>5.9370945432021278</c:v>
                </c:pt>
                <c:pt idx="559">
                  <c:v>6.0446808349493173</c:v>
                </c:pt>
                <c:pt idx="560">
                  <c:v>6.2403945235111635</c:v>
                </c:pt>
                <c:pt idx="561">
                  <c:v>6.4898989432366774</c:v>
                </c:pt>
                <c:pt idx="562">
                  <c:v>6.7296729952728676</c:v>
                </c:pt>
                <c:pt idx="563">
                  <c:v>6.8855204023048531</c:v>
                </c:pt>
                <c:pt idx="564">
                  <c:v>6.9593945691864434</c:v>
                </c:pt>
                <c:pt idx="565">
                  <c:v>7.008173177475622</c:v>
                </c:pt>
                <c:pt idx="566">
                  <c:v>7.1164200441118588</c:v>
                </c:pt>
                <c:pt idx="567">
                  <c:v>7.2370701426654529</c:v>
                </c:pt>
                <c:pt idx="568">
                  <c:v>7.3020802696739908</c:v>
                </c:pt>
                <c:pt idx="569">
                  <c:v>7.2469282575701035</c:v>
                </c:pt>
                <c:pt idx="570">
                  <c:v>7.2037376141367391</c:v>
                </c:pt>
                <c:pt idx="571">
                  <c:v>7.3077164651553259</c:v>
                </c:pt>
                <c:pt idx="572">
                  <c:v>7.5830631471646166</c:v>
                </c:pt>
                <c:pt idx="573">
                  <c:v>7.8846152445505693</c:v>
                </c:pt>
                <c:pt idx="574">
                  <c:v>8.0100130712716204</c:v>
                </c:pt>
                <c:pt idx="575">
                  <c:v>7.966643672190254</c:v>
                </c:pt>
                <c:pt idx="576">
                  <c:v>7.844309520770671</c:v>
                </c:pt>
                <c:pt idx="577">
                  <c:v>7.8390317279536568</c:v>
                </c:pt>
                <c:pt idx="578">
                  <c:v>7.9513232996106025</c:v>
                </c:pt>
                <c:pt idx="579">
                  <c:v>8.1466305461761817</c:v>
                </c:pt>
                <c:pt idx="580">
                  <c:v>8.2852454284855259</c:v>
                </c:pt>
                <c:pt idx="581">
                  <c:v>8.2913616296251877</c:v>
                </c:pt>
                <c:pt idx="582">
                  <c:v>8.1260835825670359</c:v>
                </c:pt>
                <c:pt idx="583">
                  <c:v>7.8610423975803618</c:v>
                </c:pt>
                <c:pt idx="584">
                  <c:v>7.6696275758391979</c:v>
                </c:pt>
                <c:pt idx="585">
                  <c:v>7.6695772963887272</c:v>
                </c:pt>
                <c:pt idx="586">
                  <c:v>7.8717969339478486</c:v>
                </c:pt>
                <c:pt idx="587">
                  <c:v>8.1425382455355209</c:v>
                </c:pt>
                <c:pt idx="588">
                  <c:v>8.4112368558189008</c:v>
                </c:pt>
                <c:pt idx="589">
                  <c:v>8.6359090010993356</c:v>
                </c:pt>
                <c:pt idx="590">
                  <c:v>8.8035349706132759</c:v>
                </c:pt>
                <c:pt idx="591">
                  <c:v>8.8657666203063332</c:v>
                </c:pt>
                <c:pt idx="592">
                  <c:v>8.8138911073805684</c:v>
                </c:pt>
                <c:pt idx="593">
                  <c:v>8.7520592796062413</c:v>
                </c:pt>
                <c:pt idx="594">
                  <c:v>8.7621293811321479</c:v>
                </c:pt>
                <c:pt idx="595">
                  <c:v>8.9248952903656793</c:v>
                </c:pt>
                <c:pt idx="596">
                  <c:v>9.177332668801192</c:v>
                </c:pt>
                <c:pt idx="597">
                  <c:v>9.5309104153703075</c:v>
                </c:pt>
                <c:pt idx="598">
                  <c:v>9.8967181755131293</c:v>
                </c:pt>
                <c:pt idx="599">
                  <c:v>10.234781225486937</c:v>
                </c:pt>
                <c:pt idx="600">
                  <c:v>10.377921687745422</c:v>
                </c:pt>
                <c:pt idx="601">
                  <c:v>10.352802848870937</c:v>
                </c:pt>
                <c:pt idx="602">
                  <c:v>10.218001566591768</c:v>
                </c:pt>
                <c:pt idx="603">
                  <c:v>10.19051977097434</c:v>
                </c:pt>
                <c:pt idx="604">
                  <c:v>10.231074248937103</c:v>
                </c:pt>
                <c:pt idx="605">
                  <c:v>10.230509398844346</c:v>
                </c:pt>
                <c:pt idx="606">
                  <c:v>10.004124846608038</c:v>
                </c:pt>
                <c:pt idx="607">
                  <c:v>9.6415040714545075</c:v>
                </c:pt>
                <c:pt idx="608">
                  <c:v>9.3726345860251445</c:v>
                </c:pt>
                <c:pt idx="609">
                  <c:v>9.3665676484976288</c:v>
                </c:pt>
                <c:pt idx="610">
                  <c:v>9.5627799605470596</c:v>
                </c:pt>
                <c:pt idx="611">
                  <c:v>9.7617967351553698</c:v>
                </c:pt>
                <c:pt idx="612">
                  <c:v>9.8435844400193915</c:v>
                </c:pt>
                <c:pt idx="613">
                  <c:v>9.8816838135208727</c:v>
                </c:pt>
                <c:pt idx="614">
                  <c:v>9.965250877737498</c:v>
                </c:pt>
                <c:pt idx="615">
                  <c:v>10.146495750706245</c:v>
                </c:pt>
                <c:pt idx="616">
                  <c:v>10.242256483471406</c:v>
                </c:pt>
                <c:pt idx="617">
                  <c:v>10.157080852209319</c:v>
                </c:pt>
                <c:pt idx="618">
                  <c:v>9.8866362553116005</c:v>
                </c:pt>
                <c:pt idx="619">
                  <c:v>9.7222298059601169</c:v>
                </c:pt>
                <c:pt idx="620">
                  <c:v>9.8306043301475228</c:v>
                </c:pt>
                <c:pt idx="621">
                  <c:v>10.215579032314642</c:v>
                </c:pt>
                <c:pt idx="622">
                  <c:v>10.590279104084205</c:v>
                </c:pt>
                <c:pt idx="623">
                  <c:v>10.823541608594207</c:v>
                </c:pt>
                <c:pt idx="624">
                  <c:v>10.92015363676164</c:v>
                </c:pt>
                <c:pt idx="625">
                  <c:v>11.069996545965308</c:v>
                </c:pt>
                <c:pt idx="626">
                  <c:v>11.26331386279953</c:v>
                </c:pt>
                <c:pt idx="627">
                  <c:v>11.43741700980047</c:v>
                </c:pt>
                <c:pt idx="628">
                  <c:v>11.430784619596507</c:v>
                </c:pt>
                <c:pt idx="629">
                  <c:v>11.287932788941276</c:v>
                </c:pt>
                <c:pt idx="630">
                  <c:v>10.995048111879896</c:v>
                </c:pt>
                <c:pt idx="631">
                  <c:v>10.659885570502496</c:v>
                </c:pt>
                <c:pt idx="632">
                  <c:v>10.267260421393248</c:v>
                </c:pt>
                <c:pt idx="633">
                  <c:v>9.9765644017502577</c:v>
                </c:pt>
                <c:pt idx="634">
                  <c:v>9.8879236184977746</c:v>
                </c:pt>
                <c:pt idx="635">
                  <c:v>10.10562479138334</c:v>
                </c:pt>
                <c:pt idx="636">
                  <c:v>10.493122515417484</c:v>
                </c:pt>
                <c:pt idx="637">
                  <c:v>10.802880674711183</c:v>
                </c:pt>
                <c:pt idx="638">
                  <c:v>10.842056587813133</c:v>
                </c:pt>
                <c:pt idx="639">
                  <c:v>10.659696893830604</c:v>
                </c:pt>
                <c:pt idx="640">
                  <c:v>10.41739225639858</c:v>
                </c:pt>
                <c:pt idx="641">
                  <c:v>10.246235166459087</c:v>
                </c:pt>
                <c:pt idx="642">
                  <c:v>10.130278477532876</c:v>
                </c:pt>
                <c:pt idx="643">
                  <c:v>10.080112125743113</c:v>
                </c:pt>
                <c:pt idx="644">
                  <c:v>10.082982676601228</c:v>
                </c:pt>
                <c:pt idx="645">
                  <c:v>10.138871136260805</c:v>
                </c:pt>
                <c:pt idx="646">
                  <c:v>10.235287763359414</c:v>
                </c:pt>
                <c:pt idx="647">
                  <c:v>10.361733825833516</c:v>
                </c:pt>
                <c:pt idx="648">
                  <c:v>10.567086612653421</c:v>
                </c:pt>
                <c:pt idx="649">
                  <c:v>10.779103963784031</c:v>
                </c:pt>
                <c:pt idx="650">
                  <c:v>11.032693450841876</c:v>
                </c:pt>
                <c:pt idx="651">
                  <c:v>11.254387160081597</c:v>
                </c:pt>
                <c:pt idx="652">
                  <c:v>11.512236132939075</c:v>
                </c:pt>
                <c:pt idx="653">
                  <c:v>11.739016458191593</c:v>
                </c:pt>
                <c:pt idx="654">
                  <c:v>11.962409405176333</c:v>
                </c:pt>
                <c:pt idx="655">
                  <c:v>12.096136040522945</c:v>
                </c:pt>
                <c:pt idx="656">
                  <c:v>12.06000277813264</c:v>
                </c:pt>
                <c:pt idx="657">
                  <c:v>11.789577684236454</c:v>
                </c:pt>
                <c:pt idx="658">
                  <c:v>11.37774641117754</c:v>
                </c:pt>
                <c:pt idx="659">
                  <c:v>10.98051706780153</c:v>
                </c:pt>
                <c:pt idx="660">
                  <c:v>10.697427795415429</c:v>
                </c:pt>
                <c:pt idx="661">
                  <c:v>10.468807446799419</c:v>
                </c:pt>
                <c:pt idx="662">
                  <c:v>10.268729504547144</c:v>
                </c:pt>
                <c:pt idx="663">
                  <c:v>10.086952566787586</c:v>
                </c:pt>
                <c:pt idx="664">
                  <c:v>10.00324221181198</c:v>
                </c:pt>
                <c:pt idx="665">
                  <c:v>10.004262551849012</c:v>
                </c:pt>
                <c:pt idx="666">
                  <c:v>10.069708837254906</c:v>
                </c:pt>
                <c:pt idx="667">
                  <c:v>10.121989187375286</c:v>
                </c:pt>
                <c:pt idx="668">
                  <c:v>10.17228603755906</c:v>
                </c:pt>
                <c:pt idx="669">
                  <c:v>10.245557426556857</c:v>
                </c:pt>
                <c:pt idx="670">
                  <c:v>10.427677173861104</c:v>
                </c:pt>
                <c:pt idx="671">
                  <c:v>10.676041239889509</c:v>
                </c:pt>
                <c:pt idx="672">
                  <c:v>10.915759730002671</c:v>
                </c:pt>
                <c:pt idx="673">
                  <c:v>11.057306408533167</c:v>
                </c:pt>
                <c:pt idx="674">
                  <c:v>11.102705431273188</c:v>
                </c:pt>
                <c:pt idx="675">
                  <c:v>11.149020643771934</c:v>
                </c:pt>
                <c:pt idx="676">
                  <c:v>11.241973149611043</c:v>
                </c:pt>
                <c:pt idx="677">
                  <c:v>11.453327317744474</c:v>
                </c:pt>
                <c:pt idx="678">
                  <c:v>11.696593004634728</c:v>
                </c:pt>
                <c:pt idx="679">
                  <c:v>11.91857319628474</c:v>
                </c:pt>
                <c:pt idx="680">
                  <c:v>12.028782409369354</c:v>
                </c:pt>
                <c:pt idx="681">
                  <c:v>12.029133050543999</c:v>
                </c:pt>
                <c:pt idx="682">
                  <c:v>11.924722242881119</c:v>
                </c:pt>
                <c:pt idx="683">
                  <c:v>11.709416580264582</c:v>
                </c:pt>
                <c:pt idx="684">
                  <c:v>11.434308159494606</c:v>
                </c:pt>
                <c:pt idx="685">
                  <c:v>11.179057838549452</c:v>
                </c:pt>
                <c:pt idx="686">
                  <c:v>11.033065096584023</c:v>
                </c:pt>
                <c:pt idx="687">
                  <c:v>11.050531600471304</c:v>
                </c:pt>
                <c:pt idx="688">
                  <c:v>11.215559287639772</c:v>
                </c:pt>
                <c:pt idx="689">
                  <c:v>11.447056699741717</c:v>
                </c:pt>
                <c:pt idx="690">
                  <c:v>11.519708339963572</c:v>
                </c:pt>
                <c:pt idx="691">
                  <c:v>11.293288553949402</c:v>
                </c:pt>
                <c:pt idx="692">
                  <c:v>10.832426215506374</c:v>
                </c:pt>
                <c:pt idx="693">
                  <c:v>10.43076036136709</c:v>
                </c:pt>
                <c:pt idx="694">
                  <c:v>10.274866375951628</c:v>
                </c:pt>
                <c:pt idx="695">
                  <c:v>10.287099416316208</c:v>
                </c:pt>
                <c:pt idx="696">
                  <c:v>10.239827049214007</c:v>
                </c:pt>
                <c:pt idx="697">
                  <c:v>10.084003716742954</c:v>
                </c:pt>
                <c:pt idx="698">
                  <c:v>9.9639326645676149</c:v>
                </c:pt>
                <c:pt idx="699">
                  <c:v>10.088808560953996</c:v>
                </c:pt>
                <c:pt idx="700">
                  <c:v>10.410159338168917</c:v>
                </c:pt>
                <c:pt idx="701">
                  <c:v>10.786893190096785</c:v>
                </c:pt>
                <c:pt idx="702">
                  <c:v>10.975581417361836</c:v>
                </c:pt>
                <c:pt idx="703">
                  <c:v>10.997734128208316</c:v>
                </c:pt>
                <c:pt idx="704">
                  <c:v>10.887117184891606</c:v>
                </c:pt>
                <c:pt idx="705">
                  <c:v>10.83092180285775</c:v>
                </c:pt>
                <c:pt idx="706">
                  <c:v>10.829711236914759</c:v>
                </c:pt>
                <c:pt idx="707">
                  <c:v>10.93141392095797</c:v>
                </c:pt>
                <c:pt idx="708">
                  <c:v>11.085238162459005</c:v>
                </c:pt>
                <c:pt idx="709">
                  <c:v>11.277089403255429</c:v>
                </c:pt>
                <c:pt idx="710">
                  <c:v>11.430677603979341</c:v>
                </c:pt>
                <c:pt idx="711">
                  <c:v>11.475361501114312</c:v>
                </c:pt>
                <c:pt idx="712">
                  <c:v>11.428206465516979</c:v>
                </c:pt>
                <c:pt idx="713">
                  <c:v>11.333709679363389</c:v>
                </c:pt>
                <c:pt idx="714">
                  <c:v>11.246226908158219</c:v>
                </c:pt>
                <c:pt idx="715">
                  <c:v>11.096960959968406</c:v>
                </c:pt>
                <c:pt idx="716">
                  <c:v>10.778177687008354</c:v>
                </c:pt>
                <c:pt idx="717">
                  <c:v>10.285427847107547</c:v>
                </c:pt>
                <c:pt idx="718">
                  <c:v>9.773402649144602</c:v>
                </c:pt>
                <c:pt idx="719">
                  <c:v>9.528029730500343</c:v>
                </c:pt>
                <c:pt idx="720">
                  <c:v>9.5881794861159175</c:v>
                </c:pt>
                <c:pt idx="721">
                  <c:v>9.7786684934418719</c:v>
                </c:pt>
                <c:pt idx="722">
                  <c:v>9.7999917703320421</c:v>
                </c:pt>
                <c:pt idx="723">
                  <c:v>9.6416591097766311</c:v>
                </c:pt>
                <c:pt idx="724">
                  <c:v>9.5171318424193245</c:v>
                </c:pt>
                <c:pt idx="725">
                  <c:v>9.6238252693265522</c:v>
                </c:pt>
                <c:pt idx="726">
                  <c:v>9.8933048607770235</c:v>
                </c:pt>
                <c:pt idx="727">
                  <c:v>10.076795905392899</c:v>
                </c:pt>
                <c:pt idx="728">
                  <c:v>10.0173433250463</c:v>
                </c:pt>
                <c:pt idx="729">
                  <c:v>9.7951934292226923</c:v>
                </c:pt>
                <c:pt idx="730">
                  <c:v>9.5837786076207365</c:v>
                </c:pt>
                <c:pt idx="731">
                  <c:v>9.4887453298954796</c:v>
                </c:pt>
                <c:pt idx="732">
                  <c:v>9.4738150641709851</c:v>
                </c:pt>
                <c:pt idx="733">
                  <c:v>9.4760296181064536</c:v>
                </c:pt>
                <c:pt idx="734">
                  <c:v>9.4663757067048788</c:v>
                </c:pt>
                <c:pt idx="735">
                  <c:v>9.4062812515632093</c:v>
                </c:pt>
                <c:pt idx="736">
                  <c:v>9.2784533756252205</c:v>
                </c:pt>
                <c:pt idx="737">
                  <c:v>9.0732788244312719</c:v>
                </c:pt>
                <c:pt idx="738">
                  <c:v>8.888857199614332</c:v>
                </c:pt>
                <c:pt idx="739">
                  <c:v>8.7988413916129655</c:v>
                </c:pt>
                <c:pt idx="740">
                  <c:v>8.8084292324608011</c:v>
                </c:pt>
                <c:pt idx="741">
                  <c:v>8.7724592371835257</c:v>
                </c:pt>
                <c:pt idx="742">
                  <c:v>8.5821115263147956</c:v>
                </c:pt>
                <c:pt idx="743">
                  <c:v>8.2552708153707304</c:v>
                </c:pt>
                <c:pt idx="744">
                  <c:v>7.9908962473327856</c:v>
                </c:pt>
                <c:pt idx="745">
                  <c:v>7.9654009595780506</c:v>
                </c:pt>
              </c:numCache>
            </c:numRef>
          </c:yVal>
          <c:smooth val="1"/>
          <c:extLst>
            <c:ext xmlns:c16="http://schemas.microsoft.com/office/drawing/2014/chart" uri="{C3380CC4-5D6E-409C-BE32-E72D297353CC}">
              <c16:uniqueId val="{00000001-D9C2-4957-B0D2-5FC360C7846A}"/>
            </c:ext>
          </c:extLst>
        </c:ser>
        <c:dLbls>
          <c:showLegendKey val="0"/>
          <c:showVal val="0"/>
          <c:showCatName val="0"/>
          <c:showSerName val="0"/>
          <c:showPercent val="0"/>
          <c:showBubbleSize val="0"/>
        </c:dLbls>
        <c:axId val="493550240"/>
        <c:axId val="493557920"/>
      </c:scatterChart>
      <c:valAx>
        <c:axId val="493550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57920"/>
        <c:crosses val="autoZero"/>
        <c:crossBetween val="midCat"/>
      </c:valAx>
      <c:valAx>
        <c:axId val="493557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Algae_Growth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50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6 period_3rd</a:t>
            </a:r>
            <a:r>
              <a:rPr lang="en-IN" baseline="0"/>
              <a:t> order-MA with orignal data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solution'!$B$1</c:f>
              <c:strCache>
                <c:ptCount val="1"/>
                <c:pt idx="0">
                  <c:v>Algal Growth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yVal>
          <c:smooth val="1"/>
          <c:extLst>
            <c:ext xmlns:c16="http://schemas.microsoft.com/office/drawing/2014/chart" uri="{C3380CC4-5D6E-409C-BE32-E72D297353CC}">
              <c16:uniqueId val="{00000000-5CE5-4CBF-A53D-528CD1539FDB}"/>
            </c:ext>
          </c:extLst>
        </c:ser>
        <c:ser>
          <c:idx val="1"/>
          <c:order val="1"/>
          <c:tx>
            <c:strRef>
              <c:f>'Analyses and solution'!$S$1</c:f>
              <c:strCache>
                <c:ptCount val="1"/>
                <c:pt idx="0">
                  <c:v>6-period-3Order-MA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solution'!$S$2:$S$747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7.4877618019999996</c:v>
                </c:pt>
                <c:pt idx="7">
                  <c:v>7.5791181529999996</c:v>
                </c:pt>
                <c:pt idx="8">
                  <c:v>7.1842528540000004</c:v>
                </c:pt>
                <c:pt idx="9">
                  <c:v>7.1560521440000002</c:v>
                </c:pt>
                <c:pt idx="10">
                  <c:v>7.3333039659999999</c:v>
                </c:pt>
                <c:pt idx="11">
                  <c:v>7.2502496169999997</c:v>
                </c:pt>
                <c:pt idx="12">
                  <c:v>7.331789756</c:v>
                </c:pt>
                <c:pt idx="13">
                  <c:v>7.2888295139999997</c:v>
                </c:pt>
                <c:pt idx="14">
                  <c:v>7.2043622300000001</c:v>
                </c:pt>
                <c:pt idx="15">
                  <c:v>7.1834445730000001</c:v>
                </c:pt>
                <c:pt idx="16">
                  <c:v>7.1135171110000002</c:v>
                </c:pt>
                <c:pt idx="17">
                  <c:v>6.9363371669999996</c:v>
                </c:pt>
                <c:pt idx="18">
                  <c:v>7.1763800583807216</c:v>
                </c:pt>
                <c:pt idx="19">
                  <c:v>7.0865493186964414</c:v>
                </c:pt>
                <c:pt idx="20">
                  <c:v>6.9750512895775971</c:v>
                </c:pt>
                <c:pt idx="21">
                  <c:v>6.8512286080037397</c:v>
                </c:pt>
                <c:pt idx="22">
                  <c:v>6.6954745081206264</c:v>
                </c:pt>
                <c:pt idx="23">
                  <c:v>6.5182736828496246</c:v>
                </c:pt>
                <c:pt idx="24">
                  <c:v>6.3590340573414936</c:v>
                </c:pt>
                <c:pt idx="25">
                  <c:v>6.2006523300541758</c:v>
                </c:pt>
                <c:pt idx="26">
                  <c:v>6.0475198055603867</c:v>
                </c:pt>
                <c:pt idx="27">
                  <c:v>5.8928523378622613</c:v>
                </c:pt>
                <c:pt idx="28">
                  <c:v>5.7724871907059558</c:v>
                </c:pt>
                <c:pt idx="29">
                  <c:v>5.6989263556001033</c:v>
                </c:pt>
                <c:pt idx="30">
                  <c:v>5.6458988103432448</c:v>
                </c:pt>
                <c:pt idx="31">
                  <c:v>5.6471113013028313</c:v>
                </c:pt>
                <c:pt idx="32">
                  <c:v>5.7179818478751052</c:v>
                </c:pt>
                <c:pt idx="33">
                  <c:v>5.8692232341388442</c:v>
                </c:pt>
                <c:pt idx="34">
                  <c:v>6.0416266276550035</c:v>
                </c:pt>
                <c:pt idx="35">
                  <c:v>6.2064210372109407</c:v>
                </c:pt>
                <c:pt idx="36">
                  <c:v>6.3543559327670458</c:v>
                </c:pt>
                <c:pt idx="37">
                  <c:v>6.4415063242940969</c:v>
                </c:pt>
                <c:pt idx="38">
                  <c:v>6.4373243844716947</c:v>
                </c:pt>
                <c:pt idx="39">
                  <c:v>6.3327385042080548</c:v>
                </c:pt>
                <c:pt idx="40">
                  <c:v>6.1891848217910264</c:v>
                </c:pt>
                <c:pt idx="41">
                  <c:v>6.0219398602572225</c:v>
                </c:pt>
                <c:pt idx="42">
                  <c:v>5.8553072356618578</c:v>
                </c:pt>
                <c:pt idx="43">
                  <c:v>5.7240122608405111</c:v>
                </c:pt>
                <c:pt idx="44">
                  <c:v>5.6574240654779553</c:v>
                </c:pt>
                <c:pt idx="45">
                  <c:v>5.6662785165694665</c:v>
                </c:pt>
                <c:pt idx="46">
                  <c:v>5.6872189233458945</c:v>
                </c:pt>
                <c:pt idx="47">
                  <c:v>5.7230306643130291</c:v>
                </c:pt>
                <c:pt idx="48">
                  <c:v>5.7590117133608878</c:v>
                </c:pt>
                <c:pt idx="49">
                  <c:v>5.7647575841094394</c:v>
                </c:pt>
                <c:pt idx="50">
                  <c:v>5.7039269563858639</c:v>
                </c:pt>
                <c:pt idx="51">
                  <c:v>5.5635026101027591</c:v>
                </c:pt>
                <c:pt idx="52">
                  <c:v>5.3962850045129604</c:v>
                </c:pt>
                <c:pt idx="53">
                  <c:v>5.1923415429867745</c:v>
                </c:pt>
                <c:pt idx="54">
                  <c:v>4.9698077077139864</c:v>
                </c:pt>
                <c:pt idx="55">
                  <c:v>4.7567446462992118</c:v>
                </c:pt>
                <c:pt idx="56">
                  <c:v>4.5922326718885946</c:v>
                </c:pt>
                <c:pt idx="57">
                  <c:v>4.478181984446163</c:v>
                </c:pt>
                <c:pt idx="58">
                  <c:v>4.4036309195339385</c:v>
                </c:pt>
                <c:pt idx="59">
                  <c:v>4.3950656409204045</c:v>
                </c:pt>
                <c:pt idx="60">
                  <c:v>4.4315348835842423</c:v>
                </c:pt>
                <c:pt idx="61">
                  <c:v>4.5134764705273325</c:v>
                </c:pt>
                <c:pt idx="62">
                  <c:v>4.6383244360505236</c:v>
                </c:pt>
                <c:pt idx="63">
                  <c:v>4.8235154057355007</c:v>
                </c:pt>
                <c:pt idx="64">
                  <c:v>5.0547187368766044</c:v>
                </c:pt>
                <c:pt idx="65">
                  <c:v>5.2955124394655657</c:v>
                </c:pt>
                <c:pt idx="66">
                  <c:v>5.5455608727487116</c:v>
                </c:pt>
                <c:pt idx="67">
                  <c:v>5.7716169057772859</c:v>
                </c:pt>
                <c:pt idx="68">
                  <c:v>5.9396856753522833</c:v>
                </c:pt>
                <c:pt idx="69">
                  <c:v>6.0090602331072622</c:v>
                </c:pt>
                <c:pt idx="70">
                  <c:v>5.9855873495506478</c:v>
                </c:pt>
                <c:pt idx="71">
                  <c:v>5.8711331239793694</c:v>
                </c:pt>
                <c:pt idx="72">
                  <c:v>5.660622590403122</c:v>
                </c:pt>
                <c:pt idx="73">
                  <c:v>5.3919842633386432</c:v>
                </c:pt>
                <c:pt idx="74">
                  <c:v>5.0765046959705034</c:v>
                </c:pt>
                <c:pt idx="75">
                  <c:v>4.7606064414178055</c:v>
                </c:pt>
                <c:pt idx="76">
                  <c:v>4.4435006247233106</c:v>
                </c:pt>
                <c:pt idx="77">
                  <c:v>4.1628468486945218</c:v>
                </c:pt>
                <c:pt idx="78">
                  <c:v>3.9513570110881076</c:v>
                </c:pt>
                <c:pt idx="79">
                  <c:v>3.793399233119743</c:v>
                </c:pt>
                <c:pt idx="80">
                  <c:v>3.7244513105000383</c:v>
                </c:pt>
                <c:pt idx="81">
                  <c:v>3.7146683481158891</c:v>
                </c:pt>
                <c:pt idx="82">
                  <c:v>3.771677324200033</c:v>
                </c:pt>
                <c:pt idx="83">
                  <c:v>3.8637351032264804</c:v>
                </c:pt>
                <c:pt idx="84">
                  <c:v>3.9693549300477335</c:v>
                </c:pt>
                <c:pt idx="85">
                  <c:v>4.0851687992349559</c:v>
                </c:pt>
                <c:pt idx="86">
                  <c:v>4.1740821320032433</c:v>
                </c:pt>
                <c:pt idx="87">
                  <c:v>4.2472004190702188</c:v>
                </c:pt>
                <c:pt idx="88">
                  <c:v>4.3039992705575658</c:v>
                </c:pt>
                <c:pt idx="89">
                  <c:v>4.3498547402974648</c:v>
                </c:pt>
                <c:pt idx="90">
                  <c:v>4.384692477401182</c:v>
                </c:pt>
                <c:pt idx="91">
                  <c:v>4.4029653622882394</c:v>
                </c:pt>
                <c:pt idx="92">
                  <c:v>4.4022191530949586</c:v>
                </c:pt>
                <c:pt idx="93">
                  <c:v>4.3809991719902097</c:v>
                </c:pt>
                <c:pt idx="94">
                  <c:v>4.3172677210010608</c:v>
                </c:pt>
                <c:pt idx="95">
                  <c:v>4.2181444762149374</c:v>
                </c:pt>
                <c:pt idx="96">
                  <c:v>4.0966506309611743</c:v>
                </c:pt>
                <c:pt idx="97">
                  <c:v>3.9831331373937515</c:v>
                </c:pt>
                <c:pt idx="98">
                  <c:v>3.8951969265921913</c:v>
                </c:pt>
                <c:pt idx="99">
                  <c:v>3.8322452485363834</c:v>
                </c:pt>
                <c:pt idx="100">
                  <c:v>3.8252167641687369</c:v>
                </c:pt>
                <c:pt idx="101">
                  <c:v>3.8640698442925419</c:v>
                </c:pt>
                <c:pt idx="102">
                  <c:v>3.9186875184136127</c:v>
                </c:pt>
                <c:pt idx="103">
                  <c:v>3.9348719313752532</c:v>
                </c:pt>
                <c:pt idx="104">
                  <c:v>3.9257623838228395</c:v>
                </c:pt>
                <c:pt idx="105">
                  <c:v>3.9030849052445671</c:v>
                </c:pt>
                <c:pt idx="106">
                  <c:v>3.8549065217309795</c:v>
                </c:pt>
                <c:pt idx="107">
                  <c:v>3.7896775649726719</c:v>
                </c:pt>
                <c:pt idx="108">
                  <c:v>3.7268966230281806</c:v>
                </c:pt>
                <c:pt idx="109">
                  <c:v>3.7315809562301099</c:v>
                </c:pt>
                <c:pt idx="110">
                  <c:v>3.7766265741532021</c:v>
                </c:pt>
                <c:pt idx="111">
                  <c:v>3.851652268993035</c:v>
                </c:pt>
                <c:pt idx="112">
                  <c:v>3.9395569711352074</c:v>
                </c:pt>
                <c:pt idx="113">
                  <c:v>4.0442626811992453</c:v>
                </c:pt>
                <c:pt idx="114">
                  <c:v>4.1776927757424493</c:v>
                </c:pt>
                <c:pt idx="115">
                  <c:v>4.2979547154550639</c:v>
                </c:pt>
                <c:pt idx="116">
                  <c:v>4.4123011578502975</c:v>
                </c:pt>
                <c:pt idx="117">
                  <c:v>4.5178832886443034</c:v>
                </c:pt>
                <c:pt idx="118">
                  <c:v>4.6301573942825183</c:v>
                </c:pt>
                <c:pt idx="119">
                  <c:v>4.7282124987931295</c:v>
                </c:pt>
                <c:pt idx="120">
                  <c:v>4.7992530090747456</c:v>
                </c:pt>
                <c:pt idx="121">
                  <c:v>4.8456461118919707</c:v>
                </c:pt>
                <c:pt idx="122">
                  <c:v>4.8646879725428356</c:v>
                </c:pt>
                <c:pt idx="123">
                  <c:v>4.8344383439331224</c:v>
                </c:pt>
                <c:pt idx="124">
                  <c:v>4.7742165613198653</c:v>
                </c:pt>
                <c:pt idx="125">
                  <c:v>4.7005421487266501</c:v>
                </c:pt>
                <c:pt idx="126">
                  <c:v>4.5961474485167706</c:v>
                </c:pt>
                <c:pt idx="127">
                  <c:v>4.4622532329830742</c:v>
                </c:pt>
                <c:pt idx="128">
                  <c:v>4.3128625666977216</c:v>
                </c:pt>
                <c:pt idx="129">
                  <c:v>4.1926427714505445</c:v>
                </c:pt>
                <c:pt idx="130">
                  <c:v>4.0666005711406257</c:v>
                </c:pt>
                <c:pt idx="131">
                  <c:v>3.9301418526270582</c:v>
                </c:pt>
                <c:pt idx="132">
                  <c:v>3.8188255524608778</c:v>
                </c:pt>
                <c:pt idx="133">
                  <c:v>3.7533414218011192</c:v>
                </c:pt>
                <c:pt idx="134">
                  <c:v>3.7097585400251396</c:v>
                </c:pt>
                <c:pt idx="135">
                  <c:v>3.6814952179645295</c:v>
                </c:pt>
                <c:pt idx="136">
                  <c:v>3.6819155507818793</c:v>
                </c:pt>
                <c:pt idx="137">
                  <c:v>3.7218822992271492</c:v>
                </c:pt>
                <c:pt idx="138">
                  <c:v>3.772172746957942</c:v>
                </c:pt>
                <c:pt idx="139">
                  <c:v>3.8222760559240778</c:v>
                </c:pt>
                <c:pt idx="140">
                  <c:v>3.899673547352394</c:v>
                </c:pt>
                <c:pt idx="141">
                  <c:v>3.968386585333247</c:v>
                </c:pt>
                <c:pt idx="142">
                  <c:v>4.0370247322908162</c:v>
                </c:pt>
                <c:pt idx="143">
                  <c:v>4.1131103687406547</c:v>
                </c:pt>
                <c:pt idx="144">
                  <c:v>4.2105920259790652</c:v>
                </c:pt>
                <c:pt idx="145">
                  <c:v>4.317964355708396</c:v>
                </c:pt>
                <c:pt idx="146">
                  <c:v>4.4221404463554626</c:v>
                </c:pt>
                <c:pt idx="147">
                  <c:v>4.5485873377166284</c:v>
                </c:pt>
                <c:pt idx="148">
                  <c:v>4.6898453559088047</c:v>
                </c:pt>
                <c:pt idx="149">
                  <c:v>4.7969957670072105</c:v>
                </c:pt>
                <c:pt idx="150">
                  <c:v>4.8696901393783998</c:v>
                </c:pt>
                <c:pt idx="151">
                  <c:v>4.9052463104613269</c:v>
                </c:pt>
                <c:pt idx="152">
                  <c:v>4.9017867360870762</c:v>
                </c:pt>
                <c:pt idx="153">
                  <c:v>4.8579354683054339</c:v>
                </c:pt>
                <c:pt idx="154">
                  <c:v>4.7720181739126746</c:v>
                </c:pt>
                <c:pt idx="155">
                  <c:v>4.7056978496760511</c:v>
                </c:pt>
                <c:pt idx="156">
                  <c:v>4.6630987875159065</c:v>
                </c:pt>
                <c:pt idx="157">
                  <c:v>4.6699711966481452</c:v>
                </c:pt>
                <c:pt idx="158">
                  <c:v>4.7315015671114589</c:v>
                </c:pt>
                <c:pt idx="159">
                  <c:v>4.8568423083819861</c:v>
                </c:pt>
                <c:pt idx="160">
                  <c:v>5.0486116583867275</c:v>
                </c:pt>
                <c:pt idx="161">
                  <c:v>5.2582779508295454</c:v>
                </c:pt>
                <c:pt idx="162">
                  <c:v>5.4652709451645221</c:v>
                </c:pt>
                <c:pt idx="163">
                  <c:v>5.6362676400991596</c:v>
                </c:pt>
                <c:pt idx="164">
                  <c:v>5.7555069410798128</c:v>
                </c:pt>
                <c:pt idx="165">
                  <c:v>5.8011068095479148</c:v>
                </c:pt>
                <c:pt idx="166">
                  <c:v>5.7689105141965067</c:v>
                </c:pt>
                <c:pt idx="167">
                  <c:v>5.6938018357167097</c:v>
                </c:pt>
                <c:pt idx="168">
                  <c:v>5.6026399721719535</c:v>
                </c:pt>
                <c:pt idx="169">
                  <c:v>5.5283013718205298</c:v>
                </c:pt>
                <c:pt idx="170">
                  <c:v>5.49908084189288</c:v>
                </c:pt>
                <c:pt idx="171">
                  <c:v>5.5234170508441869</c:v>
                </c:pt>
                <c:pt idx="172">
                  <c:v>5.6105849035574211</c:v>
                </c:pt>
                <c:pt idx="173">
                  <c:v>5.7237705114019439</c:v>
                </c:pt>
                <c:pt idx="174">
                  <c:v>5.840131229180578</c:v>
                </c:pt>
                <c:pt idx="175">
                  <c:v>5.9503085030303096</c:v>
                </c:pt>
                <c:pt idx="176">
                  <c:v>6.0291891804786601</c:v>
                </c:pt>
                <c:pt idx="177">
                  <c:v>6.080489606751585</c:v>
                </c:pt>
                <c:pt idx="178">
                  <c:v>6.0822192855226502</c:v>
                </c:pt>
                <c:pt idx="179">
                  <c:v>6.0647948924949873</c:v>
                </c:pt>
                <c:pt idx="180">
                  <c:v>6.0297078908801973</c:v>
                </c:pt>
                <c:pt idx="181">
                  <c:v>5.9567775143039086</c:v>
                </c:pt>
                <c:pt idx="182">
                  <c:v>5.8663749060312691</c:v>
                </c:pt>
                <c:pt idx="183">
                  <c:v>5.7720673525901249</c:v>
                </c:pt>
                <c:pt idx="184">
                  <c:v>5.7159220478597499</c:v>
                </c:pt>
                <c:pt idx="185">
                  <c:v>5.7016486561328241</c:v>
                </c:pt>
                <c:pt idx="186">
                  <c:v>5.752768915253955</c:v>
                </c:pt>
                <c:pt idx="187">
                  <c:v>5.870904169641924</c:v>
                </c:pt>
                <c:pt idx="188">
                  <c:v>6.0331279860383367</c:v>
                </c:pt>
                <c:pt idx="189">
                  <c:v>6.1991966571743014</c:v>
                </c:pt>
                <c:pt idx="190">
                  <c:v>6.3312764462768607</c:v>
                </c:pt>
                <c:pt idx="191">
                  <c:v>6.3999202224859912</c:v>
                </c:pt>
                <c:pt idx="192">
                  <c:v>6.3905949827386879</c:v>
                </c:pt>
                <c:pt idx="193">
                  <c:v>6.3505775851668913</c:v>
                </c:pt>
                <c:pt idx="194">
                  <c:v>6.2957387886162266</c:v>
                </c:pt>
                <c:pt idx="195">
                  <c:v>6.2807767327162187</c:v>
                </c:pt>
                <c:pt idx="196">
                  <c:v>6.3267788398877416</c:v>
                </c:pt>
                <c:pt idx="197">
                  <c:v>6.4717396302152794</c:v>
                </c:pt>
                <c:pt idx="198">
                  <c:v>6.7116087341295723</c:v>
                </c:pt>
                <c:pt idx="199">
                  <c:v>6.985732336261111</c:v>
                </c:pt>
                <c:pt idx="200">
                  <c:v>7.3027118302185059</c:v>
                </c:pt>
                <c:pt idx="201">
                  <c:v>7.6121026361105448</c:v>
                </c:pt>
                <c:pt idx="202">
                  <c:v>7.8815844088539651</c:v>
                </c:pt>
                <c:pt idx="203">
                  <c:v>8.059572171386387</c:v>
                </c:pt>
                <c:pt idx="204">
                  <c:v>8.1396463590031249</c:v>
                </c:pt>
                <c:pt idx="205">
                  <c:v>8.1521062395618777</c:v>
                </c:pt>
                <c:pt idx="206">
                  <c:v>8.0666788744771907</c:v>
                </c:pt>
                <c:pt idx="207">
                  <c:v>7.9002735439155858</c:v>
                </c:pt>
                <c:pt idx="208">
                  <c:v>7.6871272927912955</c:v>
                </c:pt>
                <c:pt idx="209">
                  <c:v>7.4807081073488915</c:v>
                </c:pt>
                <c:pt idx="210">
                  <c:v>7.2935724404843194</c:v>
                </c:pt>
                <c:pt idx="211">
                  <c:v>7.1318252238489768</c:v>
                </c:pt>
                <c:pt idx="212">
                  <c:v>7.0167249966144238</c:v>
                </c:pt>
                <c:pt idx="213">
                  <c:v>6.9575181391459253</c:v>
                </c:pt>
                <c:pt idx="214">
                  <c:v>6.9642058851738975</c:v>
                </c:pt>
                <c:pt idx="215">
                  <c:v>7.0144199672074352</c:v>
                </c:pt>
                <c:pt idx="216">
                  <c:v>7.1225828137211478</c:v>
                </c:pt>
                <c:pt idx="217">
                  <c:v>7.2562088080808058</c:v>
                </c:pt>
                <c:pt idx="218">
                  <c:v>7.4180124354770172</c:v>
                </c:pt>
                <c:pt idx="219">
                  <c:v>7.6203519711730801</c:v>
                </c:pt>
                <c:pt idx="220">
                  <c:v>7.8253834869044994</c:v>
                </c:pt>
                <c:pt idx="221">
                  <c:v>8.0166096909496307</c:v>
                </c:pt>
                <c:pt idx="222">
                  <c:v>8.1620954471303779</c:v>
                </c:pt>
                <c:pt idx="223">
                  <c:v>8.3157055707628071</c:v>
                </c:pt>
                <c:pt idx="224">
                  <c:v>8.4774252459944837</c:v>
                </c:pt>
                <c:pt idx="225">
                  <c:v>8.6062812930726675</c:v>
                </c:pt>
                <c:pt idx="226">
                  <c:v>8.710844731391008</c:v>
                </c:pt>
                <c:pt idx="227">
                  <c:v>8.8281343230988458</c:v>
                </c:pt>
                <c:pt idx="228">
                  <c:v>8.9757194890339189</c:v>
                </c:pt>
                <c:pt idx="229">
                  <c:v>9.09094109492675</c:v>
                </c:pt>
                <c:pt idx="230">
                  <c:v>9.1534547455577471</c:v>
                </c:pt>
                <c:pt idx="231">
                  <c:v>9.192945508003163</c:v>
                </c:pt>
                <c:pt idx="232">
                  <c:v>9.2300482168040237</c:v>
                </c:pt>
                <c:pt idx="233">
                  <c:v>9.2156632236948486</c:v>
                </c:pt>
                <c:pt idx="234">
                  <c:v>9.1439232630682152</c:v>
                </c:pt>
                <c:pt idx="235">
                  <c:v>9.0622054493490936</c:v>
                </c:pt>
                <c:pt idx="236">
                  <c:v>8.9900476116711552</c:v>
                </c:pt>
                <c:pt idx="237">
                  <c:v>8.9307310920258356</c:v>
                </c:pt>
                <c:pt idx="238">
                  <c:v>8.870504595740579</c:v>
                </c:pt>
                <c:pt idx="239">
                  <c:v>8.8666005635605369</c:v>
                </c:pt>
                <c:pt idx="240">
                  <c:v>8.9239479384678049</c:v>
                </c:pt>
                <c:pt idx="241">
                  <c:v>9.0135255609365146</c:v>
                </c:pt>
                <c:pt idx="242">
                  <c:v>9.1214066445403645</c:v>
                </c:pt>
                <c:pt idx="243">
                  <c:v>9.2301725651942075</c:v>
                </c:pt>
                <c:pt idx="244">
                  <c:v>9.3306062328207258</c:v>
                </c:pt>
                <c:pt idx="245">
                  <c:v>9.3756498184746118</c:v>
                </c:pt>
                <c:pt idx="246">
                  <c:v>9.3698474892281212</c:v>
                </c:pt>
                <c:pt idx="247">
                  <c:v>9.343809526839145</c:v>
                </c:pt>
                <c:pt idx="248">
                  <c:v>9.3195334595890689</c:v>
                </c:pt>
                <c:pt idx="249">
                  <c:v>9.309707982287696</c:v>
                </c:pt>
                <c:pt idx="250">
                  <c:v>9.344322748177369</c:v>
                </c:pt>
                <c:pt idx="251">
                  <c:v>9.4534630753468694</c:v>
                </c:pt>
                <c:pt idx="252">
                  <c:v>9.615850326593689</c:v>
                </c:pt>
                <c:pt idx="253">
                  <c:v>9.793111338799946</c:v>
                </c:pt>
                <c:pt idx="254">
                  <c:v>9.9726957495690431</c:v>
                </c:pt>
                <c:pt idx="255">
                  <c:v>10.138309456314516</c:v>
                </c:pt>
                <c:pt idx="256">
                  <c:v>10.253134684841063</c:v>
                </c:pt>
                <c:pt idx="257">
                  <c:v>10.289775173558331</c:v>
                </c:pt>
                <c:pt idx="258">
                  <c:v>10.260153400264953</c:v>
                </c:pt>
                <c:pt idx="259">
                  <c:v>10.197621351722459</c:v>
                </c:pt>
                <c:pt idx="260">
                  <c:v>10.091359110813881</c:v>
                </c:pt>
                <c:pt idx="261">
                  <c:v>9.9589070058657949</c:v>
                </c:pt>
                <c:pt idx="262">
                  <c:v>9.8294731987468413</c:v>
                </c:pt>
                <c:pt idx="263">
                  <c:v>9.7191138408794036</c:v>
                </c:pt>
                <c:pt idx="264">
                  <c:v>9.6473269505315127</c:v>
                </c:pt>
                <c:pt idx="265">
                  <c:v>9.5944947087777095</c:v>
                </c:pt>
                <c:pt idx="266">
                  <c:v>9.5686768797627</c:v>
                </c:pt>
                <c:pt idx="267">
                  <c:v>9.561170544058303</c:v>
                </c:pt>
                <c:pt idx="268">
                  <c:v>9.5619572740332437</c:v>
                </c:pt>
                <c:pt idx="269">
                  <c:v>9.5734907939169478</c:v>
                </c:pt>
                <c:pt idx="270">
                  <c:v>9.5816955844957992</c:v>
                </c:pt>
                <c:pt idx="271">
                  <c:v>9.6030437270759794</c:v>
                </c:pt>
                <c:pt idx="272">
                  <c:v>9.6431158033506481</c:v>
                </c:pt>
                <c:pt idx="273">
                  <c:v>9.7214438215748196</c:v>
                </c:pt>
                <c:pt idx="274">
                  <c:v>9.8307134891510799</c:v>
                </c:pt>
                <c:pt idx="275">
                  <c:v>9.9699034664467785</c:v>
                </c:pt>
                <c:pt idx="276">
                  <c:v>10.125806888786324</c:v>
                </c:pt>
                <c:pt idx="277">
                  <c:v>10.29167252843594</c:v>
                </c:pt>
                <c:pt idx="278">
                  <c:v>10.463064612915444</c:v>
                </c:pt>
                <c:pt idx="279">
                  <c:v>10.600718154253164</c:v>
                </c:pt>
                <c:pt idx="280">
                  <c:v>10.706557142094198</c:v>
                </c:pt>
                <c:pt idx="281">
                  <c:v>10.7766905920234</c:v>
                </c:pt>
                <c:pt idx="282">
                  <c:v>10.815779191596562</c:v>
                </c:pt>
                <c:pt idx="283">
                  <c:v>10.808441760009011</c:v>
                </c:pt>
                <c:pt idx="284">
                  <c:v>10.763939456232221</c:v>
                </c:pt>
                <c:pt idx="285">
                  <c:v>10.723078403797492</c:v>
                </c:pt>
                <c:pt idx="286">
                  <c:v>10.694585565212266</c:v>
                </c:pt>
                <c:pt idx="287">
                  <c:v>10.683047461139545</c:v>
                </c:pt>
                <c:pt idx="288">
                  <c:v>10.698481965467826</c:v>
                </c:pt>
                <c:pt idx="289">
                  <c:v>10.747521267124478</c:v>
                </c:pt>
                <c:pt idx="290">
                  <c:v>10.820476260852422</c:v>
                </c:pt>
                <c:pt idx="291">
                  <c:v>10.886074290450992</c:v>
                </c:pt>
                <c:pt idx="292">
                  <c:v>10.930778829749116</c:v>
                </c:pt>
                <c:pt idx="293">
                  <c:v>10.944371187175504</c:v>
                </c:pt>
                <c:pt idx="294">
                  <c:v>10.931733426467341</c:v>
                </c:pt>
                <c:pt idx="295">
                  <c:v>10.900814118950327</c:v>
                </c:pt>
                <c:pt idx="296">
                  <c:v>10.834835770501732</c:v>
                </c:pt>
                <c:pt idx="297">
                  <c:v>10.755248832683641</c:v>
                </c:pt>
                <c:pt idx="298">
                  <c:v>10.680716739628373</c:v>
                </c:pt>
                <c:pt idx="299">
                  <c:v>10.623849815428164</c:v>
                </c:pt>
                <c:pt idx="300">
                  <c:v>10.570263788892808</c:v>
                </c:pt>
                <c:pt idx="301">
                  <c:v>10.524372230431279</c:v>
                </c:pt>
                <c:pt idx="302">
                  <c:v>10.526715770612318</c:v>
                </c:pt>
                <c:pt idx="303">
                  <c:v>10.550330153349513</c:v>
                </c:pt>
                <c:pt idx="304">
                  <c:v>10.579604959259546</c:v>
                </c:pt>
                <c:pt idx="305">
                  <c:v>10.612426911210347</c:v>
                </c:pt>
                <c:pt idx="306">
                  <c:v>10.656286488620951</c:v>
                </c:pt>
                <c:pt idx="307">
                  <c:v>10.703450608011908</c:v>
                </c:pt>
                <c:pt idx="308">
                  <c:v>10.725492369941668</c:v>
                </c:pt>
                <c:pt idx="309">
                  <c:v>10.76591725789941</c:v>
                </c:pt>
                <c:pt idx="310">
                  <c:v>10.835104480628951</c:v>
                </c:pt>
                <c:pt idx="311">
                  <c:v>10.920314522338208</c:v>
                </c:pt>
                <c:pt idx="312">
                  <c:v>11.002748431057199</c:v>
                </c:pt>
                <c:pt idx="313">
                  <c:v>11.075152401761976</c:v>
                </c:pt>
                <c:pt idx="314">
                  <c:v>11.12496959221315</c:v>
                </c:pt>
                <c:pt idx="315">
                  <c:v>11.109053673575849</c:v>
                </c:pt>
                <c:pt idx="316">
                  <c:v>11.005278913094623</c:v>
                </c:pt>
                <c:pt idx="317">
                  <c:v>10.826086694055432</c:v>
                </c:pt>
                <c:pt idx="318">
                  <c:v>10.608279259185068</c:v>
                </c:pt>
                <c:pt idx="319">
                  <c:v>10.364893083717407</c:v>
                </c:pt>
                <c:pt idx="320">
                  <c:v>10.136225357677203</c:v>
                </c:pt>
                <c:pt idx="321">
                  <c:v>9.9476471911329725</c:v>
                </c:pt>
                <c:pt idx="322">
                  <c:v>9.8305423446401416</c:v>
                </c:pt>
                <c:pt idx="323">
                  <c:v>9.7748855468442901</c:v>
                </c:pt>
                <c:pt idx="324">
                  <c:v>9.7498785604144</c:v>
                </c:pt>
                <c:pt idx="325">
                  <c:v>9.7581119282501287</c:v>
                </c:pt>
                <c:pt idx="326">
                  <c:v>9.7631956677080414</c:v>
                </c:pt>
                <c:pt idx="327">
                  <c:v>9.7555069868329873</c:v>
                </c:pt>
                <c:pt idx="328">
                  <c:v>9.7236584772649248</c:v>
                </c:pt>
                <c:pt idx="329">
                  <c:v>9.690720072613642</c:v>
                </c:pt>
                <c:pt idx="330">
                  <c:v>9.6847866407161032</c:v>
                </c:pt>
                <c:pt idx="331">
                  <c:v>9.6972070824337617</c:v>
                </c:pt>
                <c:pt idx="332">
                  <c:v>9.7595162076187414</c:v>
                </c:pt>
                <c:pt idx="333">
                  <c:v>9.8766452949637298</c:v>
                </c:pt>
                <c:pt idx="334">
                  <c:v>10.046793685688028</c:v>
                </c:pt>
                <c:pt idx="335">
                  <c:v>10.2411444075349</c:v>
                </c:pt>
                <c:pt idx="336">
                  <c:v>10.423415066348154</c:v>
                </c:pt>
                <c:pt idx="337">
                  <c:v>10.577502964715974</c:v>
                </c:pt>
                <c:pt idx="338">
                  <c:v>10.663663042947201</c:v>
                </c:pt>
                <c:pt idx="339">
                  <c:v>10.67577285324032</c:v>
                </c:pt>
                <c:pt idx="340">
                  <c:v>10.60264144264314</c:v>
                </c:pt>
                <c:pt idx="341">
                  <c:v>10.457027198024347</c:v>
                </c:pt>
                <c:pt idx="342">
                  <c:v>10.247839474656415</c:v>
                </c:pt>
                <c:pt idx="343">
                  <c:v>10.010148233974862</c:v>
                </c:pt>
                <c:pt idx="344">
                  <c:v>9.7840782580729861</c:v>
                </c:pt>
                <c:pt idx="345">
                  <c:v>9.5727437153868209</c:v>
                </c:pt>
                <c:pt idx="346">
                  <c:v>9.3935996349353363</c:v>
                </c:pt>
                <c:pt idx="347">
                  <c:v>9.2494736708599259</c:v>
                </c:pt>
                <c:pt idx="348">
                  <c:v>9.1830422581748259</c:v>
                </c:pt>
                <c:pt idx="349">
                  <c:v>9.1787131882621278</c:v>
                </c:pt>
                <c:pt idx="350">
                  <c:v>9.2149265458131211</c:v>
                </c:pt>
                <c:pt idx="351">
                  <c:v>9.2839393917857684</c:v>
                </c:pt>
                <c:pt idx="352">
                  <c:v>9.383261034717723</c:v>
                </c:pt>
                <c:pt idx="353">
                  <c:v>9.5037973375380993</c:v>
                </c:pt>
                <c:pt idx="354">
                  <c:v>9.5851843224122977</c:v>
                </c:pt>
                <c:pt idx="355">
                  <c:v>9.611785628488807</c:v>
                </c:pt>
                <c:pt idx="356">
                  <c:v>9.5979085399649833</c:v>
                </c:pt>
                <c:pt idx="357">
                  <c:v>9.5635817873439866</c:v>
                </c:pt>
                <c:pt idx="358">
                  <c:v>9.491516060299519</c:v>
                </c:pt>
                <c:pt idx="359">
                  <c:v>9.4025755155032353</c:v>
                </c:pt>
                <c:pt idx="360">
                  <c:v>9.3368144117791427</c:v>
                </c:pt>
                <c:pt idx="361">
                  <c:v>9.3059652552217642</c:v>
                </c:pt>
                <c:pt idx="362">
                  <c:v>9.2710283946276597</c:v>
                </c:pt>
                <c:pt idx="363">
                  <c:v>9.215804473666779</c:v>
                </c:pt>
                <c:pt idx="364">
                  <c:v>9.1542489206676745</c:v>
                </c:pt>
                <c:pt idx="365">
                  <c:v>9.0478141972524124</c:v>
                </c:pt>
                <c:pt idx="366">
                  <c:v>8.8807171968522542</c:v>
                </c:pt>
                <c:pt idx="367">
                  <c:v>8.6678907903329243</c:v>
                </c:pt>
                <c:pt idx="368">
                  <c:v>8.4576578955819581</c:v>
                </c:pt>
                <c:pt idx="369">
                  <c:v>8.2601800859414265</c:v>
                </c:pt>
                <c:pt idx="370">
                  <c:v>8.0773629264574964</c:v>
                </c:pt>
                <c:pt idx="371">
                  <c:v>7.9484769780777436</c:v>
                </c:pt>
                <c:pt idx="372">
                  <c:v>7.8838044847710158</c:v>
                </c:pt>
                <c:pt idx="373">
                  <c:v>7.8498520151027158</c:v>
                </c:pt>
                <c:pt idx="374">
                  <c:v>7.8211129300899138</c:v>
                </c:pt>
                <c:pt idx="375">
                  <c:v>7.7835567788992579</c:v>
                </c:pt>
                <c:pt idx="376">
                  <c:v>7.7529892406419059</c:v>
                </c:pt>
                <c:pt idx="377">
                  <c:v>7.7214465451977885</c:v>
                </c:pt>
                <c:pt idx="378">
                  <c:v>7.6725725088176659</c:v>
                </c:pt>
                <c:pt idx="379">
                  <c:v>7.6441006145243691</c:v>
                </c:pt>
                <c:pt idx="380">
                  <c:v>7.6638354746843937</c:v>
                </c:pt>
                <c:pt idx="381">
                  <c:v>7.7386747542905701</c:v>
                </c:pt>
                <c:pt idx="382">
                  <c:v>7.8369536812728384</c:v>
                </c:pt>
                <c:pt idx="383">
                  <c:v>7.9331488516986894</c:v>
                </c:pt>
                <c:pt idx="384">
                  <c:v>8.034322269963365</c:v>
                </c:pt>
                <c:pt idx="385">
                  <c:v>8.116886827113003</c:v>
                </c:pt>
                <c:pt idx="386">
                  <c:v>8.1370867074042206</c:v>
                </c:pt>
                <c:pt idx="387">
                  <c:v>8.1100293857681525</c:v>
                </c:pt>
                <c:pt idx="388">
                  <c:v>8.0241285985996011</c:v>
                </c:pt>
                <c:pt idx="389">
                  <c:v>7.9039384232350089</c:v>
                </c:pt>
                <c:pt idx="390">
                  <c:v>7.7690424179299882</c:v>
                </c:pt>
                <c:pt idx="391">
                  <c:v>7.6335744887036832</c:v>
                </c:pt>
                <c:pt idx="392">
                  <c:v>7.5091724395106594</c:v>
                </c:pt>
                <c:pt idx="393">
                  <c:v>7.3547380453992242</c:v>
                </c:pt>
                <c:pt idx="394">
                  <c:v>7.220913920833552</c:v>
                </c:pt>
                <c:pt idx="395">
                  <c:v>7.1138482015223259</c:v>
                </c:pt>
                <c:pt idx="396">
                  <c:v>6.9996700208182228</c:v>
                </c:pt>
                <c:pt idx="397">
                  <c:v>6.8512870818554532</c:v>
                </c:pt>
                <c:pt idx="398">
                  <c:v>6.6969173141079255</c:v>
                </c:pt>
                <c:pt idx="399">
                  <c:v>6.5982094838623562</c:v>
                </c:pt>
                <c:pt idx="400">
                  <c:v>6.5257518347860772</c:v>
                </c:pt>
                <c:pt idx="401">
                  <c:v>6.4507280189655392</c:v>
                </c:pt>
                <c:pt idx="402">
                  <c:v>6.3930905371580922</c:v>
                </c:pt>
                <c:pt idx="403">
                  <c:v>6.3916536858323179</c:v>
                </c:pt>
                <c:pt idx="404">
                  <c:v>6.4322348261160407</c:v>
                </c:pt>
                <c:pt idx="405">
                  <c:v>6.4674269634284522</c:v>
                </c:pt>
                <c:pt idx="406">
                  <c:v>6.491435624529295</c:v>
                </c:pt>
                <c:pt idx="407">
                  <c:v>6.5408354684209096</c:v>
                </c:pt>
                <c:pt idx="408">
                  <c:v>6.6210318366548622</c:v>
                </c:pt>
                <c:pt idx="409">
                  <c:v>6.7099776643451001</c:v>
                </c:pt>
                <c:pt idx="410">
                  <c:v>6.8031510812025582</c:v>
                </c:pt>
                <c:pt idx="411">
                  <c:v>6.8935040423459215</c:v>
                </c:pt>
                <c:pt idx="412">
                  <c:v>6.993533004867178</c:v>
                </c:pt>
                <c:pt idx="413">
                  <c:v>7.0538847341335078</c:v>
                </c:pt>
                <c:pt idx="414">
                  <c:v>7.0654061866726074</c:v>
                </c:pt>
                <c:pt idx="415">
                  <c:v>7.018215184986345</c:v>
                </c:pt>
                <c:pt idx="416">
                  <c:v>6.9031124729825715</c:v>
                </c:pt>
                <c:pt idx="417">
                  <c:v>6.7696668464627008</c:v>
                </c:pt>
                <c:pt idx="418">
                  <c:v>6.6115831548844923</c:v>
                </c:pt>
                <c:pt idx="419">
                  <c:v>6.4736469147845837</c:v>
                </c:pt>
                <c:pt idx="420">
                  <c:v>6.3410164488612608</c:v>
                </c:pt>
                <c:pt idx="421">
                  <c:v>6.2339756892656739</c:v>
                </c:pt>
                <c:pt idx="422">
                  <c:v>6.1625918301105571</c:v>
                </c:pt>
                <c:pt idx="423">
                  <c:v>6.0735209956107257</c:v>
                </c:pt>
                <c:pt idx="424">
                  <c:v>5.9842119875661242</c:v>
                </c:pt>
                <c:pt idx="425">
                  <c:v>5.8741429531974569</c:v>
                </c:pt>
                <c:pt idx="426">
                  <c:v>5.7628302327311367</c:v>
                </c:pt>
                <c:pt idx="427">
                  <c:v>5.6446065208361738</c:v>
                </c:pt>
                <c:pt idx="428">
                  <c:v>5.5150683487397636</c:v>
                </c:pt>
                <c:pt idx="429">
                  <c:v>5.4109081962403849</c:v>
                </c:pt>
                <c:pt idx="430">
                  <c:v>5.3067107685003121</c:v>
                </c:pt>
                <c:pt idx="431">
                  <c:v>5.2120690209089489</c:v>
                </c:pt>
                <c:pt idx="432">
                  <c:v>5.140918866459633</c:v>
                </c:pt>
                <c:pt idx="433">
                  <c:v>5.0875300008980862</c:v>
                </c:pt>
                <c:pt idx="434">
                  <c:v>5.0782967580565233</c:v>
                </c:pt>
                <c:pt idx="435">
                  <c:v>5.109129524608683</c:v>
                </c:pt>
                <c:pt idx="436">
                  <c:v>5.1933832071450547</c:v>
                </c:pt>
                <c:pt idx="437">
                  <c:v>5.3277451124827007</c:v>
                </c:pt>
                <c:pt idx="438">
                  <c:v>5.4782496058665648</c:v>
                </c:pt>
                <c:pt idx="439">
                  <c:v>5.6536305521073986</c:v>
                </c:pt>
                <c:pt idx="440">
                  <c:v>5.8234464437829478</c:v>
                </c:pt>
                <c:pt idx="441">
                  <c:v>5.9494442725716539</c:v>
                </c:pt>
                <c:pt idx="442">
                  <c:v>6.0116184483069475</c:v>
                </c:pt>
                <c:pt idx="443">
                  <c:v>6.0168982952780246</c:v>
                </c:pt>
                <c:pt idx="444">
                  <c:v>5.9780013976805924</c:v>
                </c:pt>
                <c:pt idx="445">
                  <c:v>5.8756761488147546</c:v>
                </c:pt>
                <c:pt idx="446">
                  <c:v>5.6955128214983128</c:v>
                </c:pt>
                <c:pt idx="447">
                  <c:v>5.4851646037054138</c:v>
                </c:pt>
                <c:pt idx="448">
                  <c:v>5.2731171323411452</c:v>
                </c:pt>
                <c:pt idx="449">
                  <c:v>5.0334110436728556</c:v>
                </c:pt>
                <c:pt idx="450">
                  <c:v>4.7855645657340835</c:v>
                </c:pt>
                <c:pt idx="451">
                  <c:v>4.5546859635440677</c:v>
                </c:pt>
                <c:pt idx="452">
                  <c:v>4.3815322746396514</c:v>
                </c:pt>
                <c:pt idx="453">
                  <c:v>4.2510962515186508</c:v>
                </c:pt>
                <c:pt idx="454">
                  <c:v>4.1692049370131281</c:v>
                </c:pt>
                <c:pt idx="455">
                  <c:v>4.1587929708981752</c:v>
                </c:pt>
                <c:pt idx="456">
                  <c:v>4.184363321767294</c:v>
                </c:pt>
                <c:pt idx="457">
                  <c:v>4.2300853582201681</c:v>
                </c:pt>
                <c:pt idx="458">
                  <c:v>4.2947666395166584</c:v>
                </c:pt>
                <c:pt idx="459">
                  <c:v>4.3719225030360871</c:v>
                </c:pt>
                <c:pt idx="460">
                  <c:v>4.4363609170223812</c:v>
                </c:pt>
                <c:pt idx="461">
                  <c:v>4.4833681799235015</c:v>
                </c:pt>
                <c:pt idx="462">
                  <c:v>4.5551186949724585</c:v>
                </c:pt>
                <c:pt idx="463">
                  <c:v>4.6639574184828438</c:v>
                </c:pt>
                <c:pt idx="464">
                  <c:v>4.7758491233097082</c:v>
                </c:pt>
                <c:pt idx="465">
                  <c:v>4.8995947408799383</c:v>
                </c:pt>
                <c:pt idx="466">
                  <c:v>5.0206077341741935</c:v>
                </c:pt>
                <c:pt idx="467">
                  <c:v>5.1389733489808114</c:v>
                </c:pt>
                <c:pt idx="468">
                  <c:v>5.2189654746668426</c:v>
                </c:pt>
                <c:pt idx="469">
                  <c:v>5.242283957203365</c:v>
                </c:pt>
                <c:pt idx="470">
                  <c:v>5.2295600605229122</c:v>
                </c:pt>
                <c:pt idx="471">
                  <c:v>5.1726282175043643</c:v>
                </c:pt>
                <c:pt idx="472">
                  <c:v>5.1204204320644662</c:v>
                </c:pt>
                <c:pt idx="473">
                  <c:v>5.0766109101171759</c:v>
                </c:pt>
                <c:pt idx="474">
                  <c:v>5.0395252648865414</c:v>
                </c:pt>
                <c:pt idx="475">
                  <c:v>5.016696331404022</c:v>
                </c:pt>
                <c:pt idx="476">
                  <c:v>4.9994359445384458</c:v>
                </c:pt>
                <c:pt idx="477">
                  <c:v>4.9878313081079968</c:v>
                </c:pt>
                <c:pt idx="478">
                  <c:v>4.9345901422472371</c:v>
                </c:pt>
                <c:pt idx="479">
                  <c:v>4.8252634198883344</c:v>
                </c:pt>
                <c:pt idx="480">
                  <c:v>4.7025062650747342</c:v>
                </c:pt>
                <c:pt idx="481">
                  <c:v>4.591709139350872</c:v>
                </c:pt>
                <c:pt idx="482">
                  <c:v>4.4976617483970953</c:v>
                </c:pt>
                <c:pt idx="483">
                  <c:v>4.4336043708226454</c:v>
                </c:pt>
                <c:pt idx="484">
                  <c:v>4.4402606152310451</c:v>
                </c:pt>
                <c:pt idx="485">
                  <c:v>4.5394345701780727</c:v>
                </c:pt>
                <c:pt idx="486">
                  <c:v>4.6798350786601892</c:v>
                </c:pt>
                <c:pt idx="487">
                  <c:v>4.8278427823580499</c:v>
                </c:pt>
                <c:pt idx="488">
                  <c:v>4.9830065288963743</c:v>
                </c:pt>
                <c:pt idx="489">
                  <c:v>5.1254993998158076</c:v>
                </c:pt>
                <c:pt idx="490">
                  <c:v>5.2408301082073185</c:v>
                </c:pt>
                <c:pt idx="491">
                  <c:v>5.3086575623013674</c:v>
                </c:pt>
                <c:pt idx="492">
                  <c:v>5.36556524951407</c:v>
                </c:pt>
                <c:pt idx="493">
                  <c:v>5.4142710870430264</c:v>
                </c:pt>
                <c:pt idx="494">
                  <c:v>5.4653514957811842</c:v>
                </c:pt>
                <c:pt idx="495">
                  <c:v>5.51656986243853</c:v>
                </c:pt>
                <c:pt idx="496">
                  <c:v>5.531718868307081</c:v>
                </c:pt>
                <c:pt idx="497">
                  <c:v>5.5162734318464901</c:v>
                </c:pt>
                <c:pt idx="498">
                  <c:v>5.4556080139660326</c:v>
                </c:pt>
                <c:pt idx="499">
                  <c:v>5.3640501026317979</c:v>
                </c:pt>
                <c:pt idx="500">
                  <c:v>5.2200993748240192</c:v>
                </c:pt>
                <c:pt idx="501">
                  <c:v>5.0555030905963791</c:v>
                </c:pt>
                <c:pt idx="502">
                  <c:v>4.9321674084064009</c:v>
                </c:pt>
                <c:pt idx="503">
                  <c:v>4.8508393227793922</c:v>
                </c:pt>
                <c:pt idx="504">
                  <c:v>4.794698332622489</c:v>
                </c:pt>
                <c:pt idx="505">
                  <c:v>4.7518246156805848</c:v>
                </c:pt>
                <c:pt idx="506">
                  <c:v>4.7588764557598573</c:v>
                </c:pt>
                <c:pt idx="507">
                  <c:v>4.7715556205900223</c:v>
                </c:pt>
                <c:pt idx="508">
                  <c:v>4.7467316227769532</c:v>
                </c:pt>
                <c:pt idx="509">
                  <c:v>4.6930888254087719</c:v>
                </c:pt>
                <c:pt idx="510">
                  <c:v>4.6622175445956184</c:v>
                </c:pt>
                <c:pt idx="511">
                  <c:v>4.6724752151334945</c:v>
                </c:pt>
                <c:pt idx="512">
                  <c:v>4.6854429008366258</c:v>
                </c:pt>
                <c:pt idx="513">
                  <c:v>4.7474449681206883</c:v>
                </c:pt>
                <c:pt idx="514">
                  <c:v>4.8684074177617287</c:v>
                </c:pt>
                <c:pt idx="515">
                  <c:v>5.0513652540864253</c:v>
                </c:pt>
                <c:pt idx="516">
                  <c:v>5.2301889606459673</c:v>
                </c:pt>
                <c:pt idx="517">
                  <c:v>5.3935785449725513</c:v>
                </c:pt>
                <c:pt idx="518">
                  <c:v>5.5447249270445065</c:v>
                </c:pt>
                <c:pt idx="519">
                  <c:v>5.6629308989898606</c:v>
                </c:pt>
                <c:pt idx="520">
                  <c:v>5.7484795619627675</c:v>
                </c:pt>
                <c:pt idx="521">
                  <c:v>5.7836935960393996</c:v>
                </c:pt>
                <c:pt idx="522">
                  <c:v>5.8222362076944885</c:v>
                </c:pt>
                <c:pt idx="523">
                  <c:v>5.8498241205054988</c:v>
                </c:pt>
                <c:pt idx="524">
                  <c:v>5.8839946750634171</c:v>
                </c:pt>
                <c:pt idx="525">
                  <c:v>5.9014413061364541</c:v>
                </c:pt>
                <c:pt idx="526">
                  <c:v>5.903224851599802</c:v>
                </c:pt>
                <c:pt idx="527">
                  <c:v>5.8856404564152882</c:v>
                </c:pt>
                <c:pt idx="528">
                  <c:v>5.809155067604256</c:v>
                </c:pt>
                <c:pt idx="529">
                  <c:v>5.6944498203884608</c:v>
                </c:pt>
                <c:pt idx="530">
                  <c:v>5.5341717880326327</c:v>
                </c:pt>
                <c:pt idx="531">
                  <c:v>5.3638601883391983</c:v>
                </c:pt>
                <c:pt idx="532">
                  <c:v>5.2028681348240475</c:v>
                </c:pt>
                <c:pt idx="533">
                  <c:v>5.081840354131991</c:v>
                </c:pt>
                <c:pt idx="534">
                  <c:v>5.0368569047418914</c:v>
                </c:pt>
                <c:pt idx="535">
                  <c:v>5.0577665259757696</c:v>
                </c:pt>
                <c:pt idx="536">
                  <c:v>5.1503947403149608</c:v>
                </c:pt>
                <c:pt idx="537">
                  <c:v>5.2993814569170459</c:v>
                </c:pt>
                <c:pt idx="538">
                  <c:v>5.4706327662495271</c:v>
                </c:pt>
                <c:pt idx="539">
                  <c:v>5.6460871342328005</c:v>
                </c:pt>
                <c:pt idx="540">
                  <c:v>5.807204764406749</c:v>
                </c:pt>
                <c:pt idx="541">
                  <c:v>5.9590527134747147</c:v>
                </c:pt>
                <c:pt idx="542">
                  <c:v>6.0944842222365834</c:v>
                </c:pt>
                <c:pt idx="543">
                  <c:v>6.2308295539835861</c:v>
                </c:pt>
                <c:pt idx="544">
                  <c:v>6.3959851210292387</c:v>
                </c:pt>
                <c:pt idx="545">
                  <c:v>6.5814290466694523</c:v>
                </c:pt>
                <c:pt idx="546">
                  <c:v>6.7800004373878275</c:v>
                </c:pt>
                <c:pt idx="547">
                  <c:v>6.9927240099414147</c:v>
                </c:pt>
                <c:pt idx="548">
                  <c:v>7.218191218122457</c:v>
                </c:pt>
                <c:pt idx="549">
                  <c:v>7.4159046693893584</c:v>
                </c:pt>
                <c:pt idx="550">
                  <c:v>7.5470813106136143</c:v>
                </c:pt>
                <c:pt idx="551">
                  <c:v>7.6068831214876367</c:v>
                </c:pt>
                <c:pt idx="552">
                  <c:v>7.6061463682405153</c:v>
                </c:pt>
                <c:pt idx="553">
                  <c:v>7.5199599920899702</c:v>
                </c:pt>
                <c:pt idx="554">
                  <c:v>7.343244524783997</c:v>
                </c:pt>
                <c:pt idx="555">
                  <c:v>7.1118406688438354</c:v>
                </c:pt>
                <c:pt idx="556">
                  <c:v>6.868040731849959</c:v>
                </c:pt>
                <c:pt idx="557">
                  <c:v>6.6411701243961323</c:v>
                </c:pt>
                <c:pt idx="558">
                  <c:v>6.4338031442398078</c:v>
                </c:pt>
                <c:pt idx="559">
                  <c:v>6.287676422322023</c:v>
                </c:pt>
                <c:pt idx="560">
                  <c:v>6.2250398031584906</c:v>
                </c:pt>
                <c:pt idx="561">
                  <c:v>6.2324336150577393</c:v>
                </c:pt>
                <c:pt idx="562">
                  <c:v>6.2982071589175748</c:v>
                </c:pt>
                <c:pt idx="563">
                  <c:v>6.4104224370205642</c:v>
                </c:pt>
                <c:pt idx="564">
                  <c:v>6.5495110108434291</c:v>
                </c:pt>
                <c:pt idx="565">
                  <c:v>6.6955233021749256</c:v>
                </c:pt>
                <c:pt idx="566">
                  <c:v>6.8257326456579968</c:v>
                </c:pt>
                <c:pt idx="567">
                  <c:v>6.9388564107428676</c:v>
                </c:pt>
                <c:pt idx="568">
                  <c:v>7.0453399887234118</c:v>
                </c:pt>
                <c:pt idx="569">
                  <c:v>7.1219401103821367</c:v>
                </c:pt>
                <c:pt idx="570">
                  <c:v>7.1957760765983396</c:v>
                </c:pt>
                <c:pt idx="571">
                  <c:v>7.2667694834627845</c:v>
                </c:pt>
                <c:pt idx="572">
                  <c:v>7.3498668464927244</c:v>
                </c:pt>
                <c:pt idx="573">
                  <c:v>7.4512048400076907</c:v>
                </c:pt>
                <c:pt idx="574">
                  <c:v>7.5388175374394386</c:v>
                </c:pt>
                <c:pt idx="575">
                  <c:v>7.63989196236464</c:v>
                </c:pt>
                <c:pt idx="576">
                  <c:v>7.7316532277866044</c:v>
                </c:pt>
                <c:pt idx="577">
                  <c:v>7.8212193155657488</c:v>
                </c:pt>
                <c:pt idx="578">
                  <c:v>7.898555877751388</c:v>
                </c:pt>
                <c:pt idx="579">
                  <c:v>7.9577609159266194</c:v>
                </c:pt>
                <c:pt idx="580">
                  <c:v>8.0043053408941294</c:v>
                </c:pt>
                <c:pt idx="581">
                  <c:v>8.0317533786635611</c:v>
                </c:pt>
                <c:pt idx="582">
                  <c:v>8.0553988822558811</c:v>
                </c:pt>
                <c:pt idx="583">
                  <c:v>8.0494700024818648</c:v>
                </c:pt>
                <c:pt idx="584">
                  <c:v>8.0196420665331463</c:v>
                </c:pt>
                <c:pt idx="585">
                  <c:v>7.9870224835221757</c:v>
                </c:pt>
                <c:pt idx="586">
                  <c:v>7.9846463855219065</c:v>
                </c:pt>
                <c:pt idx="587">
                  <c:v>8.0076498955293047</c:v>
                </c:pt>
                <c:pt idx="588">
                  <c:v>8.052580878012348</c:v>
                </c:pt>
                <c:pt idx="589">
                  <c:v>8.139042000594328</c:v>
                </c:pt>
                <c:pt idx="590">
                  <c:v>8.2712368687044169</c:v>
                </c:pt>
                <c:pt idx="591">
                  <c:v>8.4139903719896871</c:v>
                </c:pt>
                <c:pt idx="592">
                  <c:v>8.5372376982653329</c:v>
                </c:pt>
                <c:pt idx="593">
                  <c:v>8.6472908444561991</c:v>
                </c:pt>
                <c:pt idx="594">
                  <c:v>8.7452561634359345</c:v>
                </c:pt>
                <c:pt idx="595">
                  <c:v>8.852448116481094</c:v>
                </c:pt>
                <c:pt idx="596">
                  <c:v>8.9619839483972203</c:v>
                </c:pt>
                <c:pt idx="597">
                  <c:v>9.0914378238158893</c:v>
                </c:pt>
                <c:pt idx="598">
                  <c:v>9.2565127432828334</c:v>
                </c:pt>
                <c:pt idx="599">
                  <c:v>9.448102319485951</c:v>
                </c:pt>
                <c:pt idx="600">
                  <c:v>9.6572103199391908</c:v>
                </c:pt>
                <c:pt idx="601">
                  <c:v>9.8470883089732606</c:v>
                </c:pt>
                <c:pt idx="602">
                  <c:v>10.000380919132683</c:v>
                </c:pt>
                <c:pt idx="603">
                  <c:v>10.11673050156468</c:v>
                </c:pt>
                <c:pt idx="604">
                  <c:v>10.170209995758261</c:v>
                </c:pt>
                <c:pt idx="605">
                  <c:v>10.178194366978675</c:v>
                </c:pt>
                <c:pt idx="606">
                  <c:v>10.135290714909976</c:v>
                </c:pt>
                <c:pt idx="607">
                  <c:v>10.043870683544005</c:v>
                </c:pt>
                <c:pt idx="608">
                  <c:v>9.9439972974173401</c:v>
                </c:pt>
                <c:pt idx="609">
                  <c:v>9.837126183010966</c:v>
                </c:pt>
                <c:pt idx="610">
                  <c:v>9.7648378657050454</c:v>
                </c:pt>
                <c:pt idx="611">
                  <c:v>9.7028540874005156</c:v>
                </c:pt>
                <c:pt idx="612">
                  <c:v>9.6794118563179445</c:v>
                </c:pt>
                <c:pt idx="613">
                  <c:v>9.7173793963278143</c:v>
                </c:pt>
                <c:pt idx="614">
                  <c:v>9.7711125709287519</c:v>
                </c:pt>
                <c:pt idx="615">
                  <c:v>9.8429399866670817</c:v>
                </c:pt>
                <c:pt idx="616">
                  <c:v>9.9025192962465738</c:v>
                </c:pt>
                <c:pt idx="617">
                  <c:v>9.9633323955811548</c:v>
                </c:pt>
                <c:pt idx="618">
                  <c:v>10.005459804728781</c:v>
                </c:pt>
                <c:pt idx="619">
                  <c:v>10.01598139536882</c:v>
                </c:pt>
                <c:pt idx="620">
                  <c:v>10.03801860879774</c:v>
                </c:pt>
                <c:pt idx="621">
                  <c:v>10.083033165545805</c:v>
                </c:pt>
                <c:pt idx="622">
                  <c:v>10.160891238182289</c:v>
                </c:pt>
                <c:pt idx="623">
                  <c:v>10.271061315151885</c:v>
                </c:pt>
                <c:pt idx="624">
                  <c:v>10.411714856504458</c:v>
                </c:pt>
                <c:pt idx="625">
                  <c:v>10.585786027556424</c:v>
                </c:pt>
                <c:pt idx="626">
                  <c:v>10.776718343066962</c:v>
                </c:pt>
                <c:pt idx="627">
                  <c:v>10.937686145266051</c:v>
                </c:pt>
                <c:pt idx="628">
                  <c:v>11.052759336643241</c:v>
                </c:pt>
                <c:pt idx="629">
                  <c:v>11.115806674546034</c:v>
                </c:pt>
                <c:pt idx="630">
                  <c:v>11.113624553037779</c:v>
                </c:pt>
                <c:pt idx="631">
                  <c:v>11.049772016869889</c:v>
                </c:pt>
                <c:pt idx="632">
                  <c:v>10.909395956424705</c:v>
                </c:pt>
                <c:pt idx="633">
                  <c:v>10.752056052240439</c:v>
                </c:pt>
                <c:pt idx="634">
                  <c:v>10.60149234827977</c:v>
                </c:pt>
                <c:pt idx="635">
                  <c:v>10.463467999270444</c:v>
                </c:pt>
                <c:pt idx="636">
                  <c:v>10.388949475440471</c:v>
                </c:pt>
                <c:pt idx="637">
                  <c:v>10.365824405945645</c:v>
                </c:pt>
                <c:pt idx="638">
                  <c:v>10.394153277569027</c:v>
                </c:pt>
                <c:pt idx="639">
                  <c:v>10.421156331433304</c:v>
                </c:pt>
                <c:pt idx="640">
                  <c:v>10.44339278803832</c:v>
                </c:pt>
                <c:pt idx="641">
                  <c:v>10.472438795663646</c:v>
                </c:pt>
                <c:pt idx="642">
                  <c:v>10.444988867886847</c:v>
                </c:pt>
                <c:pt idx="643">
                  <c:v>10.377628360499964</c:v>
                </c:pt>
                <c:pt idx="644">
                  <c:v>10.303102683776457</c:v>
                </c:pt>
                <c:pt idx="645">
                  <c:v>10.268274549909455</c:v>
                </c:pt>
                <c:pt idx="646">
                  <c:v>10.250414244874433</c:v>
                </c:pt>
                <c:pt idx="647">
                  <c:v>10.244148335665512</c:v>
                </c:pt>
                <c:pt idx="648">
                  <c:v>10.308948377268878</c:v>
                </c:pt>
                <c:pt idx="649">
                  <c:v>10.426807583792556</c:v>
                </c:pt>
                <c:pt idx="650">
                  <c:v>10.577696120572499</c:v>
                </c:pt>
                <c:pt idx="651">
                  <c:v>10.733817585677144</c:v>
                </c:pt>
                <c:pt idx="652">
                  <c:v>10.940466655557481</c:v>
                </c:pt>
                <c:pt idx="653">
                  <c:v>11.162853956131196</c:v>
                </c:pt>
                <c:pt idx="654">
                  <c:v>11.3487209235807</c:v>
                </c:pt>
                <c:pt idx="655">
                  <c:v>11.514749994438063</c:v>
                </c:pt>
                <c:pt idx="656">
                  <c:v>11.63917432923011</c:v>
                </c:pt>
                <c:pt idx="657">
                  <c:v>11.714313262087188</c:v>
                </c:pt>
                <c:pt idx="658">
                  <c:v>11.675362994038743</c:v>
                </c:pt>
                <c:pt idx="659">
                  <c:v>11.563239827774844</c:v>
                </c:pt>
                <c:pt idx="660">
                  <c:v>11.412406278751398</c:v>
                </c:pt>
                <c:pt idx="661">
                  <c:v>11.197843456176733</c:v>
                </c:pt>
                <c:pt idx="662">
                  <c:v>10.956142169166712</c:v>
                </c:pt>
                <c:pt idx="663">
                  <c:v>10.710654309506232</c:v>
                </c:pt>
                <c:pt idx="664">
                  <c:v>10.512705413962438</c:v>
                </c:pt>
                <c:pt idx="665">
                  <c:v>10.356300629568983</c:v>
                </c:pt>
                <c:pt idx="666">
                  <c:v>10.224450671863714</c:v>
                </c:pt>
                <c:pt idx="667">
                  <c:v>10.158665926523204</c:v>
                </c:pt>
                <c:pt idx="668">
                  <c:v>10.146746939400495</c:v>
                </c:pt>
                <c:pt idx="669">
                  <c:v>10.171654190909674</c:v>
                </c:pt>
                <c:pt idx="670">
                  <c:v>10.234505061937659</c:v>
                </c:pt>
                <c:pt idx="671">
                  <c:v>10.32453240523725</c:v>
                </c:pt>
                <c:pt idx="672">
                  <c:v>10.457042921845465</c:v>
                </c:pt>
                <c:pt idx="673">
                  <c:v>10.587905853717752</c:v>
                </c:pt>
                <c:pt idx="674">
                  <c:v>10.71855658095132</c:v>
                </c:pt>
                <c:pt idx="675">
                  <c:v>10.875629971894361</c:v>
                </c:pt>
                <c:pt idx="676">
                  <c:v>11.016508460451185</c:v>
                </c:pt>
                <c:pt idx="677">
                  <c:v>11.159045899847735</c:v>
                </c:pt>
                <c:pt idx="678">
                  <c:v>11.290979031418011</c:v>
                </c:pt>
                <c:pt idx="679">
                  <c:v>11.439820779851198</c:v>
                </c:pt>
                <c:pt idx="680">
                  <c:v>11.574850335893288</c:v>
                </c:pt>
                <c:pt idx="681">
                  <c:v>11.659204267668629</c:v>
                </c:pt>
                <c:pt idx="682">
                  <c:v>11.737864593767805</c:v>
                </c:pt>
                <c:pt idx="683">
                  <c:v>11.763121251864588</c:v>
                </c:pt>
                <c:pt idx="684">
                  <c:v>11.730608143989386</c:v>
                </c:pt>
                <c:pt idx="685">
                  <c:v>11.644141622857395</c:v>
                </c:pt>
                <c:pt idx="686">
                  <c:v>11.551793321361417</c:v>
                </c:pt>
                <c:pt idx="687">
                  <c:v>11.471117328862279</c:v>
                </c:pt>
                <c:pt idx="688">
                  <c:v>11.365820902147641</c:v>
                </c:pt>
                <c:pt idx="689">
                  <c:v>11.289322020392072</c:v>
                </c:pt>
                <c:pt idx="690">
                  <c:v>11.245555393234612</c:v>
                </c:pt>
                <c:pt idx="691">
                  <c:v>11.208450655653882</c:v>
                </c:pt>
                <c:pt idx="692">
                  <c:v>11.136914579423879</c:v>
                </c:pt>
                <c:pt idx="693">
                  <c:v>11.022310167147969</c:v>
                </c:pt>
                <c:pt idx="694">
                  <c:v>10.900255225419841</c:v>
                </c:pt>
                <c:pt idx="695">
                  <c:v>10.755596390061173</c:v>
                </c:pt>
                <c:pt idx="696">
                  <c:v>10.595658807301167</c:v>
                </c:pt>
                <c:pt idx="697">
                  <c:v>10.437332150054059</c:v>
                </c:pt>
                <c:pt idx="698">
                  <c:v>10.324613717392593</c:v>
                </c:pt>
                <c:pt idx="699">
                  <c:v>10.280575946379118</c:v>
                </c:pt>
                <c:pt idx="700">
                  <c:v>10.284466204323769</c:v>
                </c:pt>
                <c:pt idx="701">
                  <c:v>10.332051077759461</c:v>
                </c:pt>
                <c:pt idx="702">
                  <c:v>10.4166413437526</c:v>
                </c:pt>
                <c:pt idx="703">
                  <c:v>10.536317890438317</c:v>
                </c:pt>
                <c:pt idx="704">
                  <c:v>10.646010310941302</c:v>
                </c:pt>
                <c:pt idx="705">
                  <c:v>10.744195055916412</c:v>
                </c:pt>
                <c:pt idx="706">
                  <c:v>10.828811274576324</c:v>
                </c:pt>
                <c:pt idx="707">
                  <c:v>10.899577313534175</c:v>
                </c:pt>
                <c:pt idx="708">
                  <c:v>10.960205725687091</c:v>
                </c:pt>
                <c:pt idx="709">
                  <c:v>11.017653502638055</c:v>
                </c:pt>
                <c:pt idx="710">
                  <c:v>11.096924327084759</c:v>
                </c:pt>
                <c:pt idx="711">
                  <c:v>11.165300613115638</c:v>
                </c:pt>
                <c:pt idx="712">
                  <c:v>11.227938099449707</c:v>
                </c:pt>
                <c:pt idx="713">
                  <c:v>11.26636667558563</c:v>
                </c:pt>
                <c:pt idx="714">
                  <c:v>11.271655151164817</c:v>
                </c:pt>
                <c:pt idx="715">
                  <c:v>11.213010719997504</c:v>
                </c:pt>
                <c:pt idx="716">
                  <c:v>11.091120842856739</c:v>
                </c:pt>
                <c:pt idx="717">
                  <c:v>10.930616310466831</c:v>
                </c:pt>
                <c:pt idx="718">
                  <c:v>10.713651384274526</c:v>
                </c:pt>
                <c:pt idx="719">
                  <c:v>10.477671775143966</c:v>
                </c:pt>
                <c:pt idx="720">
                  <c:v>10.240414010443214</c:v>
                </c:pt>
                <c:pt idx="721">
                  <c:v>10.051535602745892</c:v>
                </c:pt>
                <c:pt idx="722">
                  <c:v>9.8988158934128592</c:v>
                </c:pt>
                <c:pt idx="723">
                  <c:v>9.7760133401464309</c:v>
                </c:pt>
                <c:pt idx="724">
                  <c:v>9.7199460635027304</c:v>
                </c:pt>
                <c:pt idx="725">
                  <c:v>9.7046337821866633</c:v>
                </c:pt>
                <c:pt idx="726">
                  <c:v>9.7270199901060135</c:v>
                </c:pt>
                <c:pt idx="727">
                  <c:v>9.7496552931532303</c:v>
                </c:pt>
                <c:pt idx="728">
                  <c:v>9.7689240268655961</c:v>
                </c:pt>
                <c:pt idx="729">
                  <c:v>9.7855070591684026</c:v>
                </c:pt>
                <c:pt idx="730">
                  <c:v>9.7751599952207773</c:v>
                </c:pt>
                <c:pt idx="731">
                  <c:v>9.7571963370908552</c:v>
                </c:pt>
                <c:pt idx="732">
                  <c:v>9.7082255425258737</c:v>
                </c:pt>
                <c:pt idx="733">
                  <c:v>9.6377532232045606</c:v>
                </c:pt>
                <c:pt idx="734">
                  <c:v>9.5690005814650405</c:v>
                </c:pt>
                <c:pt idx="735">
                  <c:v>9.4937489296552844</c:v>
                </c:pt>
                <c:pt idx="736">
                  <c:v>9.4207449611091683</c:v>
                </c:pt>
                <c:pt idx="737">
                  <c:v>9.332133450250403</c:v>
                </c:pt>
                <c:pt idx="738">
                  <c:v>9.2393974563012033</c:v>
                </c:pt>
                <c:pt idx="739">
                  <c:v>9.1470209018601718</c:v>
                </c:pt>
                <c:pt idx="740">
                  <c:v>9.0379652624213058</c:v>
                </c:pt>
                <c:pt idx="741">
                  <c:v>8.9237733780194528</c:v>
                </c:pt>
                <c:pt idx="742">
                  <c:v>8.8008003693411769</c:v>
                </c:pt>
                <c:pt idx="743">
                  <c:v>8.6683488061229585</c:v>
                </c:pt>
                <c:pt idx="744">
                  <c:v>8.5508682329058203</c:v>
                </c:pt>
                <c:pt idx="745">
                  <c:v>8.4470240103879934</c:v>
                </c:pt>
              </c:numCache>
            </c:numRef>
          </c:yVal>
          <c:smooth val="1"/>
          <c:extLst>
            <c:ext xmlns:c16="http://schemas.microsoft.com/office/drawing/2014/chart" uri="{C3380CC4-5D6E-409C-BE32-E72D297353CC}">
              <c16:uniqueId val="{00000001-5CE5-4CBF-A53D-528CD1539FDB}"/>
            </c:ext>
          </c:extLst>
        </c:ser>
        <c:dLbls>
          <c:showLegendKey val="0"/>
          <c:showVal val="0"/>
          <c:showCatName val="0"/>
          <c:showSerName val="0"/>
          <c:showPercent val="0"/>
          <c:showBubbleSize val="0"/>
        </c:dLbls>
        <c:axId val="636032208"/>
        <c:axId val="636027408"/>
      </c:scatterChart>
      <c:valAx>
        <c:axId val="636032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27408"/>
        <c:crosses val="autoZero"/>
        <c:crossBetween val="midCat"/>
      </c:valAx>
      <c:valAx>
        <c:axId val="63602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Algae_growth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322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solution'!$V$1</c:f>
              <c:strCache>
                <c:ptCount val="1"/>
                <c:pt idx="0">
                  <c:v>Exponential_smoothing(0.1)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solution'!$V$2:$V$747</c:f>
              <c:numCache>
                <c:formatCode>General</c:formatCode>
                <c:ptCount val="746"/>
                <c:pt idx="0">
                  <c:v>6.9345063332049524</c:v>
                </c:pt>
                <c:pt idx="1">
                  <c:v>6.9345063332049524</c:v>
                </c:pt>
                <c:pt idx="2">
                  <c:v>7.1008475423938631</c:v>
                </c:pt>
                <c:pt idx="3">
                  <c:v>7.3221367836626108</c:v>
                </c:pt>
                <c:pt idx="4">
                  <c:v>7.2832398745767231</c:v>
                </c:pt>
                <c:pt idx="5">
                  <c:v>7.1434275805619958</c:v>
                </c:pt>
                <c:pt idx="6">
                  <c:v>7.1552969695879245</c:v>
                </c:pt>
                <c:pt idx="7">
                  <c:v>7.188031716736889</c:v>
                </c:pt>
                <c:pt idx="8">
                  <c:v>7.0921012081189909</c:v>
                </c:pt>
                <c:pt idx="9">
                  <c:v>7.2973446566843601</c:v>
                </c:pt>
                <c:pt idx="10">
                  <c:v>7.3672780535810203</c:v>
                </c:pt>
                <c:pt idx="11">
                  <c:v>7.1692293321265765</c:v>
                </c:pt>
                <c:pt idx="12">
                  <c:v>7.16636898512784</c:v>
                </c:pt>
                <c:pt idx="13">
                  <c:v>7.1033849904249804</c:v>
                </c:pt>
                <c:pt idx="14">
                  <c:v>7.0077786353285294</c:v>
                </c:pt>
                <c:pt idx="15">
                  <c:v>7.028098612888023</c:v>
                </c:pt>
                <c:pt idx="16">
                  <c:v>6.8451987728005621</c:v>
                </c:pt>
                <c:pt idx="17">
                  <c:v>6.7706585140334825</c:v>
                </c:pt>
                <c:pt idx="18">
                  <c:v>6.6895500195844164</c:v>
                </c:pt>
                <c:pt idx="19">
                  <c:v>6.632011988811283</c:v>
                </c:pt>
                <c:pt idx="20">
                  <c:v>6.3806749326586623</c:v>
                </c:pt>
                <c:pt idx="21">
                  <c:v>6.3203836171476926</c:v>
                </c:pt>
                <c:pt idx="22">
                  <c:v>6.3935996838784623</c:v>
                </c:pt>
                <c:pt idx="23">
                  <c:v>6.1872216994530564</c:v>
                </c:pt>
                <c:pt idx="24">
                  <c:v>6.0352481675816403</c:v>
                </c:pt>
                <c:pt idx="25">
                  <c:v>5.9067424435034468</c:v>
                </c:pt>
                <c:pt idx="26">
                  <c:v>6.1044217554733322</c:v>
                </c:pt>
                <c:pt idx="27">
                  <c:v>6.2485111758773337</c:v>
                </c:pt>
                <c:pt idx="28">
                  <c:v>6.4119070630357884</c:v>
                </c:pt>
                <c:pt idx="29">
                  <c:v>6.5064682585211635</c:v>
                </c:pt>
                <c:pt idx="30">
                  <c:v>6.5152870812007073</c:v>
                </c:pt>
                <c:pt idx="31">
                  <c:v>6.3396137774760737</c:v>
                </c:pt>
                <c:pt idx="32">
                  <c:v>6.1709420037663882</c:v>
                </c:pt>
                <c:pt idx="33">
                  <c:v>6.1837584888782313</c:v>
                </c:pt>
                <c:pt idx="34">
                  <c:v>6.1344589412382149</c:v>
                </c:pt>
                <c:pt idx="35">
                  <c:v>6.0905226344756729</c:v>
                </c:pt>
                <c:pt idx="36">
                  <c:v>5.9957456892350871</c:v>
                </c:pt>
                <c:pt idx="37">
                  <c:v>5.8141502702607006</c:v>
                </c:pt>
                <c:pt idx="38">
                  <c:v>6.002428116133788</c:v>
                </c:pt>
                <c:pt idx="39">
                  <c:v>5.936071648477605</c:v>
                </c:pt>
                <c:pt idx="40">
                  <c:v>5.9151649083728994</c:v>
                </c:pt>
                <c:pt idx="41">
                  <c:v>6.0079702154634624</c:v>
                </c:pt>
                <c:pt idx="42">
                  <c:v>6.0727240422081001</c:v>
                </c:pt>
                <c:pt idx="43">
                  <c:v>5.9987366944262899</c:v>
                </c:pt>
                <c:pt idx="44">
                  <c:v>5.7319218672739281</c:v>
                </c:pt>
                <c:pt idx="45">
                  <c:v>5.6853524276290957</c:v>
                </c:pt>
                <c:pt idx="46">
                  <c:v>5.5983727961224732</c:v>
                </c:pt>
                <c:pt idx="47">
                  <c:v>5.4619871441902461</c:v>
                </c:pt>
                <c:pt idx="48">
                  <c:v>5.2441081528219318</c:v>
                </c:pt>
                <c:pt idx="49">
                  <c:v>5.2602985075169828</c:v>
                </c:pt>
                <c:pt idx="50">
                  <c:v>5.0301460888377383</c:v>
                </c:pt>
                <c:pt idx="51">
                  <c:v>4.9207072876172155</c:v>
                </c:pt>
                <c:pt idx="52">
                  <c:v>5.1160048349422906</c:v>
                </c:pt>
                <c:pt idx="53">
                  <c:v>4.9974242163255829</c:v>
                </c:pt>
                <c:pt idx="54">
                  <c:v>4.8443985011359016</c:v>
                </c:pt>
                <c:pt idx="55">
                  <c:v>4.8411464608091315</c:v>
                </c:pt>
                <c:pt idx="56">
                  <c:v>4.7784085051136227</c:v>
                </c:pt>
                <c:pt idx="57">
                  <c:v>5.0074143177007722</c:v>
                </c:pt>
                <c:pt idx="58">
                  <c:v>5.2442639807047877</c:v>
                </c:pt>
                <c:pt idx="59">
                  <c:v>5.3223210689952811</c:v>
                </c:pt>
                <c:pt idx="60">
                  <c:v>5.4554059014615817</c:v>
                </c:pt>
                <c:pt idx="61">
                  <c:v>5.6415413997475543</c:v>
                </c:pt>
                <c:pt idx="62">
                  <c:v>5.4774019945596404</c:v>
                </c:pt>
                <c:pt idx="63">
                  <c:v>5.6093821243134316</c:v>
                </c:pt>
                <c:pt idx="64">
                  <c:v>5.6734181389209297</c:v>
                </c:pt>
                <c:pt idx="65">
                  <c:v>5.4397807886660612</c:v>
                </c:pt>
                <c:pt idx="66">
                  <c:v>5.4456340865205322</c:v>
                </c:pt>
                <c:pt idx="67">
                  <c:v>5.3138665990665173</c:v>
                </c:pt>
                <c:pt idx="68">
                  <c:v>5.1405617474185616</c:v>
                </c:pt>
                <c:pt idx="69">
                  <c:v>4.9790101234874493</c:v>
                </c:pt>
                <c:pt idx="70">
                  <c:v>4.7210075186290634</c:v>
                </c:pt>
                <c:pt idx="71">
                  <c:v>4.6548454770340228</c:v>
                </c:pt>
                <c:pt idx="72">
                  <c:v>4.433410496625946</c:v>
                </c:pt>
                <c:pt idx="73">
                  <c:v>4.5173439024205111</c:v>
                </c:pt>
                <c:pt idx="74">
                  <c:v>4.3441477239030952</c:v>
                </c:pt>
                <c:pt idx="75">
                  <c:v>4.4483797000562921</c:v>
                </c:pt>
                <c:pt idx="76">
                  <c:v>4.2924823577234044</c:v>
                </c:pt>
                <c:pt idx="77">
                  <c:v>4.3447717664625012</c:v>
                </c:pt>
                <c:pt idx="78">
                  <c:v>4.4245864882539871</c:v>
                </c:pt>
                <c:pt idx="79">
                  <c:v>4.4125897961950509</c:v>
                </c:pt>
                <c:pt idx="80">
                  <c:v>4.2974574915873669</c:v>
                </c:pt>
                <c:pt idx="81">
                  <c:v>4.4202069374752435</c:v>
                </c:pt>
                <c:pt idx="82">
                  <c:v>4.2861732201278047</c:v>
                </c:pt>
                <c:pt idx="83">
                  <c:v>4.3453082472200455</c:v>
                </c:pt>
                <c:pt idx="84">
                  <c:v>4.4700928908924835</c:v>
                </c:pt>
                <c:pt idx="85">
                  <c:v>4.3853206264297757</c:v>
                </c:pt>
                <c:pt idx="86">
                  <c:v>4.436308940535417</c:v>
                </c:pt>
                <c:pt idx="87">
                  <c:v>4.5028506995770936</c:v>
                </c:pt>
                <c:pt idx="88">
                  <c:v>4.3479971040950858</c:v>
                </c:pt>
                <c:pt idx="89">
                  <c:v>4.2179624347958757</c:v>
                </c:pt>
                <c:pt idx="90">
                  <c:v>4.1222748442262711</c:v>
                </c:pt>
                <c:pt idx="91">
                  <c:v>4.0012259776886641</c:v>
                </c:pt>
                <c:pt idx="92">
                  <c:v>3.8938084206394663</c:v>
                </c:pt>
                <c:pt idx="93">
                  <c:v>4.0698917047532488</c:v>
                </c:pt>
                <c:pt idx="94">
                  <c:v>4.1954344320911376</c:v>
                </c:pt>
                <c:pt idx="95">
                  <c:v>4.3639608759352706</c:v>
                </c:pt>
                <c:pt idx="96">
                  <c:v>4.1225027516437693</c:v>
                </c:pt>
                <c:pt idx="97">
                  <c:v>3.914649412586896</c:v>
                </c:pt>
                <c:pt idx="98">
                  <c:v>3.9271402146092567</c:v>
                </c:pt>
                <c:pt idx="99">
                  <c:v>4.0358966167934831</c:v>
                </c:pt>
                <c:pt idx="100">
                  <c:v>4.0010686388524004</c:v>
                </c:pt>
                <c:pt idx="101">
                  <c:v>3.7679549905163481</c:v>
                </c:pt>
                <c:pt idx="102">
                  <c:v>3.840771784975451</c:v>
                </c:pt>
                <c:pt idx="103">
                  <c:v>3.8118688227169026</c:v>
                </c:pt>
                <c:pt idx="104">
                  <c:v>3.9962021884336907</c:v>
                </c:pt>
                <c:pt idx="105">
                  <c:v>4.097300679604718</c:v>
                </c:pt>
                <c:pt idx="106">
                  <c:v>3.9128609459594554</c:v>
                </c:pt>
                <c:pt idx="107">
                  <c:v>3.9674827011458622</c:v>
                </c:pt>
                <c:pt idx="108">
                  <c:v>4.0754198813818707</c:v>
                </c:pt>
                <c:pt idx="109">
                  <c:v>4.1871542629476197</c:v>
                </c:pt>
                <c:pt idx="110">
                  <c:v>4.176454287823784</c:v>
                </c:pt>
                <c:pt idx="111">
                  <c:v>4.4067330577086343</c:v>
                </c:pt>
                <c:pt idx="112">
                  <c:v>4.3257225351194535</c:v>
                </c:pt>
                <c:pt idx="113">
                  <c:v>4.4130852222695767</c:v>
                </c:pt>
                <c:pt idx="114">
                  <c:v>4.4885915361495154</c:v>
                </c:pt>
                <c:pt idx="115">
                  <c:v>4.6749013905057613</c:v>
                </c:pt>
                <c:pt idx="116">
                  <c:v>4.4727083915050629</c:v>
                </c:pt>
                <c:pt idx="117">
                  <c:v>4.5168473609670272</c:v>
                </c:pt>
                <c:pt idx="118">
                  <c:v>4.5606568442179531</c:v>
                </c:pt>
                <c:pt idx="119">
                  <c:v>4.5447968820999556</c:v>
                </c:pt>
                <c:pt idx="120">
                  <c:v>4.5179148151070354</c:v>
                </c:pt>
                <c:pt idx="121">
                  <c:v>4.2950661274020341</c:v>
                </c:pt>
                <c:pt idx="122">
                  <c:v>4.4202224708390752</c:v>
                </c:pt>
                <c:pt idx="123">
                  <c:v>4.3661974825147754</c:v>
                </c:pt>
                <c:pt idx="124">
                  <c:v>4.1893809721234936</c:v>
                </c:pt>
                <c:pt idx="125">
                  <c:v>4.0035317511441866</c:v>
                </c:pt>
                <c:pt idx="126">
                  <c:v>4.1426785764695255</c:v>
                </c:pt>
                <c:pt idx="127">
                  <c:v>3.9938225966904262</c:v>
                </c:pt>
                <c:pt idx="128">
                  <c:v>4.1146984727946148</c:v>
                </c:pt>
                <c:pt idx="129">
                  <c:v>3.9416823307801749</c:v>
                </c:pt>
                <c:pt idx="130">
                  <c:v>3.9681769659239192</c:v>
                </c:pt>
                <c:pt idx="131">
                  <c:v>3.9168422968164776</c:v>
                </c:pt>
                <c:pt idx="132">
                  <c:v>3.8607721554606935</c:v>
                </c:pt>
                <c:pt idx="133">
                  <c:v>4.0771067140346213</c:v>
                </c:pt>
                <c:pt idx="134">
                  <c:v>4.1201431769809744</c:v>
                </c:pt>
                <c:pt idx="135">
                  <c:v>3.9855436396106936</c:v>
                </c:pt>
                <c:pt idx="136">
                  <c:v>3.9338517130861779</c:v>
                </c:pt>
                <c:pt idx="137">
                  <c:v>4.0908206159532252</c:v>
                </c:pt>
                <c:pt idx="138">
                  <c:v>4.091274977732942</c:v>
                </c:pt>
                <c:pt idx="139">
                  <c:v>4.1449514268735168</c:v>
                </c:pt>
                <c:pt idx="140">
                  <c:v>4.262552784455421</c:v>
                </c:pt>
                <c:pt idx="141">
                  <c:v>4.5036614090938389</c:v>
                </c:pt>
                <c:pt idx="142">
                  <c:v>4.3929854896891305</c:v>
                </c:pt>
                <c:pt idx="143">
                  <c:v>4.5528734337961261</c:v>
                </c:pt>
                <c:pt idx="144">
                  <c:v>4.5761758060230271</c:v>
                </c:pt>
                <c:pt idx="145">
                  <c:v>4.5152346812716804</c:v>
                </c:pt>
                <c:pt idx="146">
                  <c:v>4.6668884908012851</c:v>
                </c:pt>
                <c:pt idx="147">
                  <c:v>4.5518560624793665</c:v>
                </c:pt>
                <c:pt idx="148">
                  <c:v>4.4882905533751405</c:v>
                </c:pt>
                <c:pt idx="149">
                  <c:v>4.4735070709046809</c:v>
                </c:pt>
                <c:pt idx="150">
                  <c:v>4.5283753747859627</c:v>
                </c:pt>
                <c:pt idx="151">
                  <c:v>4.4498466625139992</c:v>
                </c:pt>
                <c:pt idx="152">
                  <c:v>4.6326858655744712</c:v>
                </c:pt>
                <c:pt idx="153">
                  <c:v>4.8316303425402891</c:v>
                </c:pt>
                <c:pt idx="154">
                  <c:v>4.9402040781193017</c:v>
                </c:pt>
                <c:pt idx="155">
                  <c:v>5.0573195029200164</c:v>
                </c:pt>
                <c:pt idx="156">
                  <c:v>5.1440400469345064</c:v>
                </c:pt>
                <c:pt idx="157">
                  <c:v>5.2230291419065402</c:v>
                </c:pt>
                <c:pt idx="158">
                  <c:v>5.3633164421736543</c:v>
                </c:pt>
                <c:pt idx="159">
                  <c:v>5.3777346373388459</c:v>
                </c:pt>
                <c:pt idx="160">
                  <c:v>5.3356842173858201</c:v>
                </c:pt>
                <c:pt idx="161">
                  <c:v>5.2127962400419392</c:v>
                </c:pt>
                <c:pt idx="162">
                  <c:v>5.1003671392897676</c:v>
                </c:pt>
                <c:pt idx="163">
                  <c:v>5.1716076717232449</c:v>
                </c:pt>
                <c:pt idx="164">
                  <c:v>5.2721378214150709</c:v>
                </c:pt>
                <c:pt idx="165">
                  <c:v>5.5156804505378467</c:v>
                </c:pt>
                <c:pt idx="166">
                  <c:v>5.6478500026413245</c:v>
                </c:pt>
                <c:pt idx="167">
                  <c:v>5.6258756929695313</c:v>
                </c:pt>
                <c:pt idx="168">
                  <c:v>5.62586905765842</c:v>
                </c:pt>
                <c:pt idx="169">
                  <c:v>5.5835186558220942</c:v>
                </c:pt>
                <c:pt idx="170">
                  <c:v>5.7186307122430744</c:v>
                </c:pt>
                <c:pt idx="171">
                  <c:v>5.6738204257653999</c:v>
                </c:pt>
                <c:pt idx="172">
                  <c:v>5.7688176768921053</c:v>
                </c:pt>
                <c:pt idx="173">
                  <c:v>5.9973177169673022</c:v>
                </c:pt>
                <c:pt idx="174">
                  <c:v>5.9087855783730365</c:v>
                </c:pt>
                <c:pt idx="175">
                  <c:v>5.8084509497830252</c:v>
                </c:pt>
                <c:pt idx="176">
                  <c:v>5.6425203640286146</c:v>
                </c:pt>
                <c:pt idx="177">
                  <c:v>5.554907482643026</c:v>
                </c:pt>
                <c:pt idx="178">
                  <c:v>5.463280473168119</c:v>
                </c:pt>
                <c:pt idx="179">
                  <c:v>5.6794416680757527</c:v>
                </c:pt>
                <c:pt idx="180">
                  <c:v>5.8062208163973077</c:v>
                </c:pt>
                <c:pt idx="181">
                  <c:v>6.0108516460748058</c:v>
                </c:pt>
                <c:pt idx="182">
                  <c:v>6.1004605477858913</c:v>
                </c:pt>
                <c:pt idx="183">
                  <c:v>6.1900587638053999</c:v>
                </c:pt>
                <c:pt idx="184">
                  <c:v>6.1673133572841383</c:v>
                </c:pt>
                <c:pt idx="185">
                  <c:v>5.9997360549737762</c:v>
                </c:pt>
                <c:pt idx="186">
                  <c:v>6.0177034711609716</c:v>
                </c:pt>
                <c:pt idx="187">
                  <c:v>5.9510324971761506</c:v>
                </c:pt>
                <c:pt idx="188">
                  <c:v>6.0595231264498342</c:v>
                </c:pt>
                <c:pt idx="189">
                  <c:v>6.013580919317441</c:v>
                </c:pt>
                <c:pt idx="190">
                  <c:v>6.1578794481377699</c:v>
                </c:pt>
                <c:pt idx="191">
                  <c:v>6.4286478203189894</c:v>
                </c:pt>
                <c:pt idx="192">
                  <c:v>6.4094441821215078</c:v>
                </c:pt>
                <c:pt idx="193">
                  <c:v>6.6900628945964797</c:v>
                </c:pt>
                <c:pt idx="194">
                  <c:v>6.9301588766698403</c:v>
                </c:pt>
                <c:pt idx="195">
                  <c:v>7.1155612819883984</c:v>
                </c:pt>
                <c:pt idx="196">
                  <c:v>7.2285693625613705</c:v>
                </c:pt>
                <c:pt idx="197">
                  <c:v>7.270286107279083</c:v>
                </c:pt>
                <c:pt idx="198">
                  <c:v>7.4409312800758656</c:v>
                </c:pt>
                <c:pt idx="199">
                  <c:v>7.5518794104028446</c:v>
                </c:pt>
                <c:pt idx="200">
                  <c:v>7.4057912595077475</c:v>
                </c:pt>
                <c:pt idx="201">
                  <c:v>7.2058454622266046</c:v>
                </c:pt>
                <c:pt idx="202">
                  <c:v>7.1795815523011512</c:v>
                </c:pt>
                <c:pt idx="203">
                  <c:v>7.1992937081519672</c:v>
                </c:pt>
                <c:pt idx="204">
                  <c:v>7.2654478046463602</c:v>
                </c:pt>
                <c:pt idx="205">
                  <c:v>7.2396772318521823</c:v>
                </c:pt>
                <c:pt idx="206">
                  <c:v>7.058816113642215</c:v>
                </c:pt>
                <c:pt idx="207">
                  <c:v>7.0544982177256434</c:v>
                </c:pt>
                <c:pt idx="208">
                  <c:v>6.9751936818337024</c:v>
                </c:pt>
                <c:pt idx="209">
                  <c:v>7.2153870446368087</c:v>
                </c:pt>
                <c:pt idx="210">
                  <c:v>7.2419229814679404</c:v>
                </c:pt>
                <c:pt idx="211">
                  <c:v>7.1762144779056456</c:v>
                </c:pt>
                <c:pt idx="212">
                  <c:v>7.3857423947153</c:v>
                </c:pt>
                <c:pt idx="213">
                  <c:v>7.5252230307597445</c:v>
                </c:pt>
                <c:pt idx="214">
                  <c:v>7.704263340257417</c:v>
                </c:pt>
                <c:pt idx="215">
                  <c:v>7.5968486276228777</c:v>
                </c:pt>
                <c:pt idx="216">
                  <c:v>7.6794439504580359</c:v>
                </c:pt>
                <c:pt idx="217">
                  <c:v>7.9066083201761383</c:v>
                </c:pt>
                <c:pt idx="218">
                  <c:v>8.0597467066655213</c:v>
                </c:pt>
                <c:pt idx="219">
                  <c:v>7.9675373436861161</c:v>
                </c:pt>
                <c:pt idx="220">
                  <c:v>8.0915572842468251</c:v>
                </c:pt>
                <c:pt idx="221">
                  <c:v>8.3594485489442931</c:v>
                </c:pt>
                <c:pt idx="222">
                  <c:v>8.5918837718548353</c:v>
                </c:pt>
                <c:pt idx="223">
                  <c:v>8.5583238302188338</c:v>
                </c:pt>
                <c:pt idx="224">
                  <c:v>8.4806816327952639</c:v>
                </c:pt>
                <c:pt idx="225">
                  <c:v>8.6409137439027788</c:v>
                </c:pt>
                <c:pt idx="226">
                  <c:v>8.7501003325551849</c:v>
                </c:pt>
                <c:pt idx="227">
                  <c:v>8.7014718452583324</c:v>
                </c:pt>
                <c:pt idx="228">
                  <c:v>8.8182600419067469</c:v>
                </c:pt>
                <c:pt idx="229">
                  <c:v>8.7276742935042133</c:v>
                </c:pt>
                <c:pt idx="230">
                  <c:v>8.7309415561142707</c:v>
                </c:pt>
                <c:pt idx="231">
                  <c:v>8.5589547735841069</c:v>
                </c:pt>
                <c:pt idx="232">
                  <c:v>8.6654018360190097</c:v>
                </c:pt>
                <c:pt idx="233">
                  <c:v>8.7332226038973246</c:v>
                </c:pt>
                <c:pt idx="234">
                  <c:v>8.8798635485000688</c:v>
                </c:pt>
                <c:pt idx="235">
                  <c:v>8.9546984061449759</c:v>
                </c:pt>
                <c:pt idx="236">
                  <c:v>8.9995333381968248</c:v>
                </c:pt>
                <c:pt idx="237">
                  <c:v>9.127987328242174</c:v>
                </c:pt>
                <c:pt idx="238">
                  <c:v>9.209621169012447</c:v>
                </c:pt>
                <c:pt idx="239">
                  <c:v>9.0627872160392275</c:v>
                </c:pt>
                <c:pt idx="240">
                  <c:v>9.0231534568868899</c:v>
                </c:pt>
                <c:pt idx="241">
                  <c:v>9.0849671366288209</c:v>
                </c:pt>
                <c:pt idx="242">
                  <c:v>8.9483817050117498</c:v>
                </c:pt>
                <c:pt idx="243">
                  <c:v>9.0272945560303253</c:v>
                </c:pt>
                <c:pt idx="244">
                  <c:v>9.2922671736342171</c:v>
                </c:pt>
                <c:pt idx="245">
                  <c:v>9.3699057255433171</c:v>
                </c:pt>
                <c:pt idx="246">
                  <c:v>9.4350424174184688</c:v>
                </c:pt>
                <c:pt idx="247">
                  <c:v>9.5607776781636922</c:v>
                </c:pt>
                <c:pt idx="248">
                  <c:v>9.6233306404807166</c:v>
                </c:pt>
                <c:pt idx="249">
                  <c:v>9.8479789131958064</c:v>
                </c:pt>
                <c:pt idx="250">
                  <c:v>9.8857134969326346</c:v>
                </c:pt>
                <c:pt idx="251">
                  <c:v>9.7008540914068622</c:v>
                </c:pt>
                <c:pt idx="252">
                  <c:v>9.8860909654258435</c:v>
                </c:pt>
                <c:pt idx="253">
                  <c:v>9.8236818966798864</c:v>
                </c:pt>
                <c:pt idx="254">
                  <c:v>9.7265129013224083</c:v>
                </c:pt>
                <c:pt idx="255">
                  <c:v>9.8302006304338843</c:v>
                </c:pt>
                <c:pt idx="256">
                  <c:v>9.6636298669839071</c:v>
                </c:pt>
                <c:pt idx="257">
                  <c:v>9.58233798294747</c:v>
                </c:pt>
                <c:pt idx="258">
                  <c:v>9.7166239935684153</c:v>
                </c:pt>
                <c:pt idx="259">
                  <c:v>9.6588432874247943</c:v>
                </c:pt>
                <c:pt idx="260">
                  <c:v>9.6954719296221921</c:v>
                </c:pt>
                <c:pt idx="261">
                  <c:v>9.7145616763448412</c:v>
                </c:pt>
                <c:pt idx="262">
                  <c:v>9.713715250117767</c:v>
                </c:pt>
                <c:pt idx="263">
                  <c:v>9.5695415810719808</c:v>
                </c:pt>
                <c:pt idx="264">
                  <c:v>9.6003981701880043</c:v>
                </c:pt>
                <c:pt idx="265">
                  <c:v>9.4846597922573075</c:v>
                </c:pt>
                <c:pt idx="266">
                  <c:v>9.690367836217554</c:v>
                </c:pt>
                <c:pt idx="267">
                  <c:v>9.6982065940379982</c:v>
                </c:pt>
                <c:pt idx="268">
                  <c:v>9.9093685201185444</c:v>
                </c:pt>
                <c:pt idx="269">
                  <c:v>9.9043208283996869</c:v>
                </c:pt>
                <c:pt idx="270">
                  <c:v>9.875624408214442</c:v>
                </c:pt>
                <c:pt idx="271">
                  <c:v>10.027412611122369</c:v>
                </c:pt>
                <c:pt idx="272">
                  <c:v>10.206864980954894</c:v>
                </c:pt>
                <c:pt idx="273">
                  <c:v>10.205172371309896</c:v>
                </c:pt>
                <c:pt idx="274">
                  <c:v>10.346954689010198</c:v>
                </c:pt>
                <c:pt idx="275">
                  <c:v>10.527577716702776</c:v>
                </c:pt>
                <c:pt idx="276">
                  <c:v>10.393301814670631</c:v>
                </c:pt>
                <c:pt idx="277">
                  <c:v>10.30487720015258</c:v>
                </c:pt>
                <c:pt idx="278">
                  <c:v>10.402519450687521</c:v>
                </c:pt>
                <c:pt idx="279">
                  <c:v>10.393214222961543</c:v>
                </c:pt>
                <c:pt idx="280">
                  <c:v>10.369124301318601</c:v>
                </c:pt>
                <c:pt idx="281">
                  <c:v>10.515464230673665</c:v>
                </c:pt>
                <c:pt idx="282">
                  <c:v>10.522008209563507</c:v>
                </c:pt>
                <c:pt idx="283">
                  <c:v>10.630185865630393</c:v>
                </c:pt>
                <c:pt idx="284">
                  <c:v>10.747652711230282</c:v>
                </c:pt>
                <c:pt idx="285">
                  <c:v>10.784690314547198</c:v>
                </c:pt>
                <c:pt idx="286">
                  <c:v>10.662385782034033</c:v>
                </c:pt>
                <c:pt idx="287">
                  <c:v>10.629093233634904</c:v>
                </c:pt>
                <c:pt idx="288">
                  <c:v>10.737460496330328</c:v>
                </c:pt>
                <c:pt idx="289">
                  <c:v>10.755994446715061</c:v>
                </c:pt>
                <c:pt idx="290">
                  <c:v>10.727266052531274</c:v>
                </c:pt>
                <c:pt idx="291">
                  <c:v>10.695378069080324</c:v>
                </c:pt>
                <c:pt idx="292">
                  <c:v>10.716391388591909</c:v>
                </c:pt>
                <c:pt idx="293">
                  <c:v>10.580840897913266</c:v>
                </c:pt>
                <c:pt idx="294">
                  <c:v>10.418403357014409</c:v>
                </c:pt>
                <c:pt idx="295">
                  <c:v>10.586502910986557</c:v>
                </c:pt>
                <c:pt idx="296">
                  <c:v>10.658269622670449</c:v>
                </c:pt>
                <c:pt idx="297">
                  <c:v>10.682879620225314</c:v>
                </c:pt>
                <c:pt idx="298">
                  <c:v>10.722282783581672</c:v>
                </c:pt>
                <c:pt idx="299">
                  <c:v>10.638067840673108</c:v>
                </c:pt>
                <c:pt idx="300">
                  <c:v>10.681138967348431</c:v>
                </c:pt>
                <c:pt idx="301">
                  <c:v>10.543955285137848</c:v>
                </c:pt>
                <c:pt idx="302">
                  <c:v>10.583497986991786</c:v>
                </c:pt>
                <c:pt idx="303">
                  <c:v>10.740099290739051</c:v>
                </c:pt>
                <c:pt idx="304">
                  <c:v>10.835468212935645</c:v>
                </c:pt>
                <c:pt idx="305">
                  <c:v>10.773606880097443</c:v>
                </c:pt>
                <c:pt idx="306">
                  <c:v>10.887195835759576</c:v>
                </c:pt>
                <c:pt idx="307">
                  <c:v>10.993445670119808</c:v>
                </c:pt>
                <c:pt idx="308">
                  <c:v>11.055726745217358</c:v>
                </c:pt>
                <c:pt idx="309">
                  <c:v>11.08936157926234</c:v>
                </c:pt>
                <c:pt idx="310">
                  <c:v>10.849982362879201</c:v>
                </c:pt>
                <c:pt idx="311">
                  <c:v>10.645407045271577</c:v>
                </c:pt>
                <c:pt idx="312">
                  <c:v>10.457500296053958</c:v>
                </c:pt>
                <c:pt idx="313">
                  <c:v>10.481847063524636</c:v>
                </c:pt>
                <c:pt idx="314">
                  <c:v>10.289225767662503</c:v>
                </c:pt>
                <c:pt idx="315">
                  <c:v>10.392243248055676</c:v>
                </c:pt>
                <c:pt idx="316">
                  <c:v>10.356172762345462</c:v>
                </c:pt>
                <c:pt idx="317">
                  <c:v>10.166368977287084</c:v>
                </c:pt>
                <c:pt idx="318">
                  <c:v>10.184082229748705</c:v>
                </c:pt>
                <c:pt idx="319">
                  <c:v>10.270002336197626</c:v>
                </c:pt>
                <c:pt idx="320">
                  <c:v>10.096642866085277</c:v>
                </c:pt>
                <c:pt idx="321">
                  <c:v>10.063581466445751</c:v>
                </c:pt>
                <c:pt idx="322">
                  <c:v>9.9621509373784782</c:v>
                </c:pt>
                <c:pt idx="323">
                  <c:v>9.9397487762162378</c:v>
                </c:pt>
                <c:pt idx="324">
                  <c:v>9.8238485018106623</c:v>
                </c:pt>
                <c:pt idx="325">
                  <c:v>9.9312753603776915</c:v>
                </c:pt>
                <c:pt idx="326">
                  <c:v>9.8480375049237967</c:v>
                </c:pt>
                <c:pt idx="327">
                  <c:v>10.034740318398272</c:v>
                </c:pt>
                <c:pt idx="328">
                  <c:v>10.212993708825838</c:v>
                </c:pt>
                <c:pt idx="329">
                  <c:v>10.269251839429266</c:v>
                </c:pt>
                <c:pt idx="330">
                  <c:v>10.331285862678882</c:v>
                </c:pt>
                <c:pt idx="331">
                  <c:v>10.431219831222073</c:v>
                </c:pt>
                <c:pt idx="332">
                  <c:v>10.373513780156417</c:v>
                </c:pt>
                <c:pt idx="333">
                  <c:v>10.43036688954836</c:v>
                </c:pt>
                <c:pt idx="334">
                  <c:v>10.437183739985327</c:v>
                </c:pt>
                <c:pt idx="335">
                  <c:v>10.202694299798933</c:v>
                </c:pt>
                <c:pt idx="336">
                  <c:v>9.9909355426098809</c:v>
                </c:pt>
                <c:pt idx="337">
                  <c:v>10.093677983448851</c:v>
                </c:pt>
                <c:pt idx="338">
                  <c:v>9.9228051192621738</c:v>
                </c:pt>
                <c:pt idx="339">
                  <c:v>9.9508024209906427</c:v>
                </c:pt>
                <c:pt idx="340">
                  <c:v>9.6574702217276247</c:v>
                </c:pt>
                <c:pt idx="341">
                  <c:v>9.618061596116096</c:v>
                </c:pt>
                <c:pt idx="342">
                  <c:v>9.5596797297305294</c:v>
                </c:pt>
                <c:pt idx="343">
                  <c:v>9.667109824590657</c:v>
                </c:pt>
                <c:pt idx="344">
                  <c:v>9.5465541558301297</c:v>
                </c:pt>
                <c:pt idx="345">
                  <c:v>9.6027026124093613</c:v>
                </c:pt>
                <c:pt idx="346">
                  <c:v>9.7016542800760615</c:v>
                </c:pt>
                <c:pt idx="347">
                  <c:v>9.8235830356549521</c:v>
                </c:pt>
                <c:pt idx="348">
                  <c:v>9.7492306299194684</c:v>
                </c:pt>
                <c:pt idx="349">
                  <c:v>9.6248088566302137</c:v>
                </c:pt>
                <c:pt idx="350">
                  <c:v>9.6169261060581039</c:v>
                </c:pt>
                <c:pt idx="351">
                  <c:v>9.5245827976513784</c:v>
                </c:pt>
                <c:pt idx="352">
                  <c:v>9.3905377942654766</c:v>
                </c:pt>
                <c:pt idx="353">
                  <c:v>9.4202349153342304</c:v>
                </c:pt>
                <c:pt idx="354">
                  <c:v>9.6095042490663971</c:v>
                </c:pt>
                <c:pt idx="355">
                  <c:v>9.5443200637365422</c:v>
                </c:pt>
                <c:pt idx="356">
                  <c:v>9.3802623526501598</c:v>
                </c:pt>
                <c:pt idx="357">
                  <c:v>9.4888160052581174</c:v>
                </c:pt>
                <c:pt idx="358">
                  <c:v>9.3844284805817093</c:v>
                </c:pt>
                <c:pt idx="359">
                  <c:v>9.2557163114529057</c:v>
                </c:pt>
                <c:pt idx="360">
                  <c:v>9.0610372898460199</c:v>
                </c:pt>
                <c:pt idx="361">
                  <c:v>9.0042203815878405</c:v>
                </c:pt>
                <c:pt idx="362">
                  <c:v>8.7587193896134412</c:v>
                </c:pt>
                <c:pt idx="363">
                  <c:v>8.5927162508725345</c:v>
                </c:pt>
                <c:pt idx="364">
                  <c:v>8.5299938512187694</c:v>
                </c:pt>
                <c:pt idx="365">
                  <c:v>8.6145779956851634</c:v>
                </c:pt>
                <c:pt idx="366">
                  <c:v>8.5037004731358596</c:v>
                </c:pt>
                <c:pt idx="367">
                  <c:v>8.583883443162712</c:v>
                </c:pt>
                <c:pt idx="368">
                  <c:v>8.3148936916257732</c:v>
                </c:pt>
                <c:pt idx="369">
                  <c:v>8.1908644781723989</c:v>
                </c:pt>
                <c:pt idx="370">
                  <c:v>8.2684532252136798</c:v>
                </c:pt>
                <c:pt idx="371">
                  <c:v>8.0704592361771308</c:v>
                </c:pt>
                <c:pt idx="372">
                  <c:v>7.9028257382360723</c:v>
                </c:pt>
                <c:pt idx="373">
                  <c:v>7.9490502558309171</c:v>
                </c:pt>
                <c:pt idx="374">
                  <c:v>8.0893548341209573</c:v>
                </c:pt>
                <c:pt idx="375">
                  <c:v>8.1477558704546169</c:v>
                </c:pt>
                <c:pt idx="376">
                  <c:v>8.1245586985500857</c:v>
                </c:pt>
                <c:pt idx="377">
                  <c:v>8.0106801526072466</c:v>
                </c:pt>
                <c:pt idx="378">
                  <c:v>8.2075808199734919</c:v>
                </c:pt>
                <c:pt idx="379">
                  <c:v>8.1029613447818072</c:v>
                </c:pt>
                <c:pt idx="380">
                  <c:v>8.3010602130561377</c:v>
                </c:pt>
                <c:pt idx="381">
                  <c:v>8.1091465591383685</c:v>
                </c:pt>
                <c:pt idx="382">
                  <c:v>7.9320300844424949</c:v>
                </c:pt>
                <c:pt idx="383">
                  <c:v>7.7761070234651095</c:v>
                </c:pt>
                <c:pt idx="384">
                  <c:v>7.8796197489317361</c:v>
                </c:pt>
                <c:pt idx="385">
                  <c:v>7.987426796053172</c:v>
                </c:pt>
                <c:pt idx="386">
                  <c:v>7.7473756119929584</c:v>
                </c:pt>
                <c:pt idx="387">
                  <c:v>7.5230338198963729</c:v>
                </c:pt>
                <c:pt idx="388">
                  <c:v>7.6170697893175445</c:v>
                </c:pt>
                <c:pt idx="389">
                  <c:v>7.6056143845482254</c:v>
                </c:pt>
                <c:pt idx="390">
                  <c:v>7.3853061727471632</c:v>
                </c:pt>
                <c:pt idx="391">
                  <c:v>7.1344522335612357</c:v>
                </c:pt>
                <c:pt idx="392">
                  <c:v>7.1009865648820734</c:v>
                </c:pt>
                <c:pt idx="393">
                  <c:v>7.1276343645918248</c:v>
                </c:pt>
                <c:pt idx="394">
                  <c:v>7.1124621342699648</c:v>
                </c:pt>
                <c:pt idx="395">
                  <c:v>6.8535145125407713</c:v>
                </c:pt>
                <c:pt idx="396">
                  <c:v>6.7530284170719623</c:v>
                </c:pt>
                <c:pt idx="397">
                  <c:v>6.9012005021860583</c:v>
                </c:pt>
                <c:pt idx="398">
                  <c:v>6.948045695329883</c:v>
                </c:pt>
                <c:pt idx="399">
                  <c:v>6.8280524395377968</c:v>
                </c:pt>
                <c:pt idx="400">
                  <c:v>6.763774957340325</c:v>
                </c:pt>
                <c:pt idx="401">
                  <c:v>6.6692072654006012</c:v>
                </c:pt>
                <c:pt idx="402">
                  <c:v>6.7109013544291827</c:v>
                </c:pt>
                <c:pt idx="403">
                  <c:v>6.918983904252987</c:v>
                </c:pt>
                <c:pt idx="404">
                  <c:v>6.8315734534395833</c:v>
                </c:pt>
                <c:pt idx="405">
                  <c:v>7.003019084277784</c:v>
                </c:pt>
                <c:pt idx="406">
                  <c:v>7.0286215716315459</c:v>
                </c:pt>
                <c:pt idx="407">
                  <c:v>6.9883280233815945</c:v>
                </c:pt>
                <c:pt idx="408">
                  <c:v>7.1033244288035684</c:v>
                </c:pt>
                <c:pt idx="409">
                  <c:v>6.8955241699118401</c:v>
                </c:pt>
                <c:pt idx="410">
                  <c:v>6.7584428695329377</c:v>
                </c:pt>
                <c:pt idx="411">
                  <c:v>6.592690158032533</c:v>
                </c:pt>
                <c:pt idx="412">
                  <c:v>6.7554365114405099</c:v>
                </c:pt>
                <c:pt idx="413">
                  <c:v>6.5610128333912492</c:v>
                </c:pt>
                <c:pt idx="414">
                  <c:v>6.6067161508215086</c:v>
                </c:pt>
                <c:pt idx="415">
                  <c:v>6.7102839480368948</c:v>
                </c:pt>
                <c:pt idx="416">
                  <c:v>6.4841950758844291</c:v>
                </c:pt>
                <c:pt idx="417">
                  <c:v>6.3444198370403377</c:v>
                </c:pt>
                <c:pt idx="418">
                  <c:v>6.2962583056647707</c:v>
                </c:pt>
                <c:pt idx="419">
                  <c:v>6.1422293059021653</c:v>
                </c:pt>
                <c:pt idx="420">
                  <c:v>6.1179987627433929</c:v>
                </c:pt>
                <c:pt idx="421">
                  <c:v>6.0182655397025497</c:v>
                </c:pt>
                <c:pt idx="422">
                  <c:v>6.0752262623397595</c:v>
                </c:pt>
                <c:pt idx="423">
                  <c:v>5.8746926721295933</c:v>
                </c:pt>
                <c:pt idx="424">
                  <c:v>5.7274759989403723</c:v>
                </c:pt>
                <c:pt idx="425">
                  <c:v>5.6783137859374264</c:v>
                </c:pt>
                <c:pt idx="426">
                  <c:v>5.493760049597415</c:v>
                </c:pt>
                <c:pt idx="427">
                  <c:v>5.4829555150813167</c:v>
                </c:pt>
                <c:pt idx="428">
                  <c:v>5.5797039735593152</c:v>
                </c:pt>
                <c:pt idx="429">
                  <c:v>5.434067289905772</c:v>
                </c:pt>
                <c:pt idx="430">
                  <c:v>5.5756080758683337</c:v>
                </c:pt>
                <c:pt idx="431">
                  <c:v>5.5193583377455226</c:v>
                </c:pt>
                <c:pt idx="432">
                  <c:v>5.6192004799830713</c:v>
                </c:pt>
                <c:pt idx="433">
                  <c:v>5.8126986480655018</c:v>
                </c:pt>
                <c:pt idx="434">
                  <c:v>5.9236044884007217</c:v>
                </c:pt>
                <c:pt idx="435">
                  <c:v>5.7843681685893147</c:v>
                </c:pt>
                <c:pt idx="436">
                  <c:v>5.7926388561377955</c:v>
                </c:pt>
                <c:pt idx="437">
                  <c:v>5.8108003289589583</c:v>
                </c:pt>
                <c:pt idx="438">
                  <c:v>5.9676771244488878</c:v>
                </c:pt>
                <c:pt idx="439">
                  <c:v>5.7072513224031409</c:v>
                </c:pt>
                <c:pt idx="440">
                  <c:v>5.5045878046393</c:v>
                </c:pt>
                <c:pt idx="441">
                  <c:v>5.633162710824636</c:v>
                </c:pt>
                <c:pt idx="442">
                  <c:v>5.4900788207560236</c:v>
                </c:pt>
                <c:pt idx="443">
                  <c:v>5.337164487766513</c:v>
                </c:pt>
                <c:pt idx="444">
                  <c:v>5.1340121312292695</c:v>
                </c:pt>
                <c:pt idx="445">
                  <c:v>4.9312623317467503</c:v>
                </c:pt>
                <c:pt idx="446">
                  <c:v>4.7261275937122669</c:v>
                </c:pt>
                <c:pt idx="447">
                  <c:v>4.7828549642798945</c:v>
                </c:pt>
                <c:pt idx="448">
                  <c:v>4.9116853381488141</c:v>
                </c:pt>
                <c:pt idx="449">
                  <c:v>4.8601709701670099</c:v>
                </c:pt>
                <c:pt idx="450">
                  <c:v>4.6841056515189079</c:v>
                </c:pt>
                <c:pt idx="451">
                  <c:v>4.5698852661244294</c:v>
                </c:pt>
                <c:pt idx="452">
                  <c:v>4.6907262118173847</c:v>
                </c:pt>
                <c:pt idx="453">
                  <c:v>4.7210852686751279</c:v>
                </c:pt>
                <c:pt idx="454">
                  <c:v>4.6295988356838</c:v>
                </c:pt>
                <c:pt idx="455">
                  <c:v>4.5528045225445108</c:v>
                </c:pt>
                <c:pt idx="456">
                  <c:v>4.7478872370764638</c:v>
                </c:pt>
                <c:pt idx="457">
                  <c:v>4.599988009512308</c:v>
                </c:pt>
                <c:pt idx="458">
                  <c:v>4.8334168686020096</c:v>
                </c:pt>
                <c:pt idx="459">
                  <c:v>4.8375675591689005</c:v>
                </c:pt>
                <c:pt idx="460">
                  <c:v>5.0055289648367225</c:v>
                </c:pt>
                <c:pt idx="461">
                  <c:v>5.0072548876007676</c:v>
                </c:pt>
                <c:pt idx="462">
                  <c:v>5.1231667500025848</c:v>
                </c:pt>
                <c:pt idx="463">
                  <c:v>5.0296995566217459</c:v>
                </c:pt>
                <c:pt idx="464">
                  <c:v>4.8464464596885559</c:v>
                </c:pt>
                <c:pt idx="465">
                  <c:v>4.8571653508495611</c:v>
                </c:pt>
                <c:pt idx="466">
                  <c:v>5.0201688995153164</c:v>
                </c:pt>
                <c:pt idx="467">
                  <c:v>4.9108625948280888</c:v>
                </c:pt>
                <c:pt idx="468">
                  <c:v>5.0741859677830234</c:v>
                </c:pt>
                <c:pt idx="469">
                  <c:v>5.0204612573737446</c:v>
                </c:pt>
                <c:pt idx="470">
                  <c:v>5.0320434846076196</c:v>
                </c:pt>
                <c:pt idx="471">
                  <c:v>5.13124714103611</c:v>
                </c:pt>
                <c:pt idx="472">
                  <c:v>4.9535835329461761</c:v>
                </c:pt>
                <c:pt idx="473">
                  <c:v>4.6783952848098904</c:v>
                </c:pt>
                <c:pt idx="474">
                  <c:v>4.7865714001095432</c:v>
                </c:pt>
                <c:pt idx="475">
                  <c:v>4.7412205729636661</c:v>
                </c:pt>
                <c:pt idx="476">
                  <c:v>4.5207474133415779</c:v>
                </c:pt>
                <c:pt idx="477">
                  <c:v>4.5651994680475259</c:v>
                </c:pt>
                <c:pt idx="478">
                  <c:v>4.7419714289547636</c:v>
                </c:pt>
                <c:pt idx="479">
                  <c:v>4.8008656343489244</c:v>
                </c:pt>
                <c:pt idx="480">
                  <c:v>4.8056920988001099</c:v>
                </c:pt>
                <c:pt idx="481">
                  <c:v>4.9687996679873105</c:v>
                </c:pt>
                <c:pt idx="482">
                  <c:v>4.8913281398627397</c:v>
                </c:pt>
                <c:pt idx="483">
                  <c:v>5.050883549263693</c:v>
                </c:pt>
                <c:pt idx="484">
                  <c:v>4.9801186919065312</c:v>
                </c:pt>
                <c:pt idx="485">
                  <c:v>5.0874029976762367</c:v>
                </c:pt>
                <c:pt idx="486">
                  <c:v>4.9500195913566163</c:v>
                </c:pt>
                <c:pt idx="487">
                  <c:v>5.1115614784743402</c:v>
                </c:pt>
                <c:pt idx="488">
                  <c:v>5.2983005093626883</c:v>
                </c:pt>
                <c:pt idx="489">
                  <c:v>5.3879951631349901</c:v>
                </c:pt>
                <c:pt idx="490">
                  <c:v>5.377954850594949</c:v>
                </c:pt>
                <c:pt idx="491">
                  <c:v>5.3356509621741175</c:v>
                </c:pt>
                <c:pt idx="492">
                  <c:v>5.2658837977107327</c:v>
                </c:pt>
                <c:pt idx="493">
                  <c:v>5.1628920852990223</c:v>
                </c:pt>
                <c:pt idx="494">
                  <c:v>4.9536339105358334</c:v>
                </c:pt>
                <c:pt idx="495">
                  <c:v>4.9855649982148549</c:v>
                </c:pt>
                <c:pt idx="496">
                  <c:v>5.0876958803584493</c:v>
                </c:pt>
                <c:pt idx="497">
                  <c:v>5.0920776457147419</c:v>
                </c:pt>
                <c:pt idx="498">
                  <c:v>4.8806990467203919</c:v>
                </c:pt>
                <c:pt idx="499">
                  <c:v>5.0232052015930924</c:v>
                </c:pt>
                <c:pt idx="500">
                  <c:v>5.1048737078832129</c:v>
                </c:pt>
                <c:pt idx="501">
                  <c:v>4.9825189643008514</c:v>
                </c:pt>
                <c:pt idx="502">
                  <c:v>4.7710522764090459</c:v>
                </c:pt>
                <c:pt idx="503">
                  <c:v>4.6947543332785315</c:v>
                </c:pt>
                <c:pt idx="504">
                  <c:v>4.8905484250814579</c:v>
                </c:pt>
                <c:pt idx="505">
                  <c:v>4.722133788344693</c:v>
                </c:pt>
                <c:pt idx="506">
                  <c:v>4.8470710385810127</c:v>
                </c:pt>
                <c:pt idx="507">
                  <c:v>4.751985327555011</c:v>
                </c:pt>
                <c:pt idx="508">
                  <c:v>4.9781903062715385</c:v>
                </c:pt>
                <c:pt idx="509">
                  <c:v>5.0353512572314729</c:v>
                </c:pt>
                <c:pt idx="510">
                  <c:v>5.2680861203105636</c:v>
                </c:pt>
                <c:pt idx="511">
                  <c:v>5.2356729288974533</c:v>
                </c:pt>
                <c:pt idx="512">
                  <c:v>5.2730230944010499</c:v>
                </c:pt>
                <c:pt idx="513">
                  <c:v>5.3430376540282429</c:v>
                </c:pt>
                <c:pt idx="514">
                  <c:v>5.2248786240974425</c:v>
                </c:pt>
                <c:pt idx="515">
                  <c:v>5.4339803690053596</c:v>
                </c:pt>
                <c:pt idx="516">
                  <c:v>5.4703367602282631</c:v>
                </c:pt>
                <c:pt idx="517">
                  <c:v>5.6280850982552275</c:v>
                </c:pt>
                <c:pt idx="518">
                  <c:v>5.54668108777655</c:v>
                </c:pt>
                <c:pt idx="519">
                  <c:v>5.6214019245557356</c:v>
                </c:pt>
                <c:pt idx="520">
                  <c:v>5.6493958724926605</c:v>
                </c:pt>
                <c:pt idx="521">
                  <c:v>5.7065736762187438</c:v>
                </c:pt>
                <c:pt idx="522">
                  <c:v>5.7104457084565681</c:v>
                </c:pt>
                <c:pt idx="523">
                  <c:v>5.5877793146711285</c:v>
                </c:pt>
                <c:pt idx="524">
                  <c:v>5.4105272332395415</c:v>
                </c:pt>
                <c:pt idx="525">
                  <c:v>5.2752872633917089</c:v>
                </c:pt>
                <c:pt idx="526">
                  <c:v>5.1172163189470874</c:v>
                </c:pt>
                <c:pt idx="527">
                  <c:v>5.2787705404023608</c:v>
                </c:pt>
                <c:pt idx="528">
                  <c:v>5.3126651728913599</c:v>
                </c:pt>
                <c:pt idx="529">
                  <c:v>5.2742296697838693</c:v>
                </c:pt>
                <c:pt idx="530">
                  <c:v>5.4261154652081034</c:v>
                </c:pt>
                <c:pt idx="531">
                  <c:v>5.4720183070402841</c:v>
                </c:pt>
                <c:pt idx="532">
                  <c:v>5.458261399457899</c:v>
                </c:pt>
                <c:pt idx="533">
                  <c:v>5.5782330233093163</c:v>
                </c:pt>
                <c:pt idx="534">
                  <c:v>5.6877222947072985</c:v>
                </c:pt>
                <c:pt idx="535">
                  <c:v>5.6253126284543455</c:v>
                </c:pt>
                <c:pt idx="536">
                  <c:v>5.7011061561551397</c:v>
                </c:pt>
                <c:pt idx="537">
                  <c:v>5.9183602546075784</c:v>
                </c:pt>
                <c:pt idx="538">
                  <c:v>6.0081601896821066</c:v>
                </c:pt>
                <c:pt idx="539">
                  <c:v>6.1164757178230822</c:v>
                </c:pt>
                <c:pt idx="540">
                  <c:v>6.2416102087770708</c:v>
                </c:pt>
                <c:pt idx="541">
                  <c:v>6.4807556991585615</c:v>
                </c:pt>
                <c:pt idx="542">
                  <c:v>6.6938165696810001</c:v>
                </c:pt>
                <c:pt idx="543">
                  <c:v>6.8427261065255918</c:v>
                </c:pt>
                <c:pt idx="544">
                  <c:v>6.8178090900542285</c:v>
                </c:pt>
                <c:pt idx="545">
                  <c:v>6.9614392662870976</c:v>
                </c:pt>
                <c:pt idx="546">
                  <c:v>7.0050508951221637</c:v>
                </c:pt>
                <c:pt idx="547">
                  <c:v>6.9934649850173836</c:v>
                </c:pt>
                <c:pt idx="548">
                  <c:v>6.8041482510187974</c:v>
                </c:pt>
                <c:pt idx="549">
                  <c:v>6.7005260148601655</c:v>
                </c:pt>
                <c:pt idx="550">
                  <c:v>6.7311405879819475</c:v>
                </c:pt>
                <c:pt idx="551">
                  <c:v>6.5345840376709461</c:v>
                </c:pt>
                <c:pt idx="552">
                  <c:v>6.4476421715719798</c:v>
                </c:pt>
                <c:pt idx="553">
                  <c:v>6.5602376965359577</c:v>
                </c:pt>
                <c:pt idx="554">
                  <c:v>6.4027325333615037</c:v>
                </c:pt>
                <c:pt idx="555">
                  <c:v>6.458757048310237</c:v>
                </c:pt>
                <c:pt idx="556">
                  <c:v>6.6740568768552633</c:v>
                </c:pt>
                <c:pt idx="557">
                  <c:v>6.5707332343520974</c:v>
                </c:pt>
                <c:pt idx="558">
                  <c:v>6.6113215618055374</c:v>
                </c:pt>
                <c:pt idx="559">
                  <c:v>6.7280886964896887</c:v>
                </c:pt>
                <c:pt idx="560">
                  <c:v>6.6302276925996191</c:v>
                </c:pt>
                <c:pt idx="561">
                  <c:v>6.8861509044805898</c:v>
                </c:pt>
                <c:pt idx="562">
                  <c:v>6.9157382124157936</c:v>
                </c:pt>
                <c:pt idx="563">
                  <c:v>6.8812381971350431</c:v>
                </c:pt>
                <c:pt idx="564">
                  <c:v>6.8354093008345078</c:v>
                </c:pt>
                <c:pt idx="565">
                  <c:v>6.8747013765139116</c:v>
                </c:pt>
                <c:pt idx="566">
                  <c:v>7.1521692331526232</c:v>
                </c:pt>
                <c:pt idx="567">
                  <c:v>7.1796349222509193</c:v>
                </c:pt>
                <c:pt idx="568">
                  <c:v>7.3191960986481188</c:v>
                </c:pt>
                <c:pt idx="569">
                  <c:v>7.3411157551663129</c:v>
                </c:pt>
                <c:pt idx="570">
                  <c:v>7.3302652700635402</c:v>
                </c:pt>
                <c:pt idx="571">
                  <c:v>7.3219517951746562</c:v>
                </c:pt>
                <c:pt idx="572">
                  <c:v>7.5677815938557913</c:v>
                </c:pt>
                <c:pt idx="573">
                  <c:v>7.5657508058291754</c:v>
                </c:pt>
                <c:pt idx="574">
                  <c:v>7.5963805102108246</c:v>
                </c:pt>
                <c:pt idx="575">
                  <c:v>7.8448692938236473</c:v>
                </c:pt>
                <c:pt idx="576">
                  <c:v>7.7842006005978099</c:v>
                </c:pt>
                <c:pt idx="577">
                  <c:v>7.6618368046615011</c:v>
                </c:pt>
                <c:pt idx="578">
                  <c:v>7.6280336150177872</c:v>
                </c:pt>
                <c:pt idx="579">
                  <c:v>7.681357793301312</c:v>
                </c:pt>
                <c:pt idx="580">
                  <c:v>7.7508119866343508</c:v>
                </c:pt>
                <c:pt idx="581">
                  <c:v>7.8389953561970396</c:v>
                </c:pt>
                <c:pt idx="582">
                  <c:v>7.8216492485576676</c:v>
                </c:pt>
                <c:pt idx="583">
                  <c:v>8.0122670023117024</c:v>
                </c:pt>
                <c:pt idx="584">
                  <c:v>8.1526036870178622</c:v>
                </c:pt>
                <c:pt idx="585">
                  <c:v>8.1591066927431797</c:v>
                </c:pt>
                <c:pt idx="586">
                  <c:v>8.277310127695289</c:v>
                </c:pt>
                <c:pt idx="587">
                  <c:v>8.192249202748485</c:v>
                </c:pt>
                <c:pt idx="588">
                  <c:v>8.3152888256290112</c:v>
                </c:pt>
                <c:pt idx="589">
                  <c:v>8.3988698550193757</c:v>
                </c:pt>
                <c:pt idx="590">
                  <c:v>8.5151565868689403</c:v>
                </c:pt>
                <c:pt idx="591">
                  <c:v>8.5716349370429921</c:v>
                </c:pt>
                <c:pt idx="592">
                  <c:v>8.8151458450638831</c:v>
                </c:pt>
                <c:pt idx="593">
                  <c:v>9.0403670175547894</c:v>
                </c:pt>
                <c:pt idx="594">
                  <c:v>9.2386143852807354</c:v>
                </c:pt>
                <c:pt idx="595">
                  <c:v>9.1773928669484555</c:v>
                </c:pt>
                <c:pt idx="596">
                  <c:v>9.375049880106463</c:v>
                </c:pt>
                <c:pt idx="597">
                  <c:v>9.3156663692412085</c:v>
                </c:pt>
                <c:pt idx="598">
                  <c:v>9.5270519757778924</c:v>
                </c:pt>
                <c:pt idx="599">
                  <c:v>9.7360421434931155</c:v>
                </c:pt>
                <c:pt idx="600">
                  <c:v>9.6341739990640995</c:v>
                </c:pt>
                <c:pt idx="601">
                  <c:v>9.4784040872750488</c:v>
                </c:pt>
                <c:pt idx="602">
                  <c:v>9.3897703039514528</c:v>
                </c:pt>
                <c:pt idx="603">
                  <c:v>9.5582383025662079</c:v>
                </c:pt>
                <c:pt idx="604">
                  <c:v>9.5468754549183519</c:v>
                </c:pt>
                <c:pt idx="605">
                  <c:v>9.5509643323602589</c:v>
                </c:pt>
                <c:pt idx="606">
                  <c:v>9.7118497735861595</c:v>
                </c:pt>
                <c:pt idx="607">
                  <c:v>9.522238943934914</c:v>
                </c:pt>
                <c:pt idx="608">
                  <c:v>9.655759091757556</c:v>
                </c:pt>
                <c:pt idx="609">
                  <c:v>9.7617374720964989</c:v>
                </c:pt>
                <c:pt idx="610">
                  <c:v>9.9006837216202364</c:v>
                </c:pt>
                <c:pt idx="611">
                  <c:v>9.902547914980028</c:v>
                </c:pt>
                <c:pt idx="612">
                  <c:v>9.7614012581588145</c:v>
                </c:pt>
                <c:pt idx="613">
                  <c:v>9.6199789327092233</c:v>
                </c:pt>
                <c:pt idx="614">
                  <c:v>9.79759488812938</c:v>
                </c:pt>
                <c:pt idx="615">
                  <c:v>9.8794936097169757</c:v>
                </c:pt>
                <c:pt idx="616">
                  <c:v>10.116212767831803</c:v>
                </c:pt>
                <c:pt idx="617">
                  <c:v>10.086680512380306</c:v>
                </c:pt>
                <c:pt idx="618">
                  <c:v>10.080550443710653</c:v>
                </c:pt>
                <c:pt idx="619">
                  <c:v>10.287147008887633</c:v>
                </c:pt>
                <c:pt idx="620">
                  <c:v>10.492357680323796</c:v>
                </c:pt>
                <c:pt idx="621">
                  <c:v>10.509398054364164</c:v>
                </c:pt>
                <c:pt idx="622">
                  <c:v>10.692068335673174</c:v>
                </c:pt>
                <c:pt idx="623">
                  <c:v>10.615485263303663</c:v>
                </c:pt>
                <c:pt idx="624">
                  <c:v>10.772588073908281</c:v>
                </c:pt>
                <c:pt idx="625">
                  <c:v>10.605270633937636</c:v>
                </c:pt>
                <c:pt idx="626">
                  <c:v>10.569332077435826</c:v>
                </c:pt>
                <c:pt idx="627">
                  <c:v>10.46537211292963</c:v>
                </c:pt>
                <c:pt idx="628">
                  <c:v>10.275581713115098</c:v>
                </c:pt>
                <c:pt idx="629">
                  <c:v>10.348435693554306</c:v>
                </c:pt>
                <c:pt idx="630">
                  <c:v>10.49021315423404</c:v>
                </c:pt>
                <c:pt idx="631">
                  <c:v>10.648268012418686</c:v>
                </c:pt>
                <c:pt idx="632">
                  <c:v>10.6078294131629</c:v>
                </c:pt>
                <c:pt idx="633">
                  <c:v>10.393280127860374</c:v>
                </c:pt>
                <c:pt idx="634">
                  <c:v>10.548906565284812</c:v>
                </c:pt>
                <c:pt idx="635">
                  <c:v>10.537842891511968</c:v>
                </c:pt>
                <c:pt idx="636">
                  <c:v>10.361812178743815</c:v>
                </c:pt>
                <c:pt idx="637">
                  <c:v>10.291644197231065</c:v>
                </c:pt>
                <c:pt idx="638">
                  <c:v>10.421483397911951</c:v>
                </c:pt>
                <c:pt idx="639">
                  <c:v>10.375437241361311</c:v>
                </c:pt>
                <c:pt idx="640">
                  <c:v>10.218728013442218</c:v>
                </c:pt>
                <c:pt idx="641">
                  <c:v>10.377967151418614</c:v>
                </c:pt>
                <c:pt idx="642">
                  <c:v>10.369520274162117</c:v>
                </c:pt>
                <c:pt idx="643">
                  <c:v>10.531555385798363</c:v>
                </c:pt>
                <c:pt idx="644">
                  <c:v>10.41587278643453</c:v>
                </c:pt>
                <c:pt idx="645">
                  <c:v>10.660798179781869</c:v>
                </c:pt>
                <c:pt idx="646">
                  <c:v>10.793690899003405</c:v>
                </c:pt>
                <c:pt idx="647">
                  <c:v>10.837642255281981</c:v>
                </c:pt>
                <c:pt idx="648">
                  <c:v>10.952643415552593</c:v>
                </c:pt>
                <c:pt idx="649">
                  <c:v>11.162974673956104</c:v>
                </c:pt>
                <c:pt idx="650">
                  <c:v>11.384838376323913</c:v>
                </c:pt>
                <c:pt idx="651">
                  <c:v>11.212369180778113</c:v>
                </c:pt>
                <c:pt idx="652">
                  <c:v>11.11171585739881</c:v>
                </c:pt>
                <c:pt idx="653">
                  <c:v>11.231337404082193</c:v>
                </c:pt>
                <c:pt idx="654">
                  <c:v>11.024040151176859</c:v>
                </c:pt>
                <c:pt idx="655">
                  <c:v>11.041572372355128</c:v>
                </c:pt>
                <c:pt idx="656">
                  <c:v>10.898721389401938</c:v>
                </c:pt>
                <c:pt idx="657">
                  <c:v>10.727249482095221</c:v>
                </c:pt>
                <c:pt idx="658">
                  <c:v>10.744582536446648</c:v>
                </c:pt>
                <c:pt idx="659">
                  <c:v>10.633246239755527</c:v>
                </c:pt>
                <c:pt idx="660">
                  <c:v>10.540846235680261</c:v>
                </c:pt>
                <c:pt idx="661">
                  <c:v>10.63317152272991</c:v>
                </c:pt>
                <c:pt idx="662">
                  <c:v>10.485394157400055</c:v>
                </c:pt>
                <c:pt idx="663">
                  <c:v>10.451035358218375</c:v>
                </c:pt>
                <c:pt idx="664">
                  <c:v>10.446359038801038</c:v>
                </c:pt>
                <c:pt idx="665">
                  <c:v>10.618654385304762</c:v>
                </c:pt>
                <c:pt idx="666">
                  <c:v>10.657310520190945</c:v>
                </c:pt>
                <c:pt idx="667">
                  <c:v>10.608542468040079</c:v>
                </c:pt>
                <c:pt idx="668">
                  <c:v>10.772685416139293</c:v>
                </c:pt>
                <c:pt idx="669">
                  <c:v>10.71620229084707</c:v>
                </c:pt>
                <c:pt idx="670">
                  <c:v>10.846898040391105</c:v>
                </c:pt>
                <c:pt idx="671">
                  <c:v>10.801204875303753</c:v>
                </c:pt>
                <c:pt idx="672">
                  <c:v>11.056715945925049</c:v>
                </c:pt>
                <c:pt idx="673">
                  <c:v>11.257953011701176</c:v>
                </c:pt>
                <c:pt idx="674">
                  <c:v>11.101296761026777</c:v>
                </c:pt>
                <c:pt idx="675">
                  <c:v>11.315024945528025</c:v>
                </c:pt>
                <c:pt idx="676">
                  <c:v>11.494360353023291</c:v>
                </c:pt>
                <c:pt idx="677">
                  <c:v>11.368521613664718</c:v>
                </c:pt>
                <c:pt idx="678">
                  <c:v>11.244354546516904</c:v>
                </c:pt>
                <c:pt idx="679">
                  <c:v>11.339915855470167</c:v>
                </c:pt>
                <c:pt idx="680">
                  <c:v>11.325501225200304</c:v>
                </c:pt>
                <c:pt idx="681">
                  <c:v>11.085811705838687</c:v>
                </c:pt>
                <c:pt idx="682">
                  <c:v>11.248915805774228</c:v>
                </c:pt>
                <c:pt idx="683">
                  <c:v>11.377190665204731</c:v>
                </c:pt>
                <c:pt idx="684">
                  <c:v>11.409501050786547</c:v>
                </c:pt>
                <c:pt idx="685">
                  <c:v>11.403946585478829</c:v>
                </c:pt>
                <c:pt idx="686">
                  <c:v>11.155939582791991</c:v>
                </c:pt>
                <c:pt idx="687">
                  <c:v>10.921967618668686</c:v>
                </c:pt>
                <c:pt idx="688">
                  <c:v>10.999618669047747</c:v>
                </c:pt>
                <c:pt idx="689">
                  <c:v>11.064240988825482</c:v>
                </c:pt>
                <c:pt idx="690">
                  <c:v>10.877867792063874</c:v>
                </c:pt>
                <c:pt idx="691">
                  <c:v>10.656627157956796</c:v>
                </c:pt>
                <c:pt idx="692">
                  <c:v>10.647880216832137</c:v>
                </c:pt>
                <c:pt idx="693">
                  <c:v>10.545921562493534</c:v>
                </c:pt>
                <c:pt idx="694">
                  <c:v>10.654878092022537</c:v>
                </c:pt>
                <c:pt idx="695">
                  <c:v>10.712057753735428</c:v>
                </c:pt>
                <c:pt idx="696">
                  <c:v>10.853943082607593</c:v>
                </c:pt>
                <c:pt idx="697">
                  <c:v>10.680361694483754</c:v>
                </c:pt>
                <c:pt idx="698">
                  <c:v>10.777229970641335</c:v>
                </c:pt>
                <c:pt idx="699">
                  <c:v>10.744547965412764</c:v>
                </c:pt>
                <c:pt idx="700">
                  <c:v>10.778393844622521</c:v>
                </c:pt>
                <c:pt idx="701">
                  <c:v>10.786517936584923</c:v>
                </c:pt>
                <c:pt idx="702">
                  <c:v>10.783495412896347</c:v>
                </c:pt>
                <c:pt idx="703">
                  <c:v>10.943433170635357</c:v>
                </c:pt>
                <c:pt idx="704">
                  <c:v>11.02092914523158</c:v>
                </c:pt>
                <c:pt idx="705">
                  <c:v>11.041009385180871</c:v>
                </c:pt>
                <c:pt idx="706">
                  <c:v>11.021203371404642</c:v>
                </c:pt>
                <c:pt idx="707">
                  <c:v>11.123826256099639</c:v>
                </c:pt>
                <c:pt idx="708">
                  <c:v>11.059188576053472</c:v>
                </c:pt>
                <c:pt idx="709">
                  <c:v>11.092539144532717</c:v>
                </c:pt>
                <c:pt idx="710">
                  <c:v>11.172369499242638</c:v>
                </c:pt>
                <c:pt idx="711">
                  <c:v>10.850404017744836</c:v>
                </c:pt>
                <c:pt idx="712">
                  <c:v>10.663981336975521</c:v>
                </c:pt>
                <c:pt idx="713">
                  <c:v>10.411465296726746</c:v>
                </c:pt>
                <c:pt idx="714">
                  <c:v>10.514606050779197</c:v>
                </c:pt>
                <c:pt idx="715">
                  <c:v>10.60992982665115</c:v>
                </c:pt>
                <c:pt idx="716">
                  <c:v>10.380108269351933</c:v>
                </c:pt>
                <c:pt idx="717">
                  <c:v>10.215260730779876</c:v>
                </c:pt>
                <c:pt idx="718">
                  <c:v>10.128112713393</c:v>
                </c:pt>
                <c:pt idx="719">
                  <c:v>10.101283804908554</c:v>
                </c:pt>
                <c:pt idx="720">
                  <c:v>10.19244548226612</c:v>
                </c:pt>
                <c:pt idx="721">
                  <c:v>10.299215784034047</c:v>
                </c:pt>
                <c:pt idx="722">
                  <c:v>10.162666369910751</c:v>
                </c:pt>
                <c:pt idx="723">
                  <c:v>9.9410742712281355</c:v>
                </c:pt>
                <c:pt idx="724">
                  <c:v>10.072522241313013</c:v>
                </c:pt>
                <c:pt idx="725">
                  <c:v>9.9774071345125357</c:v>
                </c:pt>
                <c:pt idx="726">
                  <c:v>9.820321336600113</c:v>
                </c:pt>
                <c:pt idx="727">
                  <c:v>9.9299567833450499</c:v>
                </c:pt>
                <c:pt idx="728">
                  <c:v>9.7889686623534935</c:v>
                </c:pt>
                <c:pt idx="729">
                  <c:v>9.7870486590522443</c:v>
                </c:pt>
                <c:pt idx="730">
                  <c:v>9.7752578260423899</c:v>
                </c:pt>
                <c:pt idx="731">
                  <c:v>9.5953996125752177</c:v>
                </c:pt>
                <c:pt idx="732">
                  <c:v>9.4998194786176455</c:v>
                </c:pt>
                <c:pt idx="733">
                  <c:v>9.4160564496530839</c:v>
                </c:pt>
                <c:pt idx="734">
                  <c:v>9.3704569852539734</c:v>
                </c:pt>
                <c:pt idx="735">
                  <c:v>9.4678086765207183</c:v>
                </c:pt>
                <c:pt idx="736">
                  <c:v>9.2275158508227051</c:v>
                </c:pt>
                <c:pt idx="737">
                  <c:v>9.0441907121437914</c:v>
                </c:pt>
                <c:pt idx="738">
                  <c:v>8.9429443047315438</c:v>
                </c:pt>
                <c:pt idx="739">
                  <c:v>8.7476440844824239</c:v>
                </c:pt>
                <c:pt idx="740">
                  <c:v>8.8195183168137774</c:v>
                </c:pt>
                <c:pt idx="741">
                  <c:v>8.889438110322974</c:v>
                </c:pt>
                <c:pt idx="742">
                  <c:v>8.8728818857604956</c:v>
                </c:pt>
                <c:pt idx="743">
                  <c:v>8.6941792373960105</c:v>
                </c:pt>
                <c:pt idx="744">
                  <c:v>8.4654559401662581</c:v>
                </c:pt>
                <c:pt idx="745">
                  <c:v>8.5136156530903957</c:v>
                </c:pt>
              </c:numCache>
            </c:numRef>
          </c:yVal>
          <c:smooth val="1"/>
          <c:extLst>
            <c:ext xmlns:c16="http://schemas.microsoft.com/office/drawing/2014/chart" uri="{C3380CC4-5D6E-409C-BE32-E72D297353CC}">
              <c16:uniqueId val="{00000000-F69F-4D35-9F43-105A2FEF1D06}"/>
            </c:ext>
          </c:extLst>
        </c:ser>
        <c:dLbls>
          <c:showLegendKey val="0"/>
          <c:showVal val="0"/>
          <c:showCatName val="0"/>
          <c:showSerName val="0"/>
          <c:showPercent val="0"/>
          <c:showBubbleSize val="0"/>
        </c:dLbls>
        <c:axId val="705468464"/>
        <c:axId val="705466064"/>
      </c:scatterChart>
      <c:valAx>
        <c:axId val="705468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66064"/>
        <c:crosses val="autoZero"/>
        <c:crossBetween val="midCat"/>
      </c:valAx>
      <c:valAx>
        <c:axId val="70546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Exponential_smoothing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68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solution'!$X$1</c:f>
              <c:strCache>
                <c:ptCount val="1"/>
                <c:pt idx="0">
                  <c:v>ES_0.2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solution'!$X$2:$X$747</c:f>
              <c:numCache>
                <c:formatCode>General</c:formatCode>
                <c:ptCount val="746"/>
                <c:pt idx="0">
                  <c:v>6.9345063332049524</c:v>
                </c:pt>
                <c:pt idx="1">
                  <c:v>6.9345063332049524</c:v>
                </c:pt>
                <c:pt idx="2">
                  <c:v>7.2671887515827738</c:v>
                </c:pt>
                <c:pt idx="3">
                  <c:v>7.676498992282486</c:v>
                </c:pt>
                <c:pt idx="4">
                  <c:v>7.5278327323867362</c:v>
                </c:pt>
                <c:pt idx="5">
                  <c:v>7.1992895727952781</c:v>
                </c:pt>
                <c:pt idx="6">
                  <c:v>7.2118559524004784</c:v>
                </c:pt>
                <c:pt idx="7">
                  <c:v>7.2660136501358963</c:v>
                </c:pt>
                <c:pt idx="8">
                  <c:v>7.0585562462202978</c:v>
                </c:pt>
                <c:pt idx="9">
                  <c:v>7.475752135730775</c:v>
                </c:pt>
                <c:pt idx="10">
                  <c:v>7.5799374337148127</c:v>
                </c:pt>
                <c:pt idx="11">
                  <c:v>7.1413081147791679</c:v>
                </c:pt>
                <c:pt idx="12">
                  <c:v>7.1411716642511767</c:v>
                </c:pt>
                <c:pt idx="13">
                  <c:v>7.0202431390207902</c:v>
                </c:pt>
                <c:pt idx="14">
                  <c:v>6.8456587991087261</c:v>
                </c:pt>
                <c:pt idx="15">
                  <c:v>6.9187227214716733</c:v>
                </c:pt>
                <c:pt idx="16">
                  <c:v>6.5747982195800212</c:v>
                </c:pt>
                <c:pt idx="17">
                  <c:v>6.4797978126899709</c:v>
                </c:pt>
                <c:pt idx="18">
                  <c:v>6.3757529640605402</c:v>
                </c:pt>
                <c:pt idx="19">
                  <c:v>6.3234363136190481</c:v>
                </c:pt>
                <c:pt idx="20">
                  <c:v>5.8824773363522542</c:v>
                </c:pt>
                <c:pt idx="21">
                  <c:v>5.8615342245915976</c:v>
                </c:pt>
                <c:pt idx="22">
                  <c:v>6.0997362365643557</c:v>
                </c:pt>
                <c:pt idx="23">
                  <c:v>5.7457529571763652</c:v>
                </c:pt>
                <c:pt idx="24">
                  <c:v>5.5300996418888717</c:v>
                </c:pt>
                <c:pt idx="25">
                  <c:v>5.374117898871039</c:v>
                </c:pt>
                <c:pt idx="26">
                  <c:v>5.8760014317372908</c:v>
                </c:pt>
                <c:pt idx="27">
                  <c:v>6.209864337292502</c:v>
                </c:pt>
                <c:pt idx="28">
                  <c:v>6.5443854793263778</c:v>
                </c:pt>
                <c:pt idx="29">
                  <c:v>6.7070121870390089</c:v>
                </c:pt>
                <c:pt idx="30">
                  <c:v>6.6845410466945285</c:v>
                </c:pt>
                <c:pt idx="31">
                  <c:v>6.2993436461464976</c:v>
                </c:pt>
                <c:pt idx="32">
                  <c:v>5.9700541249930419</c:v>
                </c:pt>
                <c:pt idx="33">
                  <c:v>6.0358646709713977</c:v>
                </c:pt>
                <c:pt idx="34">
                  <c:v>5.9668443392727308</c:v>
                </c:pt>
                <c:pt idx="35">
                  <c:v>5.9124946461407433</c:v>
                </c:pt>
                <c:pt idx="36">
                  <c:v>5.7585463533265582</c:v>
                </c:pt>
                <c:pt idx="37">
                  <c:v>5.442795382559491</c:v>
                </c:pt>
                <c:pt idx="38">
                  <c:v>5.8936220518459077</c:v>
                </c:pt>
                <c:pt idx="39">
                  <c:v>5.7826703293911175</c:v>
                </c:pt>
                <c:pt idx="40">
                  <c:v>5.7715371129990043</c:v>
                </c:pt>
                <c:pt idx="41">
                  <c:v>5.9858732862549093</c:v>
                </c:pt>
                <c:pt idx="42">
                  <c:v>6.1198003255858957</c:v>
                </c:pt>
                <c:pt idx="43">
                  <c:v>5.9624103733467155</c:v>
                </c:pt>
                <c:pt idx="44">
                  <c:v>5.4360459832579071</c:v>
                </c:pt>
                <c:pt idx="45">
                  <c:v>5.402082280771447</c:v>
                </c:pt>
                <c:pt idx="46">
                  <c:v>5.2847770471297313</c:v>
                </c:pt>
                <c:pt idx="47">
                  <c:v>5.0747248930638253</c:v>
                </c:pt>
                <c:pt idx="48">
                  <c:v>4.7164193605524813</c:v>
                </c:pt>
                <c:pt idx="49">
                  <c:v>4.8543378283964724</c:v>
                </c:pt>
                <c:pt idx="50">
                  <c:v>4.4752251268620853</c:v>
                </c:pt>
                <c:pt idx="51">
                  <c:v>4.3673317168161701</c:v>
                </c:pt>
                <c:pt idx="52">
                  <c:v>4.8686019256265292</c:v>
                </c:pt>
                <c:pt idx="53">
                  <c:v>4.6809212702562659</c:v>
                </c:pt>
                <c:pt idx="54">
                  <c:v>4.4381704290907669</c:v>
                </c:pt>
                <c:pt idx="55">
                  <c:v>4.5129119628462524</c:v>
                </c:pt>
                <c:pt idx="56">
                  <c:v>4.4530829510478096</c:v>
                </c:pt>
                <c:pt idx="57">
                  <c:v>4.9761596870352713</c:v>
                </c:pt>
                <c:pt idx="58">
                  <c:v>5.456109939176403</c:v>
                </c:pt>
                <c:pt idx="59">
                  <c:v>5.5698549240630673</c:v>
                </c:pt>
                <c:pt idx="60">
                  <c:v>5.7865178179821104</c:v>
                </c:pt>
                <c:pt idx="61">
                  <c:v>6.0925664312499501</c:v>
                </c:pt>
                <c:pt idx="62">
                  <c:v>5.6740826145736429</c:v>
                </c:pt>
                <c:pt idx="63">
                  <c:v>5.898706750078424</c:v>
                </c:pt>
                <c:pt idx="64">
                  <c:v>5.968913854140423</c:v>
                </c:pt>
                <c:pt idx="65">
                  <c:v>5.4425400105867867</c:v>
                </c:pt>
                <c:pt idx="66">
                  <c:v>5.4536947619115841</c:v>
                </c:pt>
                <c:pt idx="67">
                  <c:v>5.1885476519253437</c:v>
                </c:pt>
                <c:pt idx="68">
                  <c:v>4.8670017380576667</c:v>
                </c:pt>
                <c:pt idx="69">
                  <c:v>4.5986104920676212</c:v>
                </c:pt>
                <c:pt idx="70">
                  <c:v>4.1586852086348145</c:v>
                </c:pt>
                <c:pt idx="71">
                  <c:v>4.1388255874435833</c:v>
                </c:pt>
                <c:pt idx="72">
                  <c:v>3.7991596045455176</c:v>
                </c:pt>
                <c:pt idx="73">
                  <c:v>4.0938765945507338</c:v>
                </c:pt>
                <c:pt idx="74">
                  <c:v>3.8321776990898568</c:v>
                </c:pt>
                <c:pt idx="75">
                  <c:v>4.1430356563588981</c:v>
                </c:pt>
                <c:pt idx="76">
                  <c:v>3.8923097804326012</c:v>
                </c:pt>
                <c:pt idx="77">
                  <c:v>4.0769231133689559</c:v>
                </c:pt>
                <c:pt idx="78">
                  <c:v>4.2901222875706368</c:v>
                </c:pt>
                <c:pt idx="79">
                  <c:v>4.293021743589434</c:v>
                </c:pt>
                <c:pt idx="80">
                  <c:v>4.0866707448951889</c:v>
                </c:pt>
                <c:pt idx="81">
                  <c:v>4.3743269860093781</c:v>
                </c:pt>
                <c:pt idx="82">
                  <c:v>4.115435541607674</c:v>
                </c:pt>
                <c:pt idx="83">
                  <c:v>4.2678531314961816</c:v>
                </c:pt>
                <c:pt idx="84">
                  <c:v>4.5329134419858308</c:v>
                </c:pt>
                <c:pt idx="85">
                  <c:v>4.3508048028417461</c:v>
                </c:pt>
                <c:pt idx="86">
                  <c:v>4.4596845957706348</c:v>
                </c:pt>
                <c:pt idx="87">
                  <c:v>4.5880929828069439</c:v>
                </c:pt>
                <c:pt idx="88">
                  <c:v>4.2613373351969583</c:v>
                </c:pt>
                <c:pt idx="89">
                  <c:v>4.0185999503781629</c:v>
                </c:pt>
                <c:pt idx="90">
                  <c:v>3.8670972661224963</c:v>
                </c:pt>
                <c:pt idx="91">
                  <c:v>3.6760350486680364</c:v>
                </c:pt>
                <c:pt idx="92">
                  <c:v>3.5262381203737663</c:v>
                </c:pt>
                <c:pt idx="93">
                  <c:v>3.9519187486544718</c:v>
                </c:pt>
                <c:pt idx="94">
                  <c:v>4.2265987945500054</c:v>
                </c:pt>
                <c:pt idx="95">
                  <c:v>4.5574188097464976</c:v>
                </c:pt>
                <c:pt idx="96">
                  <c:v>4.0358109744012491</c:v>
                </c:pt>
                <c:pt idx="97">
                  <c:v>3.6374426517360061</c:v>
                </c:pt>
                <c:pt idx="98">
                  <c:v>3.7178656079509054</c:v>
                </c:pt>
                <c:pt idx="99">
                  <c:v>3.9772333336510286</c:v>
                </c:pt>
                <c:pt idx="100">
                  <c:v>3.9193100343973533</c:v>
                </c:pt>
                <c:pt idx="101">
                  <c:v>3.4694344586162575</c:v>
                </c:pt>
                <c:pt idx="102">
                  <c:v>3.6747721539144815</c:v>
                </c:pt>
                <c:pt idx="103">
                  <c:v>3.650166155609579</c:v>
                </c:pt>
                <c:pt idx="104">
                  <c:v>4.0511734204646199</c:v>
                </c:pt>
                <c:pt idx="105">
                  <c:v>4.2423761564004883</c:v>
                </c:pt>
                <c:pt idx="106">
                  <c:v>3.8444815937508094</c:v>
                </c:pt>
                <c:pt idx="107">
                  <c:v>3.9674009745653525</c:v>
                </c:pt>
                <c:pt idx="108">
                  <c:v>4.1832916803534719</c:v>
                </c:pt>
                <c:pt idx="109">
                  <c:v>4.38518608369065</c:v>
                </c:pt>
                <c:pt idx="110">
                  <c:v>4.3241797692943713</c:v>
                </c:pt>
                <c:pt idx="111">
                  <c:v>4.7551922127699537</c:v>
                </c:pt>
                <c:pt idx="112">
                  <c:v>4.5234793365793289</c:v>
                </c:pt>
                <c:pt idx="113">
                  <c:v>4.6586533505876009</c:v>
                </c:pt>
                <c:pt idx="114">
                  <c:v>4.7605523526838729</c:v>
                </c:pt>
                <c:pt idx="115">
                  <c:v>5.0787798980894934</c:v>
                </c:pt>
                <c:pt idx="116">
                  <c:v>4.5936181985713507</c:v>
                </c:pt>
                <c:pt idx="117">
                  <c:v>4.6577141760820222</c:v>
                </c:pt>
                <c:pt idx="118">
                  <c:v>4.7171597795608742</c:v>
                </c:pt>
                <c:pt idx="119">
                  <c:v>4.6541392682562961</c:v>
                </c:pt>
                <c:pt idx="120">
                  <c:v>4.5785066570391884</c:v>
                </c:pt>
                <c:pt idx="121">
                  <c:v>4.1206909132427549</c:v>
                </c:pt>
                <c:pt idx="122">
                  <c:v>4.4058786429486929</c:v>
                </c:pt>
                <c:pt idx="123">
                  <c:v>4.3006974318781701</c:v>
                </c:pt>
                <c:pt idx="124">
                  <c:v>3.9601644212229274</c:v>
                </c:pt>
                <c:pt idx="125">
                  <c:v>3.6343092894444267</c:v>
                </c:pt>
                <c:pt idx="126">
                  <c:v>3.9864474324350558</c:v>
                </c:pt>
                <c:pt idx="127">
                  <c:v>3.7199817016837509</c:v>
                </c:pt>
                <c:pt idx="128">
                  <c:v>4.0165016328934628</c:v>
                </c:pt>
                <c:pt idx="129">
                  <c:v>3.6901087168448137</c:v>
                </c:pt>
                <c:pt idx="130">
                  <c:v>3.7934127099193744</c:v>
                </c:pt>
                <c:pt idx="131">
                  <c:v>3.7256962229053996</c:v>
                </c:pt>
                <c:pt idx="132">
                  <c:v>3.6517851549760469</c:v>
                </c:pt>
                <c:pt idx="133">
                  <c:v>4.1262516722208309</c:v>
                </c:pt>
                <c:pt idx="134">
                  <c:v>4.2024956064762939</c:v>
                </c:pt>
                <c:pt idx="135">
                  <c:v>3.9168260458366686</c:v>
                </c:pt>
                <c:pt idx="136">
                  <c:v>3.8271857115424424</c:v>
                </c:pt>
                <c:pt idx="137">
                  <c:v>4.1624567175852842</c:v>
                </c:pt>
                <c:pt idx="138">
                  <c:v>4.1490382208183059</c:v>
                </c:pt>
                <c:pt idx="139">
                  <c:v>4.2448384704823816</c:v>
                </c:pt>
                <c:pt idx="140">
                  <c:v>4.4600637769244162</c:v>
                </c:pt>
                <c:pt idx="141">
                  <c:v>4.9027788277074533</c:v>
                </c:pt>
                <c:pt idx="142">
                  <c:v>4.6016035051753139</c:v>
                </c:pt>
                <c:pt idx="143">
                  <c:v>4.8796557902920688</c:v>
                </c:pt>
                <c:pt idx="144">
                  <c:v>4.8609040634466822</c:v>
                </c:pt>
                <c:pt idx="145">
                  <c:v>4.682076162459258</c:v>
                </c:pt>
                <c:pt idx="146">
                  <c:v>4.9520154852809508</c:v>
                </c:pt>
                <c:pt idx="147">
                  <c:v>4.664925229741181</c:v>
                </c:pt>
                <c:pt idx="148">
                  <c:v>4.5151803780803661</c:v>
                </c:pt>
                <c:pt idx="149">
                  <c:v>4.4802354481984024</c:v>
                </c:pt>
                <c:pt idx="150">
                  <c:v>4.5886263805022214</c:v>
                </c:pt>
                <c:pt idx="151">
                  <c:v>4.4195187548150425</c:v>
                </c:pt>
                <c:pt idx="152">
                  <c:v>4.7912627424757774</c:v>
                </c:pt>
                <c:pt idx="153">
                  <c:v>5.157436321027153</c:v>
                </c:pt>
                <c:pt idx="154">
                  <c:v>5.3094225964878055</c:v>
                </c:pt>
                <c:pt idx="155">
                  <c:v>5.4698097424155341</c:v>
                </c:pt>
                <c:pt idx="156">
                  <c:v>5.5607527825454106</c:v>
                </c:pt>
                <c:pt idx="157">
                  <c:v>5.6353884253672977</c:v>
                </c:pt>
                <c:pt idx="158">
                  <c:v>5.833491169209374</c:v>
                </c:pt>
                <c:pt idx="159">
                  <c:v>5.768292614132613</c:v>
                </c:pt>
                <c:pt idx="160">
                  <c:v>5.6060801788678072</c:v>
                </c:pt>
                <c:pt idx="161">
                  <c:v>5.3062250318836481</c:v>
                </c:pt>
                <c:pt idx="162">
                  <c:v>5.0626810720109638</c:v>
                </c:pt>
                <c:pt idx="163">
                  <c:v>5.2126993503336791</c:v>
                </c:pt>
                <c:pt idx="164">
                  <c:v>5.4055413139952444</c:v>
                </c:pt>
                <c:pt idx="165">
                  <c:v>5.8659458737247618</c:v>
                </c:pt>
                <c:pt idx="166">
                  <c:v>6.0602318932943344</c:v>
                </c:pt>
                <c:pt idx="167">
                  <c:v>5.9338068958201449</c:v>
                </c:pt>
                <c:pt idx="168">
                  <c:v>5.8722073846277993</c:v>
                </c:pt>
                <c:pt idx="169">
                  <c:v>5.7382389155612712</c:v>
                </c:pt>
                <c:pt idx="170">
                  <c:v>5.9775189764553973</c:v>
                </c:pt>
                <c:pt idx="171">
                  <c:v>5.8361207506575843</c:v>
                </c:pt>
                <c:pt idx="172">
                  <c:v>5.9936551879325588</c:v>
                </c:pt>
                <c:pt idx="173">
                  <c:v>6.4056877658748608</c:v>
                </c:pt>
                <c:pt idx="174">
                  <c:v>6.1469494789048182</c:v>
                </c:pt>
                <c:pt idx="175">
                  <c:v>5.8986474416184391</c:v>
                </c:pt>
                <c:pt idx="176">
                  <c:v>5.5487469717425348</c:v>
                </c:pt>
                <c:pt idx="177">
                  <c:v>5.3922758874285739</c:v>
                </c:pt>
                <c:pt idx="178">
                  <c:v>5.2415481875216505</c:v>
                </c:pt>
                <c:pt idx="179">
                  <c:v>5.7182170344662122</c:v>
                </c:pt>
                <c:pt idx="180">
                  <c:v>5.9640202578312307</c:v>
                </c:pt>
                <c:pt idx="181">
                  <c:v>6.3417220288994427</c:v>
                </c:pt>
                <c:pt idx="182">
                  <c:v>6.4547657557566858</c:v>
                </c:pt>
                <c:pt idx="183">
                  <c:v>6.5631011462015447</c:v>
                </c:pt>
                <c:pt idx="184">
                  <c:v>6.4430018566797935</c:v>
                </c:pt>
                <c:pt idx="185">
                  <c:v>6.0527095521799392</c:v>
                </c:pt>
                <c:pt idx="186">
                  <c:v>6.078049685113097</c:v>
                </c:pt>
                <c:pt idx="187">
                  <c:v>5.9326384943530304</c:v>
                </c:pt>
                <c:pt idx="188">
                  <c:v>6.1532985534650217</c:v>
                </c:pt>
                <c:pt idx="189">
                  <c:v>6.0426590537971991</c:v>
                </c:pt>
                <c:pt idx="190">
                  <c:v>6.3254404845419057</c:v>
                </c:pt>
                <c:pt idx="191">
                  <c:v>6.8334650216235167</c:v>
                </c:pt>
                <c:pt idx="192">
                  <c:v>6.7140943049676487</c:v>
                </c:pt>
                <c:pt idx="193">
                  <c:v>7.2144017053483651</c:v>
                </c:pt>
                <c:pt idx="194">
                  <c:v>7.5897259073447092</c:v>
                </c:pt>
                <c:pt idx="195">
                  <c:v>7.8286173118468527</c:v>
                </c:pt>
                <c:pt idx="196">
                  <c:v>7.912022267021106</c:v>
                </c:pt>
                <c:pt idx="197">
                  <c:v>7.8587651755645842</c:v>
                </c:pt>
                <c:pt idx="198">
                  <c:v>8.0823597075010483</c:v>
                </c:pt>
                <c:pt idx="199">
                  <c:v>8.1759702826699687</c:v>
                </c:pt>
                <c:pt idx="200">
                  <c:v>7.758975806426351</c:v>
                </c:pt>
                <c:pt idx="201">
                  <c:v>7.2884473024803444</c:v>
                </c:pt>
                <c:pt idx="202">
                  <c:v>7.2193991145786907</c:v>
                </c:pt>
                <c:pt idx="203">
                  <c:v>7.2508599138248142</c:v>
                </c:pt>
                <c:pt idx="204">
                  <c:v>7.3728548656790318</c:v>
                </c:pt>
                <c:pt idx="205">
                  <c:v>7.2998323078841416</c:v>
                </c:pt>
                <c:pt idx="206">
                  <c:v>6.9260790562578141</c:v>
                </c:pt>
                <c:pt idx="207">
                  <c:v>6.9439906759015511</c:v>
                </c:pt>
                <c:pt idx="208">
                  <c:v>6.8074831124824868</c:v>
                </c:pt>
                <c:pt idx="209">
                  <c:v>7.3214119519589422</c:v>
                </c:pt>
                <c:pt idx="210">
                  <c:v>7.3532788441567796</c:v>
                </c:pt>
                <c:pt idx="211">
                  <c:v>7.1995906644944228</c:v>
                </c:pt>
                <c:pt idx="212">
                  <c:v>7.6139712607959753</c:v>
                </c:pt>
                <c:pt idx="213">
                  <c:v>7.8472867596687301</c:v>
                </c:pt>
                <c:pt idx="214">
                  <c:v>8.1409546328822771</c:v>
                </c:pt>
                <c:pt idx="215">
                  <c:v>7.8387869490882265</c:v>
                </c:pt>
                <c:pt idx="216">
                  <c:v>7.9555899304654734</c:v>
                </c:pt>
                <c:pt idx="217">
                  <c:v>8.3546894739001907</c:v>
                </c:pt>
                <c:pt idx="218">
                  <c:v>8.5713500161341472</c:v>
                </c:pt>
                <c:pt idx="219">
                  <c:v>8.2846106282816105</c:v>
                </c:pt>
                <c:pt idx="220">
                  <c:v>8.4692358524839282</c:v>
                </c:pt>
                <c:pt idx="221">
                  <c:v>8.9294826682314454</c:v>
                </c:pt>
                <c:pt idx="222">
                  <c:v>9.2803462901950997</c:v>
                </c:pt>
                <c:pt idx="223">
                  <c:v>9.0755339032550424</c:v>
                </c:pt>
                <c:pt idx="224">
                  <c:v>8.8168074938006615</c:v>
                </c:pt>
                <c:pt idx="225">
                  <c:v>9.0700465438146107</c:v>
                </c:pt>
                <c:pt idx="226">
                  <c:v>9.2025931611370559</c:v>
                </c:pt>
                <c:pt idx="227">
                  <c:v>9.0148376208269756</c:v>
                </c:pt>
                <c:pt idx="228">
                  <c:v>9.1857408590100764</c:v>
                </c:pt>
                <c:pt idx="229">
                  <c:v>8.9310731987843432</c:v>
                </c:pt>
                <c:pt idx="230">
                  <c:v>8.8969279429484338</c:v>
                </c:pt>
                <c:pt idx="231">
                  <c:v>8.5197571005212751</c:v>
                </c:pt>
                <c:pt idx="232">
                  <c:v>8.740490760003647</c:v>
                </c:pt>
                <c:pt idx="233">
                  <c:v>8.8611145109633487</c:v>
                </c:pt>
                <c:pt idx="234">
                  <c:v>9.1288180187556343</c:v>
                </c:pt>
                <c:pt idx="235">
                  <c:v>9.2286968399943348</c:v>
                </c:pt>
                <c:pt idx="236">
                  <c:v>9.2635670173281621</c:v>
                </c:pt>
                <c:pt idx="237">
                  <c:v>9.4676682615925944</c:v>
                </c:pt>
                <c:pt idx="238">
                  <c:v>9.5629997564630553</c:v>
                </c:pt>
                <c:pt idx="239">
                  <c:v>9.1986561330264927</c:v>
                </c:pt>
                <c:pt idx="240">
                  <c:v>9.092214831324366</c:v>
                </c:pt>
                <c:pt idx="241">
                  <c:v>9.2020299159207344</c:v>
                </c:pt>
                <c:pt idx="242">
                  <c:v>8.9054464968282101</c:v>
                </c:pt>
                <c:pt idx="243">
                  <c:v>9.0718592405020697</c:v>
                </c:pt>
                <c:pt idx="244">
                  <c:v>9.592891538815504</c:v>
                </c:pt>
                <c:pt idx="245">
                  <c:v>9.6880437695974475</c:v>
                </c:pt>
                <c:pt idx="246">
                  <c:v>9.7546895445369231</c:v>
                </c:pt>
                <c:pt idx="247">
                  <c:v>9.9422306406036789</c:v>
                </c:pt>
                <c:pt idx="248">
                  <c:v>9.9910459727497312</c:v>
                </c:pt>
                <c:pt idx="249">
                  <c:v>10.366799451726108</c:v>
                </c:pt>
                <c:pt idx="250">
                  <c:v>10.338504511493701</c:v>
                </c:pt>
                <c:pt idx="251">
                  <c:v>9.8782274975299451</c:v>
                </c:pt>
                <c:pt idx="252">
                  <c:v>10.213226564343291</c:v>
                </c:pt>
                <c:pt idx="253">
                  <c:v>10.022981307067887</c:v>
                </c:pt>
                <c:pt idx="254">
                  <c:v>9.788783434275329</c:v>
                </c:pt>
                <c:pt idx="255">
                  <c:v>9.9837047859076957</c:v>
                </c:pt>
                <c:pt idx="256">
                  <c:v>9.619862427912981</c:v>
                </c:pt>
                <c:pt idx="257">
                  <c:v>9.4660321476542926</c:v>
                </c:pt>
                <c:pt idx="258">
                  <c:v>9.7578653359548166</c:v>
                </c:pt>
                <c:pt idx="259">
                  <c:v>9.6340556551902949</c:v>
                </c:pt>
                <c:pt idx="260">
                  <c:v>9.7122704660319918</c:v>
                </c:pt>
                <c:pt idx="261">
                  <c:v>9.7470902521953313</c:v>
                </c:pt>
                <c:pt idx="262">
                  <c:v>9.7388916845710849</c:v>
                </c:pt>
                <c:pt idx="263">
                  <c:v>9.4455090595888489</c:v>
                </c:pt>
                <c:pt idx="264">
                  <c:v>9.5320287421175216</c:v>
                </c:pt>
                <c:pt idx="265">
                  <c:v>9.3142258718702227</c:v>
                </c:pt>
                <c:pt idx="266">
                  <c:v>9.7597287438681342</c:v>
                </c:pt>
                <c:pt idx="267">
                  <c:v>9.7615340779789079</c:v>
                </c:pt>
                <c:pt idx="268">
                  <c:v>10.17119243335182</c:v>
                </c:pt>
                <c:pt idx="269">
                  <c:v>10.108732267267451</c:v>
                </c:pt>
                <c:pt idx="270">
                  <c:v>10.010457139123409</c:v>
                </c:pt>
                <c:pt idx="271">
                  <c:v>10.287066998757471</c:v>
                </c:pt>
                <c:pt idx="272">
                  <c:v>10.5940408608955</c:v>
                </c:pt>
                <c:pt idx="273">
                  <c:v>10.513220465617383</c:v>
                </c:pt>
                <c:pt idx="274">
                  <c:v>10.735175482156491</c:v>
                </c:pt>
                <c:pt idx="275">
                  <c:v>11.01877737891239</c:v>
                </c:pt>
                <c:pt idx="276">
                  <c:v>10.651985642406174</c:v>
                </c:pt>
                <c:pt idx="277">
                  <c:v>10.423399647822967</c:v>
                </c:pt>
                <c:pt idx="278">
                  <c:v>10.594979659358771</c:v>
                </c:pt>
                <c:pt idx="279">
                  <c:v>10.537877162172565</c:v>
                </c:pt>
                <c:pt idx="280">
                  <c:v>10.460764731044478</c:v>
                </c:pt>
                <c:pt idx="281">
                  <c:v>10.735116503809428</c:v>
                </c:pt>
                <c:pt idx="282">
                  <c:v>10.70427400696196</c:v>
                </c:pt>
                <c:pt idx="283">
                  <c:v>10.884176159616041</c:v>
                </c:pt>
                <c:pt idx="284">
                  <c:v>11.068311792018692</c:v>
                </c:pt>
                <c:pt idx="285">
                  <c:v>11.078255182494843</c:v>
                </c:pt>
                <c:pt idx="286">
                  <c:v>10.774933143878984</c:v>
                </c:pt>
                <c:pt idx="287">
                  <c:v>10.685838574711738</c:v>
                </c:pt>
                <c:pt idx="288">
                  <c:v>10.891224031887219</c:v>
                </c:pt>
                <c:pt idx="289">
                  <c:v>10.897539225545307</c:v>
                </c:pt>
                <c:pt idx="290">
                  <c:v>10.811773481411683</c:v>
                </c:pt>
                <c:pt idx="291">
                  <c:v>10.731096028733699</c:v>
                </c:pt>
                <c:pt idx="292">
                  <c:v>10.765979075826193</c:v>
                </c:pt>
                <c:pt idx="293">
                  <c:v>10.484960557022053</c:v>
                </c:pt>
                <c:pt idx="294">
                  <c:v>10.17926154340258</c:v>
                </c:pt>
                <c:pt idx="295">
                  <c:v>10.563289014069241</c:v>
                </c:pt>
                <c:pt idx="296">
                  <c:v>10.711465216820491</c:v>
                </c:pt>
                <c:pt idx="297">
                  <c:v>10.750046093100215</c:v>
                </c:pt>
                <c:pt idx="298">
                  <c:v>10.815419125237952</c:v>
                </c:pt>
                <c:pt idx="299">
                  <c:v>10.628361971089566</c:v>
                </c:pt>
                <c:pt idx="300">
                  <c:v>10.716445398356923</c:v>
                </c:pt>
                <c:pt idx="301">
                  <c:v>10.435016747734057</c:v>
                </c:pt>
                <c:pt idx="302">
                  <c:v>10.53588985892269</c:v>
                </c:pt>
                <c:pt idx="303">
                  <c:v>10.85861409203104</c:v>
                </c:pt>
                <c:pt idx="304">
                  <c:v>11.025648976165829</c:v>
                </c:pt>
                <c:pt idx="305">
                  <c:v>10.86389015784339</c:v>
                </c:pt>
                <c:pt idx="306">
                  <c:v>11.073011413618467</c:v>
                </c:pt>
                <c:pt idx="307">
                  <c:v>11.248347966767152</c:v>
                </c:pt>
                <c:pt idx="308">
                  <c:v>11.321929657632783</c:v>
                </c:pt>
                <c:pt idx="309">
                  <c:v>11.335958743239662</c:v>
                </c:pt>
                <c:pt idx="310">
                  <c:v>10.80788087767792</c:v>
                </c:pt>
                <c:pt idx="311">
                  <c:v>10.407150539502927</c:v>
                </c:pt>
                <c:pt idx="312">
                  <c:v>10.07898834222142</c:v>
                </c:pt>
                <c:pt idx="313">
                  <c:v>10.203384267929284</c:v>
                </c:pt>
                <c:pt idx="314">
                  <c:v>9.8738342353240878</c:v>
                </c:pt>
                <c:pt idx="315">
                  <c:v>10.162947502578119</c:v>
                </c:pt>
                <c:pt idx="316">
                  <c:v>10.1366656802532</c:v>
                </c:pt>
                <c:pt idx="317">
                  <c:v>9.8009595265548963</c:v>
                </c:pt>
                <c:pt idx="318">
                  <c:v>9.9094679216245769</c:v>
                </c:pt>
                <c:pt idx="319">
                  <c:v>10.136230996147244</c:v>
                </c:pt>
                <c:pt idx="320">
                  <c:v>9.8162663239326235</c:v>
                </c:pt>
                <c:pt idx="321">
                  <c:v>9.8062188330841025</c:v>
                </c:pt>
                <c:pt idx="322">
                  <c:v>9.6548303016218888</c:v>
                </c:pt>
                <c:pt idx="323">
                  <c:v>9.6714901064487258</c:v>
                </c:pt>
                <c:pt idx="324">
                  <c:v>9.4933412915910758</c:v>
                </c:pt>
                <c:pt idx="325">
                  <c:v>9.774296450769052</c:v>
                </c:pt>
                <c:pt idx="326">
                  <c:v>9.6392165217829895</c:v>
                </c:pt>
                <c:pt idx="327">
                  <c:v>10.054386345360102</c:v>
                </c:pt>
                <c:pt idx="328">
                  <c:v>10.406963920822868</c:v>
                </c:pt>
                <c:pt idx="329">
                  <c:v>10.48068613963032</c:v>
                </c:pt>
                <c:pt idx="330">
                  <c:v>10.562467326089342</c:v>
                </c:pt>
                <c:pt idx="331">
                  <c:v>10.716098970493631</c:v>
                </c:pt>
                <c:pt idx="332">
                  <c:v>10.543711040508006</c:v>
                </c:pt>
                <c:pt idx="333">
                  <c:v>10.623377807221573</c:v>
                </c:pt>
                <c:pt idx="334">
                  <c:v>10.598409324560867</c:v>
                </c:pt>
                <c:pt idx="335">
                  <c:v>10.097185327272969</c:v>
                </c:pt>
                <c:pt idx="336">
                  <c:v>9.6947696074000582</c:v>
                </c:pt>
                <c:pt idx="337">
                  <c:v>9.9594876761199629</c:v>
                </c:pt>
                <c:pt idx="338">
                  <c:v>9.644580009212385</c:v>
                </c:pt>
                <c:pt idx="339">
                  <c:v>9.7562196346792813</c:v>
                </c:pt>
                <c:pt idx="340">
                  <c:v>9.2084717934155176</c:v>
                </c:pt>
                <c:pt idx="341">
                  <c:v>9.2194542278548823</c:v>
                </c:pt>
                <c:pt idx="342">
                  <c:v>9.1824119687359893</c:v>
                </c:pt>
                <c:pt idx="343">
                  <c:v>9.4727257106551548</c:v>
                </c:pt>
                <c:pt idx="344">
                  <c:v>9.2704911959212009</c:v>
                </c:pt>
                <c:pt idx="345">
                  <c:v>9.4380007010614495</c:v>
                </c:pt>
                <c:pt idx="346">
                  <c:v>9.6688444186644311</c:v>
                </c:pt>
                <c:pt idx="347">
                  <c:v>9.9192639021045395</c:v>
                </c:pt>
                <c:pt idx="348">
                  <c:v>9.7514229173436568</c:v>
                </c:pt>
                <c:pt idx="349">
                  <c:v>9.502140913280309</c:v>
                </c:pt>
                <c:pt idx="350">
                  <c:v>9.5109090008060715</c:v>
                </c:pt>
                <c:pt idx="351">
                  <c:v>9.3474258050430272</c:v>
                </c:pt>
                <c:pt idx="352">
                  <c:v>9.1147671967928954</c:v>
                </c:pt>
                <c:pt idx="353">
                  <c:v>9.2293155584249202</c:v>
                </c:pt>
                <c:pt idx="354">
                  <c:v>9.6460380972711164</c:v>
                </c:pt>
                <c:pt idx="355">
                  <c:v>9.5083629569704637</c:v>
                </c:pt>
                <c:pt idx="356">
                  <c:v>9.1874389561509151</c:v>
                </c:pt>
                <c:pt idx="357">
                  <c:v>9.4431109406666778</c:v>
                </c:pt>
                <c:pt idx="358">
                  <c:v>9.2434769042321481</c:v>
                </c:pt>
                <c:pt idx="359">
                  <c:v>9.0142428812444511</c:v>
                </c:pt>
                <c:pt idx="360">
                  <c:v>8.6731795240723724</c:v>
                </c:pt>
                <c:pt idx="361">
                  <c:v>8.6371172607107454</c:v>
                </c:pt>
                <c:pt idx="362">
                  <c:v>8.2195359009373679</c:v>
                </c:pt>
                <c:pt idx="363">
                  <c:v>7.9953663211907706</c:v>
                </c:pt>
                <c:pt idx="364">
                  <c:v>7.989391507819593</c:v>
                </c:pt>
                <c:pt idx="365">
                  <c:v>8.2666802654322176</c:v>
                </c:pt>
                <c:pt idx="366">
                  <c:v>8.1145047663842007</c:v>
                </c:pt>
                <c:pt idx="367">
                  <c:v>8.3527098477882387</c:v>
                </c:pt>
                <c:pt idx="368">
                  <c:v>7.8609650637892541</c:v>
                </c:pt>
                <c:pt idx="369">
                  <c:v>7.703692362449809</c:v>
                </c:pt>
                <c:pt idx="370">
                  <c:v>7.9563042796768908</c:v>
                </c:pt>
                <c:pt idx="371">
                  <c:v>7.6227460907111491</c:v>
                </c:pt>
                <c:pt idx="372">
                  <c:v>7.377021723922228</c:v>
                </c:pt>
                <c:pt idx="373">
                  <c:v>7.5746315619746856</c:v>
                </c:pt>
                <c:pt idx="374">
                  <c:v>7.9301244573260137</c:v>
                </c:pt>
                <c:pt idx="375">
                  <c:v>8.0787726053523219</c:v>
                </c:pt>
                <c:pt idx="376">
                  <c:v>8.0461749145637178</c:v>
                </c:pt>
                <c:pt idx="377">
                  <c:v>7.8340945794753125</c:v>
                </c:pt>
                <c:pt idx="378">
                  <c:v>8.2632130288341905</c:v>
                </c:pt>
                <c:pt idx="379">
                  <c:v>8.0428476366786796</c:v>
                </c:pt>
                <c:pt idx="380">
                  <c:v>8.4510681148479669</c:v>
                </c:pt>
                <c:pt idx="381">
                  <c:v>8.0372392266540604</c:v>
                </c:pt>
                <c:pt idx="382">
                  <c:v>7.697387743759176</c:v>
                </c:pt>
                <c:pt idx="383">
                  <c:v>7.4324700899410683</c:v>
                </c:pt>
                <c:pt idx="384">
                  <c:v>7.7082229275791292</c:v>
                </c:pt>
                <c:pt idx="385">
                  <c:v>7.9581163860925228</c:v>
                </c:pt>
                <c:pt idx="386">
                  <c:v>7.4838760999642249</c:v>
                </c:pt>
                <c:pt idx="387">
                  <c:v>7.0878924181768017</c:v>
                </c:pt>
                <c:pt idx="388">
                  <c:v>7.3629926373630603</c:v>
                </c:pt>
                <c:pt idx="389">
                  <c:v>7.3908972582153183</c:v>
                </c:pt>
                <c:pt idx="390">
                  <c:v>6.993224259879776</c:v>
                </c:pt>
                <c:pt idx="391">
                  <c:v>6.5699327640813987</c:v>
                </c:pt>
                <c:pt idx="392">
                  <c:v>6.6159053206190412</c:v>
                </c:pt>
                <c:pt idx="393">
                  <c:v>6.766217168891151</c:v>
                </c:pt>
                <c:pt idx="394">
                  <c:v>6.8081561473875665</c:v>
                </c:pt>
                <c:pt idx="395">
                  <c:v>6.3511221013056591</c:v>
                </c:pt>
                <c:pt idx="396">
                  <c:v>6.250628392615063</c:v>
                </c:pt>
                <c:pt idx="397">
                  <c:v>6.6474525677346339</c:v>
                </c:pt>
                <c:pt idx="398">
                  <c:v>6.7918925409125679</c:v>
                </c:pt>
                <c:pt idx="399">
                  <c:v>6.5831366602118591</c:v>
                </c:pt>
                <c:pt idx="400">
                  <c:v>6.5035648516821034</c:v>
                </c:pt>
                <c:pt idx="401">
                  <c:v>6.3664714889342999</c:v>
                </c:pt>
                <c:pt idx="402">
                  <c:v>6.5104068222847236</c:v>
                </c:pt>
                <c:pt idx="403">
                  <c:v>6.9666708283612238</c:v>
                </c:pt>
                <c:pt idx="404">
                  <c:v>6.782312541912769</c:v>
                </c:pt>
                <c:pt idx="405">
                  <c:v>7.1350559858945326</c:v>
                </c:pt>
                <c:pt idx="406">
                  <c:v>7.1598535802787069</c:v>
                </c:pt>
                <c:pt idx="407">
                  <c:v>7.0530200820493718</c:v>
                </c:pt>
                <c:pt idx="408">
                  <c:v>7.2700744811597637</c:v>
                </c:pt>
                <c:pt idx="409">
                  <c:v>6.8211239529050678</c:v>
                </c:pt>
                <c:pt idx="410">
                  <c:v>6.5618413955486172</c:v>
                </c:pt>
                <c:pt idx="411">
                  <c:v>6.2696562673446712</c:v>
                </c:pt>
                <c:pt idx="412">
                  <c:v>6.6597557522981976</c:v>
                </c:pt>
                <c:pt idx="413">
                  <c:v>6.2900445480281384</c:v>
                </c:pt>
                <c:pt idx="414">
                  <c:v>6.4356448399612791</c:v>
                </c:pt>
                <c:pt idx="415">
                  <c:v>6.6769946965640976</c:v>
                </c:pt>
                <c:pt idx="416">
                  <c:v>6.2314748025537261</c:v>
                </c:pt>
                <c:pt idx="417">
                  <c:v>6.0024683795316838</c:v>
                </c:pt>
                <c:pt idx="418">
                  <c:v>5.9745356082822809</c:v>
                </c:pt>
                <c:pt idx="419">
                  <c:v>5.7308221482335684</c:v>
                </c:pt>
                <c:pt idx="420">
                  <c:v>5.7646424934497436</c:v>
                </c:pt>
                <c:pt idx="421">
                  <c:v>5.6358473012267876</c:v>
                </c:pt>
                <c:pt idx="422">
                  <c:v>5.8262523941963593</c:v>
                </c:pt>
                <c:pt idx="423">
                  <c:v>5.4749799874047067</c:v>
                </c:pt>
                <c:pt idx="424">
                  <c:v>5.2604891779712419</c:v>
                </c:pt>
                <c:pt idx="425">
                  <c:v>5.2555621161591759</c:v>
                </c:pt>
                <c:pt idx="426">
                  <c:v>4.9710049774348031</c:v>
                </c:pt>
                <c:pt idx="427">
                  <c:v>5.0539469228351281</c:v>
                </c:pt>
                <c:pt idx="428">
                  <c:v>5.3332455582403639</c:v>
                </c:pt>
                <c:pt idx="429">
                  <c:v>5.0912638739970673</c:v>
                </c:pt>
                <c:pt idx="430">
                  <c:v>5.4429061291039318</c:v>
                </c:pt>
                <c:pt idx="431">
                  <c:v>5.35694704221119</c:v>
                </c:pt>
                <c:pt idx="432">
                  <c:v>5.5891135857931538</c:v>
                </c:pt>
                <c:pt idx="433">
                  <c:v>5.9821273007959981</c:v>
                </c:pt>
                <c:pt idx="434">
                  <c:v>6.1700532509203381</c:v>
                </c:pt>
                <c:pt idx="435">
                  <c:v>5.8422908587936009</c:v>
                </c:pt>
                <c:pt idx="436">
                  <c:v>5.8472476958497062</c:v>
                </c:pt>
                <c:pt idx="437">
                  <c:v>5.8726488735496503</c:v>
                </c:pt>
                <c:pt idx="438">
                  <c:v>6.1740327556113712</c:v>
                </c:pt>
                <c:pt idx="439">
                  <c:v>5.611910025287381</c:v>
                </c:pt>
                <c:pt idx="440">
                  <c:v>5.2256512491828513</c:v>
                </c:pt>
                <c:pt idx="441">
                  <c:v>5.5385883726448135</c:v>
                </c:pt>
                <c:pt idx="442">
                  <c:v>5.2713354601435531</c:v>
                </c:pt>
                <c:pt idx="443">
                  <c:v>5.0092554662870254</c:v>
                </c:pt>
                <c:pt idx="444">
                  <c:v>4.6685325575084367</c:v>
                </c:pt>
                <c:pt idx="445">
                  <c:v>4.3561288732875649</c:v>
                </c:pt>
                <c:pt idx="446">
                  <c:v>4.0608860889104346</c:v>
                </c:pt>
                <c:pt idx="447">
                  <c:v>4.3073891310060572</c:v>
                </c:pt>
                <c:pt idx="448">
                  <c:v>4.6601430453986632</c:v>
                </c:pt>
                <c:pt idx="449">
                  <c:v>4.6074227679850859</c:v>
                </c:pt>
                <c:pt idx="450">
                  <c:v>4.3058417711252677</c:v>
                </c:pt>
                <c:pt idx="451">
                  <c:v>4.1530537764150397</c:v>
                </c:pt>
                <c:pt idx="452">
                  <c:v>4.4781019657428285</c:v>
                </c:pt>
                <c:pt idx="453">
                  <c:v>4.581344928673226</c:v>
                </c:pt>
                <c:pt idx="454">
                  <c:v>4.426320130690951</c:v>
                </c:pt>
                <c:pt idx="455">
                  <c:v>4.3133872454109428</c:v>
                </c:pt>
                <c:pt idx="456">
                  <c:v>4.7514361299015624</c:v>
                </c:pt>
                <c:pt idx="457">
                  <c:v>4.4549278962082308</c:v>
                </c:pt>
                <c:pt idx="458">
                  <c:v>4.9507976370484492</c:v>
                </c:pt>
                <c:pt idx="459">
                  <c:v>4.9356228644929434</c:v>
                </c:pt>
                <c:pt idx="460">
                  <c:v>5.2519346147637798</c:v>
                </c:pt>
                <c:pt idx="461">
                  <c:v>5.2061053303064586</c:v>
                </c:pt>
                <c:pt idx="462">
                  <c:v>5.3981589665689542</c:v>
                </c:pt>
                <c:pt idx="463">
                  <c:v>5.1562261364940021</c:v>
                </c:pt>
                <c:pt idx="464">
                  <c:v>4.7644146266531697</c:v>
                </c:pt>
                <c:pt idx="465">
                  <c:v>4.8022587755822572</c:v>
                </c:pt>
                <c:pt idx="466">
                  <c:v>5.1392471879672295</c:v>
                </c:pt>
                <c:pt idx="467">
                  <c:v>4.8968189209023922</c:v>
                </c:pt>
                <c:pt idx="468">
                  <c:v>5.2262744015974008</c:v>
                </c:pt>
                <c:pt idx="469">
                  <c:v>5.0884072940159681</c:v>
                </c:pt>
                <c:pt idx="470">
                  <c:v>5.0979825411552735</c:v>
                </c:pt>
                <c:pt idx="471">
                  <c:v>5.2832020427027233</c:v>
                </c:pt>
                <c:pt idx="472">
                  <c:v>4.8974838461895338</c:v>
                </c:pt>
                <c:pt idx="473">
                  <c:v>4.3583272872682919</c:v>
                </c:pt>
                <c:pt idx="474">
                  <c:v>4.6386931173759178</c:v>
                </c:pt>
                <c:pt idx="475">
                  <c:v>4.5775671196308885</c:v>
                </c:pt>
                <c:pt idx="476">
                  <c:v>4.1693514910532672</c:v>
                </c:pt>
                <c:pt idx="477">
                  <c:v>4.3285347849228257</c:v>
                </c:pt>
                <c:pt idx="478">
                  <c:v>4.7294116433622406</c:v>
                </c:pt>
                <c:pt idx="479">
                  <c:v>4.8497120112690668</c:v>
                </c:pt>
                <c:pt idx="480">
                  <c:v>4.849595664787409</c:v>
                </c:pt>
                <c:pt idx="481">
                  <c:v>5.1670300899643511</c:v>
                </c:pt>
                <c:pt idx="482">
                  <c:v>4.9724409493198012</c:v>
                </c:pt>
                <c:pt idx="483">
                  <c:v>5.2753292062302961</c:v>
                </c:pt>
                <c:pt idx="484">
                  <c:v>5.0889103601226511</c:v>
                </c:pt>
                <c:pt idx="485">
                  <c:v>5.2817206380188386</c:v>
                </c:pt>
                <c:pt idx="486">
                  <c:v>4.9680902973110763</c:v>
                </c:pt>
                <c:pt idx="487">
                  <c:v>5.2875599303556324</c:v>
                </c:pt>
                <c:pt idx="488">
                  <c:v>5.6258383017560689</c:v>
                </c:pt>
                <c:pt idx="489">
                  <c:v>5.7397200508219965</c:v>
                </c:pt>
                <c:pt idx="490">
                  <c:v>5.6492944482045129</c:v>
                </c:pt>
                <c:pt idx="491">
                  <c:v>5.5104187518409367</c:v>
                </c:pt>
                <c:pt idx="492">
                  <c:v>5.3359308649808037</c:v>
                </c:pt>
                <c:pt idx="493">
                  <c:v>5.1159380267033683</c:v>
                </c:pt>
                <c:pt idx="494">
                  <c:v>4.706812488896122</c:v>
                </c:pt>
                <c:pt idx="495">
                  <c:v>4.8200389485821065</c:v>
                </c:pt>
                <c:pt idx="496">
                  <c:v>5.0574059227958452</c:v>
                </c:pt>
                <c:pt idx="497">
                  <c:v>5.0722274450209515</c:v>
                </c:pt>
                <c:pt idx="498">
                  <c:v>4.6534402871710103</c:v>
                </c:pt>
                <c:pt idx="499">
                  <c:v>4.9839043488262877</c:v>
                </c:pt>
                <c:pt idx="500">
                  <c:v>5.1551015319598896</c:v>
                </c:pt>
                <c:pt idx="501">
                  <c:v>4.9003464799798309</c:v>
                </c:pt>
                <c:pt idx="502">
                  <c:v>4.4938476010604242</c:v>
                </c:pt>
                <c:pt idx="503">
                  <c:v>4.396692649869121</c:v>
                </c:pt>
                <c:pt idx="504">
                  <c:v>4.8478931701568548</c:v>
                </c:pt>
                <c:pt idx="505">
                  <c:v>4.5195949476682458</c:v>
                </c:pt>
                <c:pt idx="506">
                  <c:v>4.8099772162761738</c:v>
                </c:pt>
                <c:pt idx="507">
                  <c:v>4.6272245586851382</c:v>
                </c:pt>
                <c:pt idx="508">
                  <c:v>5.1045866698921669</c:v>
                </c:pt>
                <c:pt idx="509">
                  <c:v>5.1936292990879105</c:v>
                </c:pt>
                <c:pt idx="510">
                  <c:v>5.6274434168748044</c:v>
                </c:pt>
                <c:pt idx="511">
                  <c:v>5.490745574735735</c:v>
                </c:pt>
                <c:pt idx="512">
                  <c:v>5.5144313765752715</c:v>
                </c:pt>
                <c:pt idx="513">
                  <c:v>5.6061788393948131</c:v>
                </c:pt>
                <c:pt idx="514">
                  <c:v>5.3172325424598981</c:v>
                </c:pt>
                <c:pt idx="515">
                  <c:v>5.7169652486032412</c:v>
                </c:pt>
                <c:pt idx="516">
                  <c:v>5.733081055129472</c:v>
                </c:pt>
                <c:pt idx="517">
                  <c:v>5.9960288722031594</c:v>
                </c:pt>
                <c:pt idx="518">
                  <c:v>5.7596320964562171</c:v>
                </c:pt>
                <c:pt idx="519">
                  <c:v>5.8664835682786549</c:v>
                </c:pt>
                <c:pt idx="520">
                  <c:v>5.8734551354079203</c:v>
                </c:pt>
                <c:pt idx="521">
                  <c:v>5.9429988902770345</c:v>
                </c:pt>
                <c:pt idx="522">
                  <c:v>5.9034579119410244</c:v>
                </c:pt>
                <c:pt idx="523">
                  <c:v>5.619522683673253</c:v>
                </c:pt>
                <c:pt idx="524">
                  <c:v>5.2586698470096547</c:v>
                </c:pt>
                <c:pt idx="525">
                  <c:v>5.0185613845599661</c:v>
                </c:pt>
                <c:pt idx="526">
                  <c:v>4.7537646714370716</c:v>
                </c:pt>
                <c:pt idx="527">
                  <c:v>5.1495634438496207</c:v>
                </c:pt>
                <c:pt idx="528">
                  <c:v>5.2431941281381667</c:v>
                </c:pt>
                <c:pt idx="529">
                  <c:v>5.1802173308738242</c:v>
                </c:pt>
                <c:pt idx="530">
                  <c:v>5.502791389504301</c:v>
                </c:pt>
                <c:pt idx="531">
                  <c:v>5.5792618883094232</c:v>
                </c:pt>
                <c:pt idx="532">
                  <c:v>5.5302993568908247</c:v>
                </c:pt>
                <c:pt idx="533">
                  <c:v>5.7558350131070748</c:v>
                </c:pt>
                <c:pt idx="534">
                  <c:v>5.9392931579434887</c:v>
                </c:pt>
                <c:pt idx="535">
                  <c:v>5.7641596527903456</c:v>
                </c:pt>
                <c:pt idx="536">
                  <c:v>5.8879773033247345</c:v>
                </c:pt>
                <c:pt idx="537">
                  <c:v>6.2851112707956931</c:v>
                </c:pt>
                <c:pt idx="538">
                  <c:v>6.3913609377071277</c:v>
                </c:pt>
                <c:pt idx="539">
                  <c:v>6.5313518443840746</c:v>
                </c:pt>
                <c:pt idx="540">
                  <c:v>6.6986456009798525</c:v>
                </c:pt>
                <c:pt idx="541">
                  <c:v>7.0855295033022774</c:v>
                </c:pt>
                <c:pt idx="542">
                  <c:v>7.3906964835184112</c:v>
                </c:pt>
                <c:pt idx="543">
                  <c:v>7.5491395744401126</c:v>
                </c:pt>
                <c:pt idx="544">
                  <c:v>7.3580228479144809</c:v>
                </c:pt>
                <c:pt idx="545">
                  <c:v>7.537240448808169</c:v>
                </c:pt>
                <c:pt idx="546">
                  <c:v>7.5093034699740873</c:v>
                </c:pt>
                <c:pt idx="547">
                  <c:v>7.3852811347941421</c:v>
                </c:pt>
                <c:pt idx="548">
                  <c:v>6.9282844368416185</c:v>
                </c:pt>
                <c:pt idx="549">
                  <c:v>6.6962127273597911</c:v>
                </c:pt>
                <c:pt idx="550">
                  <c:v>6.7583045311034295</c:v>
                </c:pt>
                <c:pt idx="551">
                  <c:v>6.3597586418571295</c:v>
                </c:pt>
                <c:pt idx="552">
                  <c:v>6.220839988821961</c:v>
                </c:pt>
                <c:pt idx="553">
                  <c:v>6.4913914752999204</c:v>
                </c:pt>
                <c:pt idx="554">
                  <c:v>6.1901503931982198</c:v>
                </c:pt>
                <c:pt idx="555">
                  <c:v>6.3447158511283437</c:v>
                </c:pt>
                <c:pt idx="556">
                  <c:v>6.798123747654774</c:v>
                </c:pt>
                <c:pt idx="557">
                  <c:v>6.5666630884885393</c:v>
                </c:pt>
                <c:pt idx="558">
                  <c:v>6.6486537725681307</c:v>
                </c:pt>
                <c:pt idx="559">
                  <c:v>6.8747215997839142</c:v>
                </c:pt>
                <c:pt idx="560">
                  <c:v>6.6496730113449294</c:v>
                </c:pt>
                <c:pt idx="561">
                  <c:v>7.1576303713578096</c:v>
                </c:pt>
                <c:pt idx="562">
                  <c:v>7.1625090938527727</c:v>
                </c:pt>
                <c:pt idx="563">
                  <c:v>7.0441548870038755</c:v>
                </c:pt>
                <c:pt idx="564">
                  <c:v>6.9199137564290387</c:v>
                </c:pt>
                <c:pt idx="565">
                  <c:v>6.9815970166689389</c:v>
                </c:pt>
                <c:pt idx="566">
                  <c:v>7.5151536019153564</c:v>
                </c:pt>
                <c:pt idx="567">
                  <c:v>7.497488106359401</c:v>
                </c:pt>
                <c:pt idx="568">
                  <c:v>7.7130398223321048</c:v>
                </c:pt>
                <c:pt idx="569">
                  <c:v>7.6781103906316961</c:v>
                </c:pt>
                <c:pt idx="570">
                  <c:v>7.5890104933330749</c:v>
                </c:pt>
                <c:pt idx="571">
                  <c:v>7.5206344989013996</c:v>
                </c:pt>
                <c:pt idx="572">
                  <c:v>7.9725575555183221</c:v>
                </c:pt>
                <c:pt idx="573">
                  <c:v>7.8875407871325844</c:v>
                </c:pt>
                <c:pt idx="574">
                  <c:v>7.8844421996352008</c:v>
                </c:pt>
                <c:pt idx="575">
                  <c:v>8.3238074289759716</c:v>
                </c:pt>
                <c:pt idx="576">
                  <c:v>8.1066824154938306</c:v>
                </c:pt>
                <c:pt idx="577">
                  <c:v>7.7974584606420088</c:v>
                </c:pt>
                <c:pt idx="578">
                  <c:v>7.7027277501584797</c:v>
                </c:pt>
                <c:pt idx="579">
                  <c:v>7.7944372796973909</c:v>
                </c:pt>
                <c:pt idx="580">
                  <c:v>7.9107297690842531</c:v>
                </c:pt>
                <c:pt idx="581">
                  <c:v>8.05511295171965</c:v>
                </c:pt>
                <c:pt idx="582">
                  <c:v>7.9771972173363848</c:v>
                </c:pt>
                <c:pt idx="583">
                  <c:v>8.3273231310887112</c:v>
                </c:pt>
                <c:pt idx="584">
                  <c:v>8.5449852747456294</c:v>
                </c:pt>
                <c:pt idx="585">
                  <c:v>8.4795149686507116</c:v>
                </c:pt>
                <c:pt idx="586">
                  <c:v>8.6518401833734249</c:v>
                </c:pt>
                <c:pt idx="587">
                  <c:v>8.4068123223441908</c:v>
                </c:pt>
                <c:pt idx="588">
                  <c:v>8.6099789441861034</c:v>
                </c:pt>
                <c:pt idx="589">
                  <c:v>8.7182029792554143</c:v>
                </c:pt>
                <c:pt idx="590">
                  <c:v>8.886909818107334</c:v>
                </c:pt>
                <c:pt idx="591">
                  <c:v>8.9255158722077592</c:v>
                </c:pt>
                <c:pt idx="592">
                  <c:v>9.3417615012165882</c:v>
                </c:pt>
                <c:pt idx="593">
                  <c:v>9.6868807149678613</c:v>
                </c:pt>
                <c:pt idx="594">
                  <c:v>9.9540727109371403</c:v>
                </c:pt>
                <c:pt idx="595">
                  <c:v>9.6885380091412987</c:v>
                </c:pt>
                <c:pt idx="596">
                  <c:v>9.9816230070187455</c:v>
                </c:pt>
                <c:pt idx="597">
                  <c:v>9.7415413599057779</c:v>
                </c:pt>
                <c:pt idx="598">
                  <c:v>10.07913757484623</c:v>
                </c:pt>
                <c:pt idx="599">
                  <c:v>10.38670079046301</c:v>
                </c:pt>
                <c:pt idx="600">
                  <c:v>10.052832772211001</c:v>
                </c:pt>
                <c:pt idx="601">
                  <c:v>9.6575611940035202</c:v>
                </c:pt>
                <c:pt idx="602">
                  <c:v>9.444462206010634</c:v>
                </c:pt>
                <c:pt idx="603">
                  <c:v>9.7704598228283075</c:v>
                </c:pt>
                <c:pt idx="604">
                  <c:v>9.705289823480177</c:v>
                </c:pt>
                <c:pt idx="605">
                  <c:v>9.6817847046516246</c:v>
                </c:pt>
                <c:pt idx="606">
                  <c:v>9.977391512645152</c:v>
                </c:pt>
                <c:pt idx="607">
                  <c:v>9.5450615055308621</c:v>
                </c:pt>
                <c:pt idx="608">
                  <c:v>9.8075372888569579</c:v>
                </c:pt>
                <c:pt idx="609">
                  <c:v>9.9891384101149647</c:v>
                </c:pt>
                <c:pt idx="610">
                  <c:v>10.221550721558748</c:v>
                </c:pt>
                <c:pt idx="611">
                  <c:v>10.161105708290629</c:v>
                </c:pt>
                <c:pt idx="612">
                  <c:v>9.8271008359860819</c:v>
                </c:pt>
                <c:pt idx="613">
                  <c:v>9.531116269521446</c:v>
                </c:pt>
                <c:pt idx="614">
                  <c:v>9.9041207129993136</c:v>
                </c:pt>
                <c:pt idx="615">
                  <c:v>10.046612991200519</c:v>
                </c:pt>
                <c:pt idx="616">
                  <c:v>10.486627431133464</c:v>
                </c:pt>
                <c:pt idx="617">
                  <c:v>10.35347998757014</c:v>
                </c:pt>
                <c:pt idx="618">
                  <c:v>10.287859955192866</c:v>
                </c:pt>
                <c:pt idx="619">
                  <c:v>10.659591183250384</c:v>
                </c:pt>
                <c:pt idx="620">
                  <c:v>10.995523691250161</c:v>
                </c:pt>
                <c:pt idx="621">
                  <c:v>10.928971237145625</c:v>
                </c:pt>
                <c:pt idx="622">
                  <c:v>11.210397163207352</c:v>
                </c:pt>
                <c:pt idx="623">
                  <c:v>10.953565252961495</c:v>
                </c:pt>
                <c:pt idx="624">
                  <c:v>11.200154876239164</c:v>
                </c:pt>
                <c:pt idx="625">
                  <c:v>10.780006635831697</c:v>
                </c:pt>
                <c:pt idx="626">
                  <c:v>10.673182322449264</c:v>
                </c:pt>
                <c:pt idx="627">
                  <c:v>10.444492344434186</c:v>
                </c:pt>
                <c:pt idx="628">
                  <c:v>10.069087498504212</c:v>
                </c:pt>
                <c:pt idx="629">
                  <c:v>10.256094302304804</c:v>
                </c:pt>
                <c:pt idx="630">
                  <c:v>10.558117501914172</c:v>
                </c:pt>
                <c:pt idx="631">
                  <c:v>10.860646348747439</c:v>
                </c:pt>
                <c:pt idx="632">
                  <c:v>10.737293482970117</c:v>
                </c:pt>
                <c:pt idx="633">
                  <c:v>10.282302098403621</c:v>
                </c:pt>
                <c:pt idx="634">
                  <c:v>10.615750579143848</c:v>
                </c:pt>
                <c:pt idx="635">
                  <c:v>10.580254428826354</c:v>
                </c:pt>
                <c:pt idx="636">
                  <c:v>10.219710695827169</c:v>
                </c:pt>
                <c:pt idx="637">
                  <c:v>10.107795029385001</c:v>
                </c:pt>
                <c:pt idx="638">
                  <c:v>10.404243264315983</c:v>
                </c:pt>
                <c:pt idx="639">
                  <c:v>10.315598977933899</c:v>
                </c:pt>
                <c:pt idx="640">
                  <c:v>10.014148174781196</c:v>
                </c:pt>
                <c:pt idx="641">
                  <c:v>10.373542418466192</c:v>
                </c:pt>
                <c:pt idx="642">
                  <c:v>10.35753361054368</c:v>
                </c:pt>
                <c:pt idx="643">
                  <c:v>10.684001166539861</c:v>
                </c:pt>
                <c:pt idx="644">
                  <c:v>10.422146811663898</c:v>
                </c:pt>
                <c:pt idx="645">
                  <c:v>10.910742793312703</c:v>
                </c:pt>
                <c:pt idx="646">
                  <c:v>11.126539309049607</c:v>
                </c:pt>
                <c:pt idx="647">
                  <c:v>11.147872339597518</c:v>
                </c:pt>
                <c:pt idx="648">
                  <c:v>11.315828643275635</c:v>
                </c:pt>
                <c:pt idx="649">
                  <c:v>11.663854114538049</c:v>
                </c:pt>
                <c:pt idx="650">
                  <c:v>12.00740563115728</c:v>
                </c:pt>
                <c:pt idx="651">
                  <c:v>11.537953789099006</c:v>
                </c:pt>
                <c:pt idx="652">
                  <c:v>11.271530220676219</c:v>
                </c:pt>
                <c:pt idx="653">
                  <c:v>11.478810441387504</c:v>
                </c:pt>
                <c:pt idx="654">
                  <c:v>11.014721328115774</c:v>
                </c:pt>
                <c:pt idx="655">
                  <c:v>11.051649535084531</c:v>
                </c:pt>
                <c:pt idx="656">
                  <c:v>10.763932136632272</c:v>
                </c:pt>
                <c:pt idx="657">
                  <c:v>10.44794617257277</c:v>
                </c:pt>
                <c:pt idx="658">
                  <c:v>10.538472943180114</c:v>
                </c:pt>
                <c:pt idx="659">
                  <c:v>10.357022268451178</c:v>
                </c:pt>
                <c:pt idx="660">
                  <c:v>10.227467054561517</c:v>
                </c:pt>
                <c:pt idx="661">
                  <c:v>10.474793464884563</c:v>
                </c:pt>
                <c:pt idx="662">
                  <c:v>10.210914345793922</c:v>
                </c:pt>
                <c:pt idx="663">
                  <c:v>10.197092709751788</c:v>
                </c:pt>
                <c:pt idx="664">
                  <c:v>10.238528600610433</c:v>
                </c:pt>
                <c:pt idx="665">
                  <c:v>10.624685381256</c:v>
                </c:pt>
                <c:pt idx="666">
                  <c:v>10.700791451838121</c:v>
                </c:pt>
                <c:pt idx="667">
                  <c:v>10.594559161206956</c:v>
                </c:pt>
                <c:pt idx="668">
                  <c:v>10.925641718772006</c:v>
                </c:pt>
                <c:pt idx="669">
                  <c:v>10.782084207661017</c:v>
                </c:pt>
                <c:pt idx="670">
                  <c:v>11.030299323386297</c:v>
                </c:pt>
                <c:pt idx="671">
                  <c:v>10.902232736612554</c:v>
                </c:pt>
                <c:pt idx="672">
                  <c:v>11.393049305593387</c:v>
                </c:pt>
                <c:pt idx="673">
                  <c:v>11.72825676521197</c:v>
                </c:pt>
                <c:pt idx="674">
                  <c:v>11.320883513161013</c:v>
                </c:pt>
                <c:pt idx="675">
                  <c:v>11.704422531736663</c:v>
                </c:pt>
                <c:pt idx="676">
                  <c:v>11.985213829485467</c:v>
                </c:pt>
                <c:pt idx="677">
                  <c:v>11.635365655475885</c:v>
                </c:pt>
                <c:pt idx="678">
                  <c:v>11.333662712818025</c:v>
                </c:pt>
                <c:pt idx="679">
                  <c:v>11.506923697464329</c:v>
                </c:pt>
                <c:pt idx="680">
                  <c:v>11.444692868525769</c:v>
                </c:pt>
                <c:pt idx="681">
                  <c:v>10.941475501137443</c:v>
                </c:pt>
                <c:pt idx="682">
                  <c:v>11.296550941948775</c:v>
                </c:pt>
                <c:pt idx="683">
                  <c:v>11.543573633574871</c:v>
                </c:pt>
                <c:pt idx="684">
                  <c:v>11.574917811064475</c:v>
                </c:pt>
                <c:pt idx="685">
                  <c:v>11.530725528393454</c:v>
                </c:pt>
                <c:pt idx="686">
                  <c:v>11.009355734436852</c:v>
                </c:pt>
                <c:pt idx="687">
                  <c:v>10.570728575861271</c:v>
                </c:pt>
                <c:pt idx="688">
                  <c:v>10.796278485180874</c:v>
                </c:pt>
                <c:pt idx="689">
                  <c:v>10.966191161509718</c:v>
                </c:pt>
                <c:pt idx="690">
                  <c:v>10.613054733449657</c:v>
                </c:pt>
                <c:pt idx="691">
                  <c:v>10.223536076958345</c:v>
                </c:pt>
                <c:pt idx="692">
                  <c:v>10.292660410908717</c:v>
                </c:pt>
                <c:pt idx="693">
                  <c:v>10.159787063416196</c:v>
                </c:pt>
                <c:pt idx="694">
                  <c:v>10.45492702228967</c:v>
                </c:pt>
                <c:pt idx="695">
                  <c:v>10.609276559662025</c:v>
                </c:pt>
                <c:pt idx="696">
                  <c:v>10.913603456221034</c:v>
                </c:pt>
                <c:pt idx="697">
                  <c:v>10.554508605250668</c:v>
                </c:pt>
                <c:pt idx="698">
                  <c:v>10.773415775412447</c:v>
                </c:pt>
                <c:pt idx="699">
                  <c:v>10.708814604001081</c:v>
                </c:pt>
                <c:pt idx="700">
                  <c:v>10.783653034702931</c:v>
                </c:pt>
                <c:pt idx="701">
                  <c:v>10.798849380611657</c:v>
                </c:pt>
                <c:pt idx="702">
                  <c:v>10.790338044429156</c:v>
                </c:pt>
                <c:pt idx="703">
                  <c:v>11.108845033600616</c:v>
                </c:pt>
                <c:pt idx="704">
                  <c:v>11.230754610200009</c:v>
                </c:pt>
                <c:pt idx="705">
                  <c:v>11.228949997104904</c:v>
                </c:pt>
                <c:pt idx="706">
                  <c:v>11.151749847167638</c:v>
                </c:pt>
                <c:pt idx="707">
                  <c:v>11.330886321405032</c:v>
                </c:pt>
                <c:pt idx="708">
                  <c:v>11.160198948251622</c:v>
                </c:pt>
                <c:pt idx="709">
                  <c:v>11.206698010770483</c:v>
                </c:pt>
                <c:pt idx="710">
                  <c:v>11.343526946942772</c:v>
                </c:pt>
                <c:pt idx="711">
                  <c:v>10.665364494407141</c:v>
                </c:pt>
                <c:pt idx="712">
                  <c:v>10.32952703753605</c:v>
                </c:pt>
                <c:pt idx="713">
                  <c:v>9.8913858169263946</c:v>
                </c:pt>
                <c:pt idx="714">
                  <c:v>10.201683220991367</c:v>
                </c:pt>
                <c:pt idx="715">
                  <c:v>10.454915338692839</c:v>
                </c:pt>
                <c:pt idx="716">
                  <c:v>10.026275121686064</c:v>
                </c:pt>
                <c:pt idx="717">
                  <c:v>9.7673466740751245</c:v>
                </c:pt>
                <c:pt idx="718">
                  <c:v>9.6826334506423226</c:v>
                </c:pt>
                <c:pt idx="719">
                  <c:v>9.7180714862235682</c:v>
                </c:pt>
                <c:pt idx="720">
                  <c:v>9.9770373046756973</c:v>
                </c:pt>
                <c:pt idx="721">
                  <c:v>10.233659543729635</c:v>
                </c:pt>
                <c:pt idx="722">
                  <c:v>9.9736719635439268</c:v>
                </c:pt>
                <c:pt idx="723">
                  <c:v>9.5682866474520605</c:v>
                </c:pt>
                <c:pt idx="724">
                  <c:v>9.9057401123770301</c:v>
                </c:pt>
                <c:pt idx="725">
                  <c:v>9.7488663245632718</c:v>
                </c:pt>
                <c:pt idx="726">
                  <c:v>9.4804028907282802</c:v>
                </c:pt>
                <c:pt idx="727">
                  <c:v>9.7676574733925214</c:v>
                </c:pt>
                <c:pt idx="728">
                  <c:v>9.5181410933999153</c:v>
                </c:pt>
                <c:pt idx="729">
                  <c:v>9.5684666005881311</c:v>
                </c:pt>
                <c:pt idx="730">
                  <c:v>9.5886013462612443</c:v>
                </c:pt>
                <c:pt idx="731">
                  <c:v>9.26621621528313</c:v>
                </c:pt>
                <c:pt idx="732">
                  <c:v>9.1408926268264015</c:v>
                </c:pt>
                <c:pt idx="733">
                  <c:v>9.0451519392555291</c:v>
                </c:pt>
                <c:pt idx="734">
                  <c:v>9.0281339125368181</c:v>
                </c:pt>
                <c:pt idx="735">
                  <c:v>9.2913019096137397</c:v>
                </c:pt>
                <c:pt idx="736">
                  <c:v>8.8460176115991107</c:v>
                </c:pt>
                <c:pt idx="737">
                  <c:v>8.5556669820860023</c:v>
                </c:pt>
                <c:pt idx="738">
                  <c:v>8.4508789132730673</c:v>
                </c:pt>
                <c:pt idx="739">
                  <c:v>8.1586915510665214</c:v>
                </c:pt>
                <c:pt idx="740">
                  <c:v>8.4202305224124085</c:v>
                </c:pt>
                <c:pt idx="741">
                  <c:v>8.6399276683110759</c:v>
                </c:pt>
                <c:pt idx="742">
                  <c:v>8.6567173075884991</c:v>
                </c:pt>
                <c:pt idx="743">
                  <c:v>8.3425449264939289</c:v>
                </c:pt>
                <c:pt idx="744">
                  <c:v>7.9554251942148424</c:v>
                </c:pt>
                <c:pt idx="745">
                  <c:v>8.153750769253401</c:v>
                </c:pt>
              </c:numCache>
            </c:numRef>
          </c:yVal>
          <c:smooth val="1"/>
          <c:extLst>
            <c:ext xmlns:c16="http://schemas.microsoft.com/office/drawing/2014/chart" uri="{C3380CC4-5D6E-409C-BE32-E72D297353CC}">
              <c16:uniqueId val="{00000000-2646-4533-AFE9-1598FB9EA931}"/>
            </c:ext>
          </c:extLst>
        </c:ser>
        <c:dLbls>
          <c:showLegendKey val="0"/>
          <c:showVal val="0"/>
          <c:showCatName val="0"/>
          <c:showSerName val="0"/>
          <c:showPercent val="0"/>
          <c:showBubbleSize val="0"/>
        </c:dLbls>
        <c:axId val="645353536"/>
        <c:axId val="571592848"/>
      </c:scatterChart>
      <c:valAx>
        <c:axId val="64535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92848"/>
        <c:crosses val="autoZero"/>
        <c:crossBetween val="midCat"/>
      </c:valAx>
      <c:valAx>
        <c:axId val="57159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Exponential_smoothing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353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'Analyses and solution'!$Z$1</c:f>
              <c:strCache>
                <c:ptCount val="1"/>
                <c:pt idx="0">
                  <c:v>ES_0.3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xVal>
          <c:yVal>
            <c:numRef>
              <c:f>'Analyses and solution'!$Z$2:$Z$747</c:f>
              <c:numCache>
                <c:formatCode>General</c:formatCode>
                <c:ptCount val="746"/>
                <c:pt idx="0">
                  <c:v>6.9345063332049524</c:v>
                </c:pt>
                <c:pt idx="1">
                  <c:v>6.9345063332049524</c:v>
                </c:pt>
                <c:pt idx="2">
                  <c:v>7.4335299607716845</c:v>
                </c:pt>
                <c:pt idx="3">
                  <c:v>7.9975929590645798</c:v>
                </c:pt>
                <c:pt idx="4">
                  <c:v>7.6782653791863273</c:v>
                </c:pt>
                <c:pt idx="5">
                  <c:v>7.1403208457592635</c:v>
                </c:pt>
                <c:pt idx="6">
                  <c:v>7.1768610332778682</c:v>
                </c:pt>
                <c:pt idx="7">
                  <c:v>7.2685960556177776</c:v>
                </c:pt>
                <c:pt idx="8">
                  <c:v>6.9566352280998158</c:v>
                </c:pt>
                <c:pt idx="9">
                  <c:v>7.6130053678016765</c:v>
                </c:pt>
                <c:pt idx="10">
                  <c:v>7.7281073451564621</c:v>
                </c:pt>
                <c:pt idx="11">
                  <c:v>7.0257123933205001</c:v>
                </c:pt>
                <c:pt idx="12">
                  <c:v>7.0601864339661127</c:v>
                </c:pt>
                <c:pt idx="13">
                  <c:v>6.9030892152060517</c:v>
                </c:pt>
                <c:pt idx="14">
                  <c:v>6.6763588824823765</c:v>
                </c:pt>
                <c:pt idx="15">
                  <c:v>6.8367447410147015</c:v>
                </c:pt>
                <c:pt idx="16">
                  <c:v>6.345451382314315</c:v>
                </c:pt>
                <c:pt idx="17">
                  <c:v>6.2717548231589513</c:v>
                </c:pt>
                <c:pt idx="18">
                  <c:v>6.1781004470741108</c:v>
                </c:pt>
                <c:pt idx="19">
                  <c:v>6.1589212265078022</c:v>
                </c:pt>
                <c:pt idx="20">
                  <c:v>5.5468372867409856</c:v>
                </c:pt>
                <c:pt idx="21">
                  <c:v>5.616114633983381</c:v>
                </c:pt>
                <c:pt idx="22">
                  <c:v>6.0470435291249824</c:v>
                </c:pt>
                <c:pt idx="23">
                  <c:v>5.5318764222748094</c:v>
                </c:pt>
                <c:pt idx="24">
                  <c:v>5.2725594098140363</c:v>
                </c:pt>
                <c:pt idx="25">
                  <c:v>5.1158488649097373</c:v>
                </c:pt>
                <c:pt idx="26">
                  <c:v>5.9461548743975055</c:v>
                </c:pt>
                <c:pt idx="27">
                  <c:v>6.4259031999322573</c:v>
                </c:pt>
                <c:pt idx="28">
                  <c:v>6.8628732541911441</c:v>
                </c:pt>
                <c:pt idx="29">
                  <c:v>7.0112669833006613</c:v>
                </c:pt>
                <c:pt idx="30">
                  <c:v>6.8862838339054449</c:v>
                </c:pt>
                <c:pt idx="31">
                  <c:v>6.2479648969201236</c:v>
                </c:pt>
                <c:pt idx="32">
                  <c:v>5.7694442399578518</c:v>
                </c:pt>
                <c:pt idx="33">
                  <c:v>5.928343024435943</c:v>
                </c:pt>
                <c:pt idx="34">
                  <c:v>5.8570690208485798</c:v>
                </c:pt>
                <c:pt idx="35">
                  <c:v>5.8084770766778435</c:v>
                </c:pt>
                <c:pt idx="36">
                  <c:v>5.6087599082954354</c:v>
                </c:pt>
                <c:pt idx="37">
                  <c:v>5.1800693856541713</c:v>
                </c:pt>
                <c:pt idx="38">
                  <c:v>5.9351271886553922</c:v>
                </c:pt>
                <c:pt idx="39">
                  <c:v>5.7562480639303617</c:v>
                </c:pt>
                <c:pt idx="40">
                  <c:v>5.7474749189804184</c:v>
                </c:pt>
                <c:pt idx="41">
                  <c:v>6.0761978370698522</c:v>
                </c:pt>
                <c:pt idx="42">
                  <c:v>6.2499910308218487</c:v>
                </c:pt>
                <c:pt idx="43">
                  <c:v>5.974848890892293</c:v>
                </c:pt>
                <c:pt idx="44">
                  <c:v>5.1815707504954078</c:v>
                </c:pt>
                <c:pt idx="45">
                  <c:v>5.2069677665944667</c:v>
                </c:pt>
                <c:pt idx="46">
                  <c:v>5.0895442703849874</c:v>
                </c:pt>
                <c:pt idx="47">
                  <c:v>4.8330358723095523</c:v>
                </c:pt>
                <c:pt idx="48">
                  <c:v>4.3680842797688184</c:v>
                </c:pt>
                <c:pt idx="49">
                  <c:v>4.6794625057699042</c:v>
                </c:pt>
                <c:pt idx="50">
                  <c:v>4.1632560502562947</c:v>
                </c:pt>
                <c:pt idx="51">
                  <c:v>4.0950066581691589</c:v>
                </c:pt>
                <c:pt idx="52">
                  <c:v>4.9286094889788004</c:v>
                </c:pt>
                <c:pt idx="53">
                  <c:v>4.6290862369177246</c:v>
                </c:pt>
                <c:pt idx="54">
                  <c:v>4.280510485171038</c:v>
                </c:pt>
                <c:pt idx="55">
                  <c:v>4.4399207689801852</c:v>
                </c:pt>
                <c:pt idx="56">
                  <c:v>4.3720746094423415</c:v>
                </c:pt>
                <c:pt idx="57">
                  <c:v>5.1809922159051744</c:v>
                </c:pt>
                <c:pt idx="58">
                  <c:v>5.8394678354559009</c:v>
                </c:pt>
                <c:pt idx="59">
                  <c:v>5.8950779439020478</c:v>
                </c:pt>
                <c:pt idx="60">
                  <c:v>6.1225053788289179</c:v>
                </c:pt>
                <c:pt idx="61">
                  <c:v>6.480782030476635</c:v>
                </c:pt>
                <c:pt idx="62">
                  <c:v>5.7365916256941691</c:v>
                </c:pt>
                <c:pt idx="63">
                  <c:v>6.0547751256151834</c:v>
                </c:pt>
                <c:pt idx="64">
                  <c:v>6.1132652690471536</c:v>
                </c:pt>
                <c:pt idx="65">
                  <c:v>5.2803990792446802</c:v>
                </c:pt>
                <c:pt idx="66">
                  <c:v>5.345773485634508</c:v>
                </c:pt>
                <c:pt idx="67">
                  <c:v>4.9804292035382707</c:v>
                </c:pt>
                <c:pt idx="68">
                  <c:v>4.5605458672528769</c:v>
                </c:pt>
                <c:pt idx="69">
                  <c:v>4.2498957595092461</c:v>
                </c:pt>
                <c:pt idx="70">
                  <c:v>3.6946222541275486</c:v>
                </c:pt>
                <c:pt idx="71">
                  <c:v>3.804051708692882</c:v>
                </c:pt>
                <c:pt idx="72">
                  <c:v>3.394984897970994</c:v>
                </c:pt>
                <c:pt idx="73">
                  <c:v>3.9583127949511754</c:v>
                </c:pt>
                <c:pt idx="74">
                  <c:v>3.6064335916397279</c:v>
                </c:pt>
                <c:pt idx="75">
                  <c:v>4.1404437597783286</c:v>
                </c:pt>
                <c:pt idx="76">
                  <c:v>3.7651325148630539</c:v>
                </c:pt>
                <c:pt idx="77">
                  <c:v>4.0802056939384501</c:v>
                </c:pt>
                <c:pt idx="78">
                  <c:v>4.399019681070123</c:v>
                </c:pt>
                <c:pt idx="79">
                  <c:v>4.3706996470484727</c:v>
                </c:pt>
                <c:pt idx="80">
                  <c:v>4.0378697779693944</c:v>
                </c:pt>
                <c:pt idx="81">
                  <c:v>4.4839944297184164</c:v>
                </c:pt>
                <c:pt idx="82">
                  <c:v>4.0627570300031488</c:v>
                </c:pt>
                <c:pt idx="83">
                  <c:v>4.3071869683172679</c:v>
                </c:pt>
                <c:pt idx="84">
                  <c:v>4.6929772830054155</c:v>
                </c:pt>
                <c:pt idx="85">
                  <c:v>4.3717951719834129</c:v>
                </c:pt>
                <c:pt idx="86">
                  <c:v>4.5288177506342464</c:v>
                </c:pt>
                <c:pt idx="87">
                  <c:v>4.7006903847296257</c:v>
                </c:pt>
                <c:pt idx="88">
                  <c:v>4.1767776927378426</c:v>
                </c:pt>
                <c:pt idx="89">
                  <c:v>3.8380395082473844</c:v>
                </c:pt>
                <c:pt idx="90">
                  <c:v>3.6649536145031183</c:v>
                </c:pt>
                <c:pt idx="91">
                  <c:v>3.4390033838072416</c:v>
                </c:pt>
                <c:pt idx="92">
                  <c:v>3.285417490824075</c:v>
                </c:pt>
                <c:pt idx="93">
                  <c:v>3.9961846221100408</c:v>
                </c:pt>
                <c:pt idx="94">
                  <c:v>4.3949249289166703</c:v>
                </c:pt>
                <c:pt idx="95">
                  <c:v>4.8406571114014092</c:v>
                </c:pt>
                <c:pt idx="96">
                  <c:v>3.9732738678870629</c:v>
                </c:pt>
                <c:pt idx="97">
                  <c:v>3.3944825158434542</c:v>
                </c:pt>
                <c:pt idx="98">
                  <c:v>3.5880049909335687</c:v>
                </c:pt>
                <c:pt idx="99">
                  <c:v>4.0160147645889541</c:v>
                </c:pt>
                <c:pt idx="100">
                  <c:v>3.9174953864270634</c:v>
                </c:pt>
                <c:pt idx="101">
                  <c:v>3.2432264171465075</c:v>
                </c:pt>
                <c:pt idx="102">
                  <c:v>3.6190953725347685</c:v>
                </c:pt>
                <c:pt idx="103">
                  <c:v>3.5988894094913286</c:v>
                </c:pt>
                <c:pt idx="104">
                  <c:v>4.2157833306093648</c:v>
                </c:pt>
                <c:pt idx="105">
                  <c:v>4.4532044614697437</c:v>
                </c:pt>
                <c:pt idx="106">
                  <c:v>3.7931141259744487</c:v>
                </c:pt>
                <c:pt idx="107">
                  <c:v>3.9929034375291717</c:v>
                </c:pt>
                <c:pt idx="108">
                  <c:v>4.3090887573222059</c:v>
                </c:pt>
                <c:pt idx="109">
                  <c:v>4.5741912392373534</c:v>
                </c:pt>
                <c:pt idx="110">
                  <c:v>4.425980220978925</c:v>
                </c:pt>
                <c:pt idx="111">
                  <c:v>5.0419587506869332</c:v>
                </c:pt>
                <c:pt idx="112">
                  <c:v>4.6083594750259014</c:v>
                </c:pt>
                <c:pt idx="113">
                  <c:v>4.7856564545043367</c:v>
                </c:pt>
                <c:pt idx="114">
                  <c:v>4.9004040264737245</c:v>
                </c:pt>
                <c:pt idx="115">
                  <c:v>5.335789842445199</c:v>
                </c:pt>
                <c:pt idx="116">
                  <c:v>4.5309443098612734</c:v>
                </c:pt>
                <c:pt idx="117">
                  <c:v>4.6458904427403045</c:v>
                </c:pt>
                <c:pt idx="118">
                  <c:v>4.7386059679610977</c:v>
                </c:pt>
                <c:pt idx="119">
                  <c:v>4.6376413444841633</c:v>
                </c:pt>
                <c:pt idx="120">
                  <c:v>4.5291418047901413</c:v>
                </c:pt>
                <c:pt idx="121">
                  <c:v>3.8572276447702056</c:v>
                </c:pt>
                <c:pt idx="122">
                  <c:v>4.3640482198708774</c:v>
                </c:pt>
                <c:pt idx="123">
                  <c:v>4.2188255301884379</c:v>
                </c:pt>
                <c:pt idx="124">
                  <c:v>3.7325875847124941</c:v>
                </c:pt>
                <c:pt idx="125">
                  <c:v>3.3120779379978731</c:v>
                </c:pt>
                <c:pt idx="126">
                  <c:v>3.9369545579177831</c:v>
                </c:pt>
                <c:pt idx="127">
                  <c:v>3.5521038241460077</c:v>
                </c:pt>
                <c:pt idx="128">
                  <c:v>4.0472470842218984</c:v>
                </c:pt>
                <c:pt idx="129">
                  <c:v>3.5484340747503942</c:v>
                </c:pt>
                <c:pt idx="130">
                  <c:v>3.7458924569905614</c:v>
                </c:pt>
                <c:pt idx="131">
                  <c:v>3.658573802348243</c:v>
                </c:pt>
                <c:pt idx="132">
                  <c:v>3.5678439266213613</c:v>
                </c:pt>
                <c:pt idx="133">
                  <c:v>4.3047260709949429</c:v>
                </c:pt>
                <c:pt idx="134">
                  <c:v>4.3655496527459041</c:v>
                </c:pt>
                <c:pt idx="135">
                  <c:v>3.8881290979055834</c:v>
                </c:pt>
                <c:pt idx="136">
                  <c:v>3.7622776808435692</c:v>
                </c:pt>
                <c:pt idx="137">
                  <c:v>4.2846565991174934</c:v>
                </c:pt>
                <c:pt idx="138">
                  <c:v>4.2278688895073637</c:v>
                </c:pt>
                <c:pt idx="139">
                  <c:v>4.3479200633967601</c:v>
                </c:pt>
                <c:pt idx="140">
                  <c:v>4.6398335451854988</c:v>
                </c:pt>
                <c:pt idx="141">
                  <c:v>5.24997519088173</c:v>
                </c:pt>
                <c:pt idx="142">
                  <c:v>4.6940532981312382</c:v>
                </c:pt>
                <c:pt idx="143">
                  <c:v>5.0833967879195932</c:v>
                </c:pt>
                <c:pt idx="144">
                  <c:v>4.9941468983632564</c:v>
                </c:pt>
                <c:pt idx="145">
                  <c:v>4.6859321964071485</c:v>
                </c:pt>
                <c:pt idx="146">
                  <c:v>5.0896843704553216</c:v>
                </c:pt>
                <c:pt idx="147">
                  <c:v>4.6177483215933552</c:v>
                </c:pt>
                <c:pt idx="148">
                  <c:v>4.4072841165464816</c:v>
                </c:pt>
                <c:pt idx="149">
                  <c:v>4.3872356001837014</c:v>
                </c:pt>
                <c:pt idx="150">
                  <c:v>4.5777219530438407</c:v>
                </c:pt>
                <c:pt idx="151">
                  <c:v>4.3273318427505867</c:v>
                </c:pt>
                <c:pt idx="152">
                  <c:v>4.9126038978610262</c:v>
                </c:pt>
                <c:pt idx="153">
                  <c:v>5.4254619190725144</c:v>
                </c:pt>
                <c:pt idx="154">
                  <c:v>5.5730336528498849</c:v>
                </c:pt>
                <c:pt idx="155">
                  <c:v>5.7345310548328534</c:v>
                </c:pt>
                <c:pt idx="156">
                  <c:v>5.7915292213024721</c:v>
                </c:pt>
                <c:pt idx="157">
                  <c:v>5.8342497539081846</c:v>
                </c:pt>
                <c:pt idx="158">
                  <c:v>6.0717454711090326</c:v>
                </c:pt>
                <c:pt idx="159">
                  <c:v>5.9024713479239939</c:v>
                </c:pt>
                <c:pt idx="160">
                  <c:v>5.618899074889371</c:v>
                </c:pt>
                <c:pt idx="161">
                  <c:v>5.1652706856066626</c:v>
                </c:pt>
                <c:pt idx="162">
                  <c:v>4.842241049680732</c:v>
                </c:pt>
                <c:pt idx="163">
                  <c:v>5.1334004738638743</c:v>
                </c:pt>
                <c:pt idx="164">
                  <c:v>5.4464530822971629</c:v>
                </c:pt>
                <c:pt idx="165">
                  <c:v>6.1247863914008631</c:v>
                </c:pt>
                <c:pt idx="166">
                  <c:v>6.3385632654523913</c:v>
                </c:pt>
                <c:pt idx="167">
                  <c:v>6.0654263575936902</c:v>
                </c:pt>
                <c:pt idx="168">
                  <c:v>5.933541252273109</c:v>
                </c:pt>
                <c:pt idx="169">
                  <c:v>5.7141883883797249</c:v>
                </c:pt>
                <c:pt idx="170">
                  <c:v>6.0803236378753773</c:v>
                </c:pt>
                <c:pt idx="171">
                  <c:v>5.8373849007526637</c:v>
                </c:pt>
                <c:pt idx="172">
                  <c:v>6.0733073116366025</c:v>
                </c:pt>
                <c:pt idx="173">
                  <c:v>6.6674605414388433</c:v>
                </c:pt>
                <c:pt idx="174">
                  <c:v>6.2008212783145851</c:v>
                </c:pt>
                <c:pt idx="175">
                  <c:v>5.8122066825620866</c:v>
                </c:pt>
                <c:pt idx="176">
                  <c:v>5.3132882054651365</c:v>
                </c:pt>
                <c:pt idx="177">
                  <c:v>5.1492192088774145</c:v>
                </c:pt>
                <c:pt idx="178">
                  <c:v>4.9960446625823778</c:v>
                </c:pt>
                <c:pt idx="179">
                  <c:v>5.7846989904810018</c:v>
                </c:pt>
                <c:pt idx="180">
                  <c:v>6.1334592387240932</c:v>
                </c:pt>
                <c:pt idx="181">
                  <c:v>6.6491802010585523</c:v>
                </c:pt>
                <c:pt idx="182">
                  <c:v>6.7265083396966832</c:v>
                </c:pt>
                <c:pt idx="183">
                  <c:v>6.8074886501819725</c:v>
                </c:pt>
                <c:pt idx="184">
                  <c:v>6.5540234647052165</c:v>
                </c:pt>
                <c:pt idx="185">
                  <c:v>5.9352785255478073</c:v>
                </c:pt>
                <c:pt idx="186">
                  <c:v>6.0085180329371841</c:v>
                </c:pt>
                <c:pt idx="187">
                  <c:v>5.8112607424498579</c:v>
                </c:pt>
                <c:pt idx="188">
                  <c:v>6.1786641566887965</c:v>
                </c:pt>
                <c:pt idx="189">
                  <c:v>6.0050952262199297</c:v>
                </c:pt>
                <c:pt idx="190">
                  <c:v>6.4405365206101699</c:v>
                </c:pt>
                <c:pt idx="191">
                  <c:v>7.1680445154121077</c:v>
                </c:pt>
                <c:pt idx="192">
                  <c:v>6.8886145922917281</c:v>
                </c:pt>
                <c:pt idx="193">
                  <c:v>7.5867196066655787</c:v>
                </c:pt>
                <c:pt idx="194">
                  <c:v>8.0380105392649313</c:v>
                </c:pt>
                <c:pt idx="195">
                  <c:v>8.2618622564420789</c:v>
                </c:pt>
                <c:pt idx="196">
                  <c:v>8.2569962058248905</c:v>
                </c:pt>
                <c:pt idx="197">
                  <c:v>8.0736183869989731</c:v>
                </c:pt>
                <c:pt idx="198">
                  <c:v>8.3445542214733521</c:v>
                </c:pt>
                <c:pt idx="199">
                  <c:v>8.4063117300350427</c:v>
                </c:pt>
                <c:pt idx="200">
                  <c:v>7.7117175814600936</c:v>
                </c:pt>
                <c:pt idx="201">
                  <c:v>7.0201022930309609</c:v>
                </c:pt>
                <c:pt idx="202">
                  <c:v>6.9970335140132951</c:v>
                </c:pt>
                <c:pt idx="203">
                  <c:v>7.1109343930520996</c:v>
                </c:pt>
                <c:pt idx="204">
                  <c:v>7.33590447706524</c:v>
                </c:pt>
                <c:pt idx="205">
                  <c:v>7.2374557569570417</c:v>
                </c:pt>
                <c:pt idx="206">
                  <c:v>6.6955388447956805</c:v>
                </c:pt>
                <c:pt idx="207">
                  <c:v>6.7915683376999265</c:v>
                </c:pt>
                <c:pt idx="208">
                  <c:v>6.6325336940318174</c:v>
                </c:pt>
                <c:pt idx="209">
                  <c:v>7.4559117787817017</c:v>
                </c:pt>
                <c:pt idx="210">
                  <c:v>7.4633621690316296</c:v>
                </c:pt>
                <c:pt idx="211">
                  <c:v>7.1998049020756394</c:v>
                </c:pt>
                <c:pt idx="212">
                  <c:v>7.8213115252536038</c:v>
                </c:pt>
                <c:pt idx="213">
                  <c:v>8.1090826942254477</c:v>
                </c:pt>
                <c:pt idx="214">
                  <c:v>8.4710457236787544</c:v>
                </c:pt>
                <c:pt idx="215">
                  <c:v>7.918766870748736</c:v>
                </c:pt>
                <c:pt idx="216">
                  <c:v>8.0699773663164542</c:v>
                </c:pt>
                <c:pt idx="217">
                  <c:v>8.6343104507132349</c:v>
                </c:pt>
                <c:pt idx="218">
                  <c:v>8.8754149710202555</c:v>
                </c:pt>
                <c:pt idx="219">
                  <c:v>8.3540864027756179</c:v>
                </c:pt>
                <c:pt idx="220">
                  <c:v>8.6101815067308927</c:v>
                </c:pt>
                <c:pt idx="221">
                  <c:v>9.2582680340780783</c:v>
                </c:pt>
                <c:pt idx="222">
                  <c:v>9.6859278572695704</c:v>
                </c:pt>
                <c:pt idx="223">
                  <c:v>9.2570348067371437</c:v>
                </c:pt>
                <c:pt idx="224">
                  <c:v>8.814494921510942</c:v>
                </c:pt>
                <c:pt idx="225">
                  <c:v>9.1950472682187812</c:v>
                </c:pt>
                <c:pt idx="226">
                  <c:v>9.3563669768811977</c:v>
                </c:pt>
                <c:pt idx="227">
                  <c:v>9.0286015216928348</c:v>
                </c:pt>
                <c:pt idx="228">
                  <c:v>9.280827208707727</c:v>
                </c:pt>
                <c:pt idx="229">
                  <c:v>8.8702998134598321</c:v>
                </c:pt>
                <c:pt idx="230">
                  <c:v>8.83731394530332</c:v>
                </c:pt>
                <c:pt idx="231">
                  <c:v>8.2894418809561152</c:v>
                </c:pt>
                <c:pt idx="232">
                  <c:v>8.6896369360492205</c:v>
                </c:pt>
                <c:pt idx="233">
                  <c:v>8.8858287096751027</c:v>
                </c:pt>
                <c:pt idx="234">
                  <c:v>9.2799697117500042</c:v>
                </c:pt>
                <c:pt idx="235">
                  <c:v>9.3844424357097438</c:v>
                </c:pt>
                <c:pt idx="236">
                  <c:v>9.3900240229958616</c:v>
                </c:pt>
                <c:pt idx="237">
                  <c:v>9.6582387876922002</c:v>
                </c:pt>
                <c:pt idx="238">
                  <c:v>9.7440648721680088</c:v>
                </c:pt>
                <c:pt idx="239">
                  <c:v>9.1432299023016803</c:v>
                </c:pt>
                <c:pt idx="240">
                  <c:v>9.000195818965933</c:v>
                </c:pt>
                <c:pt idx="241">
                  <c:v>9.1925241495680154</c:v>
                </c:pt>
                <c:pt idx="242">
                  <c:v>8.7505007508350463</c:v>
                </c:pt>
                <c:pt idx="243">
                  <c:v>9.0466035901437856</c:v>
                </c:pt>
                <c:pt idx="244">
                  <c:v>9.8357287327214227</c:v>
                </c:pt>
                <c:pt idx="245">
                  <c:v>9.9056059207225626</c:v>
                </c:pt>
                <c:pt idx="246">
                  <c:v>9.9403059377942427</c:v>
                </c:pt>
                <c:pt idx="247">
                  <c:v>10.165932663917179</c:v>
                </c:pt>
                <c:pt idx="248">
                  <c:v>10.172045055142208</c:v>
                </c:pt>
                <c:pt idx="249">
                  <c:v>10.681375548889031</c:v>
                </c:pt>
                <c:pt idx="250">
                  <c:v>10.544560309391546</c:v>
                </c:pt>
                <c:pt idx="251">
                  <c:v>9.7923280490765574</c:v>
                </c:pt>
                <c:pt idx="252">
                  <c:v>10.320596483832594</c:v>
                </c:pt>
                <c:pt idx="253">
                  <c:v>10.003017622072697</c:v>
                </c:pt>
                <c:pt idx="254">
                  <c:v>9.6577099183824178</c:v>
                </c:pt>
                <c:pt idx="255">
                  <c:v>9.9894140005988419</c:v>
                </c:pt>
                <c:pt idx="256">
                  <c:v>9.4419376991994248</c:v>
                </c:pt>
                <c:pt idx="257">
                  <c:v>9.2645696974254577</c:v>
                </c:pt>
                <c:pt idx="258">
                  <c:v>9.7627582149448955</c:v>
                </c:pt>
                <c:pt idx="259">
                  <c:v>9.5755758301010907</c:v>
                </c:pt>
                <c:pt idx="260">
                  <c:v>9.710441993890397</c:v>
                </c:pt>
                <c:pt idx="261">
                  <c:v>9.763220214777883</c:v>
                </c:pt>
                <c:pt idx="262">
                  <c:v>9.7460833745667479</c:v>
                </c:pt>
                <c:pt idx="263">
                  <c:v>9.3038519300946945</c:v>
                </c:pt>
                <c:pt idx="264">
                  <c:v>9.4761285927359502</c:v>
                </c:pt>
                <c:pt idx="265">
                  <c:v>9.1661943321794741</c:v>
                </c:pt>
                <c:pt idx="266">
                  <c:v>9.8788581020835657</c:v>
                </c:pt>
                <c:pt idx="267">
                  <c:v>9.8458272957850959</c:v>
                </c:pt>
                <c:pt idx="268">
                  <c:v>10.435026863502607</c:v>
                </c:pt>
                <c:pt idx="269">
                  <c:v>10.262186285330818</c:v>
                </c:pt>
                <c:pt idx="270">
                  <c:v>10.068737387695744</c:v>
                </c:pt>
                <c:pt idx="271">
                  <c:v>10.466168102575136</c:v>
                </c:pt>
                <c:pt idx="272">
                  <c:v>10.872898564636882</c:v>
                </c:pt>
                <c:pt idx="273">
                  <c:v>10.668010660597293</c:v>
                </c:pt>
                <c:pt idx="274">
                  <c:v>10.954506126911982</c:v>
                </c:pt>
                <c:pt idx="275">
                  <c:v>11.314109778619184</c:v>
                </c:pt>
                <c:pt idx="276">
                  <c:v>10.675322453947823</c:v>
                </c:pt>
                <c:pt idx="277">
                  <c:v>10.325442418610516</c:v>
                </c:pt>
                <c:pt idx="278">
                  <c:v>10.612199604677958</c:v>
                </c:pt>
                <c:pt idx="279">
                  <c:v>10.521379875302895</c:v>
                </c:pt>
                <c:pt idx="280">
                  <c:v>10.410660414671664</c:v>
                </c:pt>
                <c:pt idx="281">
                  <c:v>10.837219368730933</c:v>
                </c:pt>
                <c:pt idx="282">
                  <c:v>10.760324763983281</c:v>
                </c:pt>
                <c:pt idx="283">
                  <c:v>11.013362765858007</c:v>
                </c:pt>
                <c:pt idx="284">
                  <c:v>11.250810232589393</c:v>
                </c:pt>
                <c:pt idx="285">
                  <c:v>11.210975786132408</c:v>
                </c:pt>
                <c:pt idx="286">
                  <c:v>10.71617654711735</c:v>
                </c:pt>
                <c:pt idx="287">
                  <c:v>10.60016167239497</c:v>
                </c:pt>
                <c:pt idx="288">
                  <c:v>10.93394292885322</c:v>
                </c:pt>
                <c:pt idx="289">
                  <c:v>10.930600050250552</c:v>
                </c:pt>
                <c:pt idx="290">
                  <c:v>10.792033186638541</c:v>
                </c:pt>
                <c:pt idx="291">
                  <c:v>10.676939096053507</c:v>
                </c:pt>
                <c:pt idx="292">
                  <c:v>10.745510746496304</c:v>
                </c:pt>
                <c:pt idx="293">
                  <c:v>10.330123467089059</c:v>
                </c:pt>
                <c:pt idx="294">
                  <c:v>9.9180260736397496</c:v>
                </c:pt>
                <c:pt idx="295">
                  <c:v>10.572437920568591</c:v>
                </c:pt>
                <c:pt idx="296">
                  <c:v>10.791957552745661</c:v>
                </c:pt>
                <c:pt idx="297">
                  <c:v>10.825681166387696</c:v>
                </c:pt>
                <c:pt idx="298">
                  <c:v>10.901050192608057</c:v>
                </c:pt>
                <c:pt idx="299">
                  <c:v>10.594775141174447</c:v>
                </c:pt>
                <c:pt idx="300">
                  <c:v>10.736976331050018</c:v>
                </c:pt>
                <c:pt idx="301">
                  <c:v>10.30867407530779</c:v>
                </c:pt>
                <c:pt idx="302">
                  <c:v>10.49788654381862</c:v>
                </c:pt>
                <c:pt idx="303">
                  <c:v>10.993373888012364</c:v>
                </c:pt>
                <c:pt idx="304">
                  <c:v>11.203498275420152</c:v>
                </c:pt>
                <c:pt idx="305">
                  <c:v>10.907505258160196</c:v>
                </c:pt>
                <c:pt idx="306">
                  <c:v>11.208102611727769</c:v>
                </c:pt>
                <c:pt idx="307">
                  <c:v>11.430580082018007</c:v>
                </c:pt>
                <c:pt idx="308">
                  <c:v>11.486282983741196</c:v>
                </c:pt>
                <c:pt idx="309">
                  <c:v>11.45802061431899</c:v>
                </c:pt>
                <c:pt idx="310">
                  <c:v>10.629285254652579</c:v>
                </c:pt>
                <c:pt idx="311">
                  <c:v>10.081768434297693</c:v>
                </c:pt>
                <c:pt idx="312">
                  <c:v>9.6871397699370032</c:v>
                </c:pt>
                <c:pt idx="313">
                  <c:v>9.9912882301841233</c:v>
                </c:pt>
                <c:pt idx="314">
                  <c:v>9.5605919925998766</c:v>
                </c:pt>
                <c:pt idx="315">
                  <c:v>10.088234566298187</c:v>
                </c:pt>
                <c:pt idx="316">
                  <c:v>10.071225713694789</c:v>
                </c:pt>
                <c:pt idx="317">
                  <c:v>9.5872984731148563</c:v>
                </c:pt>
                <c:pt idx="318">
                  <c:v>9.8141593817513897</c:v>
                </c:pt>
                <c:pt idx="319">
                  <c:v>10.182896555497345</c:v>
                </c:pt>
                <c:pt idx="320">
                  <c:v>9.6889498793703854</c:v>
                </c:pt>
                <c:pt idx="321">
                  <c:v>9.7120735764662758</c:v>
                </c:pt>
                <c:pt idx="322">
                  <c:v>9.5132343562583017</c:v>
                </c:pt>
                <c:pt idx="323">
                  <c:v>9.5807028471076343</c:v>
                </c:pt>
                <c:pt idx="324">
                  <c:v>9.3407158026234871</c:v>
                </c:pt>
                <c:pt idx="325">
                  <c:v>9.8079361880807294</c:v>
                </c:pt>
                <c:pt idx="326">
                  <c:v>9.5952243734081311</c:v>
                </c:pt>
                <c:pt idx="327">
                  <c:v>10.231176753286258</c:v>
                </c:pt>
                <c:pt idx="328">
                  <c:v>10.707005994102561</c:v>
                </c:pt>
                <c:pt idx="329">
                  <c:v>10.727576700329831</c:v>
                </c:pt>
                <c:pt idx="330">
                  <c:v>10.776181311808509</c:v>
                </c:pt>
                <c:pt idx="331">
                  <c:v>10.942514582699193</c:v>
                </c:pt>
                <c:pt idx="332">
                  <c:v>10.616008004059088</c:v>
                </c:pt>
                <c:pt idx="333">
                  <c:v>10.713819065064113</c:v>
                </c:pt>
                <c:pt idx="334">
                  <c:v>10.649233963720292</c:v>
                </c:pt>
                <c:pt idx="335">
                  <c:v>9.882150576040619</c:v>
                </c:pt>
                <c:pt idx="336">
                  <c:v>9.3430374216009557</c:v>
                </c:pt>
                <c:pt idx="337">
                  <c:v>9.8456341804205429</c:v>
                </c:pt>
                <c:pt idx="338">
                  <c:v>9.4074287287690037</c:v>
                </c:pt>
                <c:pt idx="339">
                  <c:v>9.6460335511023629</c:v>
                </c:pt>
                <c:pt idx="340">
                  <c:v>8.8574676142797912</c:v>
                </c:pt>
                <c:pt idx="341">
                  <c:v>8.9792425196795573</c:v>
                </c:pt>
                <c:pt idx="342">
                  <c:v>8.9957426434538164</c:v>
                </c:pt>
                <c:pt idx="343">
                  <c:v>9.4872140539172154</c:v>
                </c:pt>
                <c:pt idx="344">
                  <c:v>9.1795157788376649</c:v>
                </c:pt>
                <c:pt idx="345">
                  <c:v>9.4580726616730999</c:v>
                </c:pt>
                <c:pt idx="346">
                  <c:v>9.7983166498940761</c:v>
                </c:pt>
                <c:pt idx="347">
                  <c:v>10.135104205685346</c:v>
                </c:pt>
                <c:pt idx="348">
                  <c:v>9.8185906374697787</c:v>
                </c:pt>
                <c:pt idx="349">
                  <c:v>9.4245173153369191</c:v>
                </c:pt>
                <c:pt idx="350">
                  <c:v>9.4609565260085802</c:v>
                </c:pt>
                <c:pt idx="351">
                  <c:v>9.2307174748032601</c:v>
                </c:pt>
                <c:pt idx="352">
                  <c:v>8.9167420614999937</c:v>
                </c:pt>
                <c:pt idx="353">
                  <c:v>9.1479721445359026</c:v>
                </c:pt>
                <c:pt idx="354">
                  <c:v>9.7974589769719032</c:v>
                </c:pt>
                <c:pt idx="355">
                  <c:v>9.5455200026106883</c:v>
                </c:pt>
                <c:pt idx="356">
                  <c:v>9.0529868876892969</c:v>
                </c:pt>
                <c:pt idx="357">
                  <c:v>9.4768304850014271</c:v>
                </c:pt>
                <c:pt idx="358">
                  <c:v>9.1672635670492078</c:v>
                </c:pt>
                <c:pt idx="359">
                  <c:v>8.8462765337225449</c:v>
                </c:pt>
                <c:pt idx="360">
                  <c:v>8.3850714022209978</c:v>
                </c:pt>
                <c:pt idx="361">
                  <c:v>8.417410443733969</c:v>
                </c:pt>
                <c:pt idx="362">
                  <c:v>7.8569504491669342</c:v>
                </c:pt>
                <c:pt idx="363">
                  <c:v>7.6294717150781679</c:v>
                </c:pt>
                <c:pt idx="364">
                  <c:v>7.7302778768551823</c:v>
                </c:pt>
                <c:pt idx="365">
                  <c:v>8.2239451025634427</c:v>
                </c:pt>
                <c:pt idx="366">
                  <c:v>8.0085024028520504</c:v>
                </c:pt>
                <c:pt idx="367">
                  <c:v>8.3976107340177517</c:v>
                </c:pt>
                <c:pt idx="368">
                  <c:v>7.6465232921504205</c:v>
                </c:pt>
                <c:pt idx="369">
                  <c:v>7.4749467716329026</c:v>
                </c:pt>
                <c:pt idx="370">
                  <c:v>7.9224883247185964</c:v>
                </c:pt>
                <c:pt idx="371">
                  <c:v>7.4322958277574722</c:v>
                </c:pt>
                <c:pt idx="372">
                  <c:v>7.1208443564601938</c:v>
                </c:pt>
                <c:pt idx="373">
                  <c:v>7.4941123237774914</c:v>
                </c:pt>
                <c:pt idx="374">
                  <c:v>8.0515074382636413</c:v>
                </c:pt>
                <c:pt idx="375">
                  <c:v>8.2380647660218145</c:v>
                </c:pt>
                <c:pt idx="376">
                  <c:v>8.141380581638062</c:v>
                </c:pt>
                <c:pt idx="377">
                  <c:v>7.794698378883151</c:v>
                </c:pt>
                <c:pt idx="378">
                  <c:v>8.4501949130991161</c:v>
                </c:pt>
                <c:pt idx="379">
                  <c:v>8.0635522595863733</c:v>
                </c:pt>
                <c:pt idx="380">
                  <c:v>8.6696715899679972</c:v>
                </c:pt>
                <c:pt idx="381">
                  <c:v>7.9833472151411291</c:v>
                </c:pt>
                <c:pt idx="382">
                  <c:v>7.4897375942526816</c:v>
                </c:pt>
                <c:pt idx="383">
                  <c:v>7.1546561583774686</c:v>
                </c:pt>
                <c:pt idx="384">
                  <c:v>7.651629594303639</c:v>
                </c:pt>
                <c:pt idx="385">
                  <c:v>8.0434477820563757</c:v>
                </c:pt>
                <c:pt idx="386">
                  <c:v>7.3064879340747737</c:v>
                </c:pt>
                <c:pt idx="387">
                  <c:v>6.7657288611604738</c:v>
                </c:pt>
                <c:pt idx="388">
                  <c:v>7.2750282570447595</c:v>
                </c:pt>
                <c:pt idx="389">
                  <c:v>7.3432745024186366</c:v>
                </c:pt>
                <c:pt idx="390">
                  <c:v>6.7610518316543278</c:v>
                </c:pt>
                <c:pt idx="391">
                  <c:v>6.1957663164243959</c:v>
                </c:pt>
                <c:pt idx="392">
                  <c:v>6.3769750855279606</c:v>
                </c:pt>
                <c:pt idx="393">
                  <c:v>6.6741219284634496</c:v>
                </c:pt>
                <c:pt idx="394">
                  <c:v>6.7646589683363834</c:v>
                </c:pt>
                <c:pt idx="395">
                  <c:v>6.0921570529288775</c:v>
                </c:pt>
                <c:pt idx="396">
                  <c:v>6.0191060044060176</c:v>
                </c:pt>
                <c:pt idx="397">
                  <c:v>6.6837989835480878</c:v>
                </c:pt>
                <c:pt idx="398">
                  <c:v>6.8895550185709524</c:v>
                </c:pt>
                <c:pt idx="399">
                  <c:v>6.5471224542223743</c:v>
                </c:pt>
                <c:pt idx="400">
                  <c:v>6.4385690032245861</c:v>
                </c:pt>
                <c:pt idx="401">
                  <c:v>6.2524277136401363</c:v>
                </c:pt>
                <c:pt idx="402">
                  <c:v>6.5025438462540208</c:v>
                </c:pt>
                <c:pt idx="403">
                  <c:v>7.1892987481779826</c:v>
                </c:pt>
                <c:pt idx="404">
                  <c:v>6.8459729425602722</c:v>
                </c:pt>
                <c:pt idx="405">
                  <c:v>7.3559899883386661</c:v>
                </c:pt>
                <c:pt idx="406">
                  <c:v>7.3269061791816874</c:v>
                </c:pt>
                <c:pt idx="407">
                  <c:v>7.1165401521667899</c:v>
                </c:pt>
                <c:pt idx="408">
                  <c:v>7.4230657297971518</c:v>
                </c:pt>
                <c:pt idx="409">
                  <c:v>6.7037425628238916</c:v>
                </c:pt>
                <c:pt idx="410">
                  <c:v>6.350033143813568</c:v>
                </c:pt>
                <c:pt idx="411">
                  <c:v>5.9752979270281639</c:v>
                </c:pt>
                <c:pt idx="412">
                  <c:v>6.6487546565534048</c:v>
                </c:pt>
                <c:pt idx="413">
                  <c:v>6.0974881788717541</c:v>
                </c:pt>
                <c:pt idx="414">
                  <c:v>6.3736555275183804</c:v>
                </c:pt>
                <c:pt idx="415">
                  <c:v>6.7542771061554774</c:v>
                </c:pt>
                <c:pt idx="416">
                  <c:v>6.0628125422625061</c:v>
                </c:pt>
                <c:pt idx="417">
                  <c:v>5.7699015858168092</c:v>
                </c:pt>
                <c:pt idx="418">
                  <c:v>5.7977724670571673</c:v>
                </c:pt>
                <c:pt idx="419">
                  <c:v>5.4852312193516326</c:v>
                </c:pt>
                <c:pt idx="420">
                  <c:v>5.6096390158404761</c:v>
                </c:pt>
                <c:pt idx="421">
                  <c:v>5.4629472707888223</c:v>
                </c:pt>
                <c:pt idx="422">
                  <c:v>5.8004249193745698</c:v>
                </c:pt>
                <c:pt idx="423">
                  <c:v>5.2812645516336278</c:v>
                </c:pt>
                <c:pt idx="424">
                  <c:v>5.017642968214755</c:v>
                </c:pt>
                <c:pt idx="425">
                  <c:v>5.0831062384236017</c:v>
                </c:pt>
                <c:pt idx="426">
                  <c:v>4.7080072936577153</c:v>
                </c:pt>
                <c:pt idx="427">
                  <c:v>4.9113195168913295</c:v>
                </c:pt>
                <c:pt idx="428">
                  <c:v>5.3730556917823229</c:v>
                </c:pt>
                <c:pt idx="429">
                  <c:v>4.9981401253547908</c:v>
                </c:pt>
                <c:pt idx="430">
                  <c:v>5.5535406326077705</c:v>
                </c:pt>
                <c:pt idx="431">
                  <c:v>5.3914116512175063</c:v>
                </c:pt>
                <c:pt idx="432">
                  <c:v>5.7293220838885572</c:v>
                </c:pt>
                <c:pt idx="433">
                  <c:v>6.2767801069642024</c:v>
                </c:pt>
                <c:pt idx="434">
                  <c:v>6.4702731903002517</c:v>
                </c:pt>
                <c:pt idx="435">
                  <c:v>5.8885636202961713</c:v>
                </c:pt>
                <c:pt idx="436">
                  <c:v>5.8821170474295581</c:v>
                </c:pt>
                <c:pt idx="437">
                  <c:v>5.909758008505519</c:v>
                </c:pt>
                <c:pt idx="438">
                  <c:v>6.3507010911113397</c:v>
                </c:pt>
                <c:pt idx="439">
                  <c:v>5.4545164949753637</c:v>
                </c:pt>
                <c:pt idx="440">
                  <c:v>4.9223463899121747</c:v>
                </c:pt>
                <c:pt idx="441">
                  <c:v>5.482743532886321</c:v>
                </c:pt>
                <c:pt idx="442">
                  <c:v>5.0986176160619792</c:v>
                </c:pt>
                <c:pt idx="443">
                  <c:v>4.7573129785016599</c:v>
                </c:pt>
                <c:pt idx="444">
                  <c:v>4.3218113616693863</c:v>
                </c:pt>
                <c:pt idx="445">
                  <c:v>3.9572221940897938</c:v>
                </c:pt>
                <c:pt idx="446">
                  <c:v>3.6340300212834293</c:v>
                </c:pt>
                <c:pt idx="447">
                  <c:v>4.1318414047149643</c:v>
                </c:pt>
                <c:pt idx="448">
                  <c:v>4.7136365941912013</c:v>
                </c:pt>
                <c:pt idx="449">
                  <c:v>4.6185081134330739</c:v>
                </c:pt>
                <c:pt idx="450">
                  <c:v>4.1628110145089492</c:v>
                </c:pt>
                <c:pt idx="451">
                  <c:v>3.9765382494285024</c:v>
                </c:pt>
                <c:pt idx="452">
                  <c:v>4.5170651915161475</c:v>
                </c:pt>
                <c:pt idx="453">
                  <c:v>4.6602406681797479</c:v>
                </c:pt>
                <c:pt idx="454">
                  <c:v>4.4040347493543788</c:v>
                </c:pt>
                <c:pt idx="455">
                  <c:v>4.2413210358353384</c:v>
                </c:pt>
                <c:pt idx="456">
                  <c:v>4.9200142254439498</c:v>
                </c:pt>
                <c:pt idx="457">
                  <c:v>4.4246784462412361</c:v>
                </c:pt>
                <c:pt idx="458">
                  <c:v>5.177557892491663</c:v>
                </c:pt>
                <c:pt idx="459">
                  <c:v>5.0867676570254394</c:v>
                </c:pt>
                <c:pt idx="460">
                  <c:v>5.5158918446719447</c:v>
                </c:pt>
                <c:pt idx="461">
                  <c:v>5.3679607490135126</c:v>
                </c:pt>
                <c:pt idx="462">
                  <c:v>5.6074845777951401</c:v>
                </c:pt>
                <c:pt idx="463">
                  <c:v>5.1817876493148569</c:v>
                </c:pt>
                <c:pt idx="464">
                  <c:v>4.5864019307073525</c:v>
                </c:pt>
                <c:pt idx="465">
                  <c:v>4.6965719628847289</c:v>
                </c:pt>
                <c:pt idx="466">
                  <c:v>5.2337606252714455</c:v>
                </c:pt>
                <c:pt idx="467">
                  <c:v>4.8417641934829243</c:v>
                </c:pt>
                <c:pt idx="468">
                  <c:v>5.3524638327512779</c:v>
                </c:pt>
                <c:pt idx="469">
                  <c:v>5.1078063420329656</c:v>
                </c:pt>
                <c:pt idx="470">
                  <c:v>5.1163494983368247</c:v>
                </c:pt>
                <c:pt idx="471">
                  <c:v>5.3886686635035339</c:v>
                </c:pt>
                <c:pt idx="472">
                  <c:v>4.7784513824935058</c:v>
                </c:pt>
                <c:pt idx="473">
                  <c:v>4.0054262832204506</c:v>
                </c:pt>
                <c:pt idx="474">
                  <c:v>4.5318453295962415</c:v>
                </c:pt>
                <c:pt idx="475">
                  <c:v>4.4722106693125996</c:v>
                </c:pt>
                <c:pt idx="476">
                  <c:v>3.8914941615416545</c:v>
                </c:pt>
                <c:pt idx="477">
                  <c:v>4.2136263011994757</c:v>
                </c:pt>
                <c:pt idx="478">
                  <c:v>4.8494141339756034</c:v>
                </c:pt>
                <c:pt idx="479">
                  <c:v>4.9938639386518346</c:v>
                </c:pt>
                <c:pt idx="480">
                  <c:v>4.9504438407145184</c:v>
                </c:pt>
                <c:pt idx="481">
                  <c:v>5.3963410257017985</c:v>
                </c:pt>
                <c:pt idx="482">
                  <c:v>5.03566403401374</c:v>
                </c:pt>
                <c:pt idx="483">
                  <c:v>5.4710294939713009</c:v>
                </c:pt>
                <c:pt idx="484">
                  <c:v>5.132691138487532</c:v>
                </c:pt>
                <c:pt idx="485">
                  <c:v>5.4087723218223491</c:v>
                </c:pt>
                <c:pt idx="486">
                  <c:v>4.9002113056196528</c:v>
                </c:pt>
                <c:pt idx="487">
                  <c:v>5.399779452693914</c:v>
                </c:pt>
                <c:pt idx="488">
                  <c:v>5.8735311530930847</c:v>
                </c:pt>
                <c:pt idx="489">
                  <c:v>5.970045921290871</c:v>
                </c:pt>
                <c:pt idx="490">
                  <c:v>5.7653097562239832</c:v>
                </c:pt>
                <c:pt idx="491">
                  <c:v>5.5221916192727774</c:v>
                </c:pt>
                <c:pt idx="492">
                  <c:v>5.2569279287530257</c:v>
                </c:pt>
                <c:pt idx="493">
                  <c:v>4.9506395522052058</c:v>
                </c:pt>
                <c:pt idx="494">
                  <c:v>4.386540787843785</c:v>
                </c:pt>
                <c:pt idx="495">
                  <c:v>4.6524619876884632</c:v>
                </c:pt>
                <c:pt idx="496">
                  <c:v>5.0587855372771644</c:v>
                </c:pt>
                <c:pt idx="497">
                  <c:v>5.0806039362704274</c:v>
                </c:pt>
                <c:pt idx="498">
                  <c:v>4.4499102521206728</c:v>
                </c:pt>
                <c:pt idx="499">
                  <c:v>5.0066653551186899</c:v>
                </c:pt>
                <c:pt idx="500">
                  <c:v>5.2566328279313721</c:v>
                </c:pt>
                <c:pt idx="501">
                  <c:v>4.8440408611698391</c:v>
                </c:pt>
                <c:pt idx="502">
                  <c:v>4.2511842284337273</c:v>
                </c:pt>
                <c:pt idx="503">
                  <c:v>4.1782508134347811</c:v>
                </c:pt>
                <c:pt idx="504">
                  <c:v>4.9205841447966847</c:v>
                </c:pt>
                <c:pt idx="505">
                  <c:v>4.4063295186718223</c:v>
                </c:pt>
                <c:pt idx="506">
                  <c:v>4.8758825502826415</c:v>
                </c:pt>
                <c:pt idx="507">
                  <c:v>4.5819819636941483</c:v>
                </c:pt>
                <c:pt idx="508">
                  <c:v>5.3115979090019891</c:v>
                </c:pt>
                <c:pt idx="509">
                  <c:v>5.3830584810626583</c:v>
                </c:pt>
                <c:pt idx="510">
                  <c:v>5.9769509031505752</c:v>
                </c:pt>
                <c:pt idx="511">
                  <c:v>5.6670518940592398</c:v>
                </c:pt>
                <c:pt idx="512">
                  <c:v>5.6496887010214927</c:v>
                </c:pt>
                <c:pt idx="513">
                  <c:v>5.7467326979169391</c:v>
                </c:pt>
                <c:pt idx="514">
                  <c:v>5.2711470949579295</c:v>
                </c:pt>
                <c:pt idx="515">
                  <c:v>5.8845717884235338</c:v>
                </c:pt>
                <c:pt idx="516">
                  <c:v>5.8584635362667932</c:v>
                </c:pt>
                <c:pt idx="517">
                  <c:v>6.215270517536128</c:v>
                </c:pt>
                <c:pt idx="518">
                  <c:v>5.7949028603158244</c:v>
                </c:pt>
                <c:pt idx="519">
                  <c:v>5.9445988388915998</c:v>
                </c:pt>
                <c:pt idx="520">
                  <c:v>5.9316216084016142</c:v>
                </c:pt>
                <c:pt idx="521">
                  <c:v>6.0184872988071767</c:v>
                </c:pt>
                <c:pt idx="522">
                  <c:v>5.9365293087441193</c:v>
                </c:pt>
                <c:pt idx="523">
                  <c:v>5.5007050473015342</c:v>
                </c:pt>
                <c:pt idx="524">
                  <c:v>4.9950710832176526</c:v>
                </c:pt>
                <c:pt idx="525">
                  <c:v>4.7139880186807206</c:v>
                </c:pt>
                <c:pt idx="526">
                  <c:v>4.4081649587601532</c:v>
                </c:pt>
                <c:pt idx="527">
                  <c:v>5.1055430311820533</c:v>
                </c:pt>
                <c:pt idx="528">
                  <c:v>5.2591951814151416</c:v>
                </c:pt>
                <c:pt idx="529">
                  <c:v>5.1599296695355354</c:v>
                </c:pt>
                <c:pt idx="530">
                  <c:v>5.6498770558827367</c:v>
                </c:pt>
                <c:pt idx="531">
                  <c:v>5.720457104176889</c:v>
                </c:pt>
                <c:pt idx="532">
                  <c:v>5.6046547422887514</c:v>
                </c:pt>
                <c:pt idx="533">
                  <c:v>5.9206516109937484</c:v>
                </c:pt>
                <c:pt idx="534">
                  <c:v>6.1463938488823668</c:v>
                </c:pt>
                <c:pt idx="535">
                  <c:v>5.8215633838709886</c:v>
                </c:pt>
                <c:pt idx="536">
                  <c:v>5.990068740348379</c:v>
                </c:pt>
                <c:pt idx="537">
                  <c:v>6.555142260447723</c:v>
                </c:pt>
                <c:pt idx="538">
                  <c:v>6.6335074639192655</c:v>
                </c:pt>
                <c:pt idx="539">
                  <c:v>6.7708498660710443</c:v>
                </c:pt>
                <c:pt idx="540">
                  <c:v>6.9499410944586204</c:v>
                </c:pt>
                <c:pt idx="541">
                  <c:v>7.4548782998986267</c:v>
                </c:pt>
                <c:pt idx="542">
                  <c:v>7.8018241312439223</c:v>
                </c:pt>
                <c:pt idx="543">
                  <c:v>7.9161504733088215</c:v>
                </c:pt>
                <c:pt idx="544">
                  <c:v>7.5193721138597613</c:v>
                </c:pt>
                <c:pt idx="545">
                  <c:v>7.7397937354167095</c:v>
                </c:pt>
                <c:pt idx="546">
                  <c:v>7.6371222811830251</c:v>
                </c:pt>
                <c:pt idx="547">
                  <c:v>7.4127431350504267</c:v>
                </c:pt>
                <c:pt idx="548">
                  <c:v>6.7190094880447564</c:v>
                </c:pt>
                <c:pt idx="549">
                  <c:v>6.4336844084610734</c:v>
                </c:pt>
                <c:pt idx="550">
                  <c:v>6.6055806097461458</c:v>
                </c:pt>
                <c:pt idx="551">
                  <c:v>6.053578952283881</c:v>
                </c:pt>
                <c:pt idx="552">
                  <c:v>5.9370548796031022</c:v>
                </c:pt>
                <c:pt idx="553">
                  <c:v>6.4280176420856989</c:v>
                </c:pt>
                <c:pt idx="554">
                  <c:v>5.9951681688974139</c:v>
                </c:pt>
                <c:pt idx="555">
                  <c:v>6.285511023082841</c:v>
                </c:pt>
                <c:pt idx="556">
                  <c:v>6.9833843162861378</c:v>
                </c:pt>
                <c:pt idx="557">
                  <c:v>6.5806151569473768</c:v>
                </c:pt>
                <c:pt idx="558">
                  <c:v>6.6994155625291123</c:v>
                </c:pt>
                <c:pt idx="559">
                  <c:v>7.0232887663644936</c:v>
                </c:pt>
                <c:pt idx="560">
                  <c:v>6.6411457337318422</c:v>
                </c:pt>
                <c:pt idx="561">
                  <c:v>7.4056399570350884</c:v>
                </c:pt>
                <c:pt idx="562">
                  <c:v>7.3385551650743492</c:v>
                </c:pt>
                <c:pt idx="563">
                  <c:v>7.1082100334345313</c:v>
                </c:pt>
                <c:pt idx="564">
                  <c:v>6.9026317936430788</c:v>
                </c:pt>
                <c:pt idx="565">
                  <c:v>7.0003412728387175</c:v>
                </c:pt>
                <c:pt idx="566">
                  <c:v>7.7950528738574096</c:v>
                </c:pt>
                <c:pt idx="567">
                  <c:v>7.6845848489408608</c:v>
                </c:pt>
                <c:pt idx="568">
                  <c:v>7.9517834001254784</c:v>
                </c:pt>
                <c:pt idx="569">
                  <c:v>7.8277661792368525</c:v>
                </c:pt>
                <c:pt idx="570">
                  <c:v>7.6492195967073737</c:v>
                </c:pt>
                <c:pt idx="571">
                  <c:v>7.5285928740475718</c:v>
                </c:pt>
                <c:pt idx="572">
                  <c:v>8.2040899464291037</c:v>
                </c:pt>
                <c:pt idx="573">
                  <c:v>8.0071050765772629</c:v>
                </c:pt>
                <c:pt idx="574">
                  <c:v>7.9665879084977842</c:v>
                </c:pt>
                <c:pt idx="575">
                  <c:v>8.6009920398501656</c:v>
                </c:pt>
                <c:pt idx="576">
                  <c:v>8.1921491363646979</c:v>
                </c:pt>
                <c:pt idx="577">
                  <c:v>7.7026731878257051</c:v>
                </c:pt>
                <c:pt idx="578">
                  <c:v>7.5890127039453033</c:v>
                </c:pt>
                <c:pt idx="579">
                  <c:v>7.7606915121176225</c:v>
                </c:pt>
                <c:pt idx="580">
                  <c:v>7.9452539764718457</c:v>
                </c:pt>
                <c:pt idx="581">
                  <c:v>8.1514714882086636</c:v>
                </c:pt>
                <c:pt idx="582">
                  <c:v>8.0056903256870608</c:v>
                </c:pt>
                <c:pt idx="583">
                  <c:v>8.5223312638103472</c:v>
                </c:pt>
                <c:pt idx="584">
                  <c:v>8.7903220394792339</c:v>
                </c:pt>
                <c:pt idx="585">
                  <c:v>8.6185155509167757</c:v>
                </c:pt>
                <c:pt idx="586">
                  <c:v>8.8353031983210268</c:v>
                </c:pt>
                <c:pt idx="587">
                  <c:v>8.4127225022928958</c:v>
                </c:pt>
                <c:pt idx="588">
                  <c:v>8.7156993810711541</c:v>
                </c:pt>
                <c:pt idx="589">
                  <c:v>8.8463193026096043</c:v>
                </c:pt>
                <c:pt idx="590">
                  <c:v>9.0609446638812265</c:v>
                </c:pt>
                <c:pt idx="591">
                  <c:v>9.0666432912996981</c:v>
                </c:pt>
                <c:pt idx="592">
                  <c:v>9.6486735090853593</c:v>
                </c:pt>
                <c:pt idx="593">
                  <c:v>10.074278727351636</c:v>
                </c:pt>
                <c:pt idx="594">
                  <c:v>10.358847317590422</c:v>
                </c:pt>
                <c:pt idx="595">
                  <c:v>9.8391128829006753</c:v>
                </c:pt>
                <c:pt idx="596">
                  <c:v>10.233567917589033</c:v>
                </c:pt>
                <c:pt idx="597">
                  <c:v>9.7978619737484962</c:v>
                </c:pt>
                <c:pt idx="598">
                  <c:v>10.287360112006359</c:v>
                </c:pt>
                <c:pt idx="599">
                  <c:v>10.68623817428349</c:v>
                </c:pt>
                <c:pt idx="600">
                  <c:v>10.095574931759332</c:v>
                </c:pt>
                <c:pt idx="601">
                  <c:v>9.4898449165836123</c:v>
                </c:pt>
                <c:pt idx="602">
                  <c:v>9.2205113178202573</c:v>
                </c:pt>
                <c:pt idx="603">
                  <c:v>9.7766930095038802</c:v>
                </c:pt>
                <c:pt idx="604">
                  <c:v>9.6770680544790117</c:v>
                </c:pt>
                <c:pt idx="605">
                  <c:v>9.6502769069365328</c:v>
                </c:pt>
                <c:pt idx="606">
                  <c:v>10.103139458241351</c:v>
                </c:pt>
                <c:pt idx="607">
                  <c:v>9.4169200638910571</c:v>
                </c:pt>
                <c:pt idx="608">
                  <c:v>9.8490761713721433</c:v>
                </c:pt>
                <c:pt idx="609">
                  <c:v>10.109016188504599</c:v>
                </c:pt>
                <c:pt idx="610">
                  <c:v>10.421671322153383</c:v>
                </c:pt>
                <c:pt idx="611">
                  <c:v>10.270967622072813</c:v>
                </c:pt>
                <c:pt idx="612">
                  <c:v>9.7370017394813377</c:v>
                </c:pt>
                <c:pt idx="613">
                  <c:v>9.3200546187358082</c:v>
                </c:pt>
                <c:pt idx="614">
                  <c:v>9.942879779188301</c:v>
                </c:pt>
                <c:pt idx="615">
                  <c:v>10.144990476633412</c:v>
                </c:pt>
                <c:pt idx="616">
                  <c:v>10.775498890902963</c:v>
                </c:pt>
                <c:pt idx="617">
                  <c:v>10.489116287627127</c:v>
                </c:pt>
                <c:pt idx="618">
                  <c:v>10.34999534904412</c:v>
                </c:pt>
                <c:pt idx="619">
                  <c:v>10.888951572975021</c:v>
                </c:pt>
                <c:pt idx="620">
                  <c:v>11.324042218057295</c:v>
                </c:pt>
                <c:pt idx="621">
                  <c:v>11.125657978858349</c:v>
                </c:pt>
                <c:pt idx="622">
                  <c:v>11.488790845437125</c:v>
                </c:pt>
                <c:pt idx="623">
                  <c:v>11.020024875399407</c:v>
                </c:pt>
                <c:pt idx="624">
                  <c:v>11.369971423584538</c:v>
                </c:pt>
                <c:pt idx="625">
                  <c:v>10.688804098769724</c:v>
                </c:pt>
                <c:pt idx="626">
                  <c:v>10.555928389814667</c:v>
                </c:pt>
                <c:pt idx="627">
                  <c:v>10.248069602582429</c:v>
                </c:pt>
                <c:pt idx="628">
                  <c:v>9.7438891562429966</c:v>
                </c:pt>
                <c:pt idx="629">
                  <c:v>10.121958864622249</c:v>
                </c:pt>
                <c:pt idx="630">
                  <c:v>10.615234295341066</c:v>
                </c:pt>
                <c:pt idx="631">
                  <c:v>11.051892527562897</c:v>
                </c:pt>
                <c:pt idx="632">
                  <c:v>10.809489375252275</c:v>
                </c:pt>
                <c:pt idx="633">
                  <c:v>10.105343530717883</c:v>
                </c:pt>
                <c:pt idx="634">
                  <c:v>10.658603822133944</c:v>
                </c:pt>
                <c:pt idx="635">
                  <c:v>10.592503623760674</c:v>
                </c:pt>
                <c:pt idx="636">
                  <c:v>10.048013265781602</c:v>
                </c:pt>
                <c:pt idx="637">
                  <c:v>9.9316489951320186</c:v>
                </c:pt>
                <c:pt idx="638">
                  <c:v>10.429165157804388</c:v>
                </c:pt>
                <c:pt idx="639">
                  <c:v>10.288722160184738</c:v>
                </c:pt>
                <c:pt idx="640">
                  <c:v>9.8446090007804337</c:v>
                </c:pt>
                <c:pt idx="641">
                  <c:v>10.434562118508156</c:v>
                </c:pt>
                <c:pt idx="642">
                  <c:v>10.392242996611797</c:v>
                </c:pt>
                <c:pt idx="643">
                  <c:v>10.871531514785634</c:v>
                </c:pt>
                <c:pt idx="644">
                  <c:v>10.422490877997957</c:v>
                </c:pt>
                <c:pt idx="645">
                  <c:v>11.155281630570947</c:v>
                </c:pt>
                <c:pt idx="646">
                  <c:v>11.405614752998829</c:v>
                </c:pt>
                <c:pt idx="647">
                  <c:v>11.353891665635929</c:v>
                </c:pt>
                <c:pt idx="648">
                  <c:v>11.544020323341583</c:v>
                </c:pt>
                <c:pt idx="649">
                  <c:v>11.997601026215419</c:v>
                </c:pt>
                <c:pt idx="650">
                  <c:v>12.412804227641054</c:v>
                </c:pt>
                <c:pt idx="651">
                  <c:v>11.587006885608512</c:v>
                </c:pt>
                <c:pt idx="652">
                  <c:v>11.172655604021479</c:v>
                </c:pt>
                <c:pt idx="653">
                  <c:v>11.513238320084827</c:v>
                </c:pt>
                <c:pt idx="654">
                  <c:v>10.806776286568036</c:v>
                </c:pt>
                <c:pt idx="655">
                  <c:v>10.924552109485493</c:v>
                </c:pt>
                <c:pt idx="656">
                  <c:v>10.531105239486816</c:v>
                </c:pt>
                <c:pt idx="657">
                  <c:v>10.126974362541201</c:v>
                </c:pt>
                <c:pt idx="658">
                  <c:v>10.359056061461688</c:v>
                </c:pt>
                <c:pt idx="659">
                  <c:v>10.140705113883811</c:v>
                </c:pt>
                <c:pt idx="660">
                  <c:v>10.011267439419528</c:v>
                </c:pt>
                <c:pt idx="661">
                  <c:v>10.447116939446694</c:v>
                </c:pt>
                <c:pt idx="662">
                  <c:v>10.059601218442094</c:v>
                </c:pt>
                <c:pt idx="663">
                  <c:v>10.084262702584441</c:v>
                </c:pt>
                <c:pt idx="664">
                  <c:v>10.180265541022614</c:v>
                </c:pt>
                <c:pt idx="665">
                  <c:v>10.776979629867309</c:v>
                </c:pt>
                <c:pt idx="666">
                  <c:v>10.845450461157098</c:v>
                </c:pt>
                <c:pt idx="667">
                  <c:v>10.642704322414657</c:v>
                </c:pt>
                <c:pt idx="668">
                  <c:v>11.124884610399921</c:v>
                </c:pt>
                <c:pt idx="669">
                  <c:v>10.849775476245062</c:v>
                </c:pt>
                <c:pt idx="670">
                  <c:v>11.201790769257769</c:v>
                </c:pt>
                <c:pt idx="671">
                  <c:v>10.958243455335714</c:v>
                </c:pt>
                <c:pt idx="672">
                  <c:v>11.677665093190015</c:v>
                </c:pt>
                <c:pt idx="673">
                  <c:v>12.095091546338903</c:v>
                </c:pt>
                <c:pt idx="674">
                  <c:v>11.373981233924388</c:v>
                </c:pt>
                <c:pt idx="675">
                  <c:v>11.933360445558849</c:v>
                </c:pt>
                <c:pt idx="676">
                  <c:v>12.285866018035399</c:v>
                </c:pt>
                <c:pt idx="677">
                  <c:v>11.670898100456046</c:v>
                </c:pt>
                <c:pt idx="678">
                  <c:v>11.207683952975207</c:v>
                </c:pt>
                <c:pt idx="679">
                  <c:v>11.505369057897507</c:v>
                </c:pt>
                <c:pt idx="680">
                  <c:v>11.412489206359714</c:v>
                </c:pt>
                <c:pt idx="681">
                  <c:v>10.667324253927042</c:v>
                </c:pt>
                <c:pt idx="682">
                  <c:v>11.282182789307161</c:v>
                </c:pt>
                <c:pt idx="683">
                  <c:v>11.657027272538789</c:v>
                </c:pt>
                <c:pt idx="684">
                  <c:v>11.670007447084021</c:v>
                </c:pt>
                <c:pt idx="685">
                  <c:v>11.575192132271624</c:v>
                </c:pt>
                <c:pt idx="686">
                  <c:v>10.77979746017327</c:v>
                </c:pt>
                <c:pt idx="687">
                  <c:v>10.190724204588973</c:v>
                </c:pt>
                <c:pt idx="688">
                  <c:v>10.643050379950068</c:v>
                </c:pt>
                <c:pt idx="689">
                  <c:v>10.943887826012576</c:v>
                </c:pt>
                <c:pt idx="690">
                  <c:v>10.420874184571627</c:v>
                </c:pt>
                <c:pt idx="691">
                  <c:v>9.8942503644980686</c:v>
                </c:pt>
                <c:pt idx="692">
                  <c:v>10.09672257916171</c:v>
                </c:pt>
                <c:pt idx="693">
                  <c:v>9.9561939074470303</c:v>
                </c:pt>
                <c:pt idx="694">
                  <c:v>10.459981792547993</c:v>
                </c:pt>
                <c:pt idx="695">
                  <c:v>10.689989667529026</c:v>
                </c:pt>
                <c:pt idx="696">
                  <c:v>11.12226608000744</c:v>
                </c:pt>
                <c:pt idx="697">
                  <c:v>10.521025016415967</c:v>
                </c:pt>
                <c:pt idx="698">
                  <c:v>10.859430848309048</c:v>
                </c:pt>
                <c:pt idx="699">
                  <c:v>10.73672456932302</c:v>
                </c:pt>
                <c:pt idx="700">
                  <c:v>10.840609225779215</c:v>
                </c:pt>
                <c:pt idx="701">
                  <c:v>10.846316887319416</c:v>
                </c:pt>
                <c:pt idx="702">
                  <c:v>10.819309631033338</c:v>
                </c:pt>
                <c:pt idx="703">
                  <c:v>11.288378638809274</c:v>
                </c:pt>
                <c:pt idx="704">
                  <c:v>11.417382922145766</c:v>
                </c:pt>
                <c:pt idx="705">
                  <c:v>11.358687508919381</c:v>
                </c:pt>
                <c:pt idx="706">
                  <c:v>11.20396603046914</c:v>
                </c:pt>
                <c:pt idx="707">
                  <c:v>11.45700588683478</c:v>
                </c:pt>
                <c:pt idx="708">
                  <c:v>11.163138957475741</c:v>
                </c:pt>
                <c:pt idx="709">
                  <c:v>11.232005548486795</c:v>
                </c:pt>
                <c:pt idx="710">
                  <c:v>11.429656691430335</c:v>
                </c:pt>
                <c:pt idx="711">
                  <c:v>10.38657408928062</c:v>
                </c:pt>
                <c:pt idx="712">
                  <c:v>9.9664550255119391</c:v>
                </c:pt>
                <c:pt idx="713">
                  <c:v>9.4181647982046908</c:v>
                </c:pt>
                <c:pt idx="714">
                  <c:v>10.02557720991866</c:v>
                </c:pt>
                <c:pt idx="715">
                  <c:v>10.458257189792683</c:v>
                </c:pt>
                <c:pt idx="716">
                  <c:v>9.8142943089525687</c:v>
                </c:pt>
                <c:pt idx="717">
                  <c:v>9.4894958813562091</c:v>
                </c:pt>
                <c:pt idx="718">
                  <c:v>9.4457812840226811</c:v>
                </c:pt>
                <c:pt idx="719">
                  <c:v>9.5699939873804425</c:v>
                </c:pt>
                <c:pt idx="720">
                  <c:v>10.002865964711573</c:v>
                </c:pt>
                <c:pt idx="721">
                  <c:v>10.380050725281716</c:v>
                </c:pt>
                <c:pt idx="722">
                  <c:v>9.9461520005375288</c:v>
                </c:pt>
                <c:pt idx="723">
                  <c:v>9.346330015301648</c:v>
                </c:pt>
                <c:pt idx="724">
                  <c:v>9.9190972023342265</c:v>
                </c:pt>
                <c:pt idx="725">
                  <c:v>9.6797793936264309</c:v>
                </c:pt>
                <c:pt idx="726">
                  <c:v>9.2978103221549961</c:v>
                </c:pt>
                <c:pt idx="727">
                  <c:v>9.7834699667233433</c:v>
                </c:pt>
                <c:pt idx="728">
                  <c:v>9.4044516487351881</c:v>
                </c:pt>
                <c:pt idx="729">
                  <c:v>9.5140467429169302</c:v>
                </c:pt>
                <c:pt idx="730">
                  <c:v>9.5605748187279591</c:v>
                </c:pt>
                <c:pt idx="731">
                  <c:v>9.0854050805207738</c:v>
                </c:pt>
                <c:pt idx="732">
                  <c:v>8.9516630382643889</c:v>
                </c:pt>
                <c:pt idx="733">
                  <c:v>8.8648208834766837</c:v>
                </c:pt>
                <c:pt idx="734">
                  <c:v>8.8933931601322698</c:v>
                </c:pt>
                <c:pt idx="735">
                  <c:v>9.328567381469016</c:v>
                </c:pt>
                <c:pt idx="736">
                  <c:v>8.6494612928904893</c:v>
                </c:pt>
                <c:pt idx="737">
                  <c:v>8.2729022442334124</c:v>
                </c:pt>
                <c:pt idx="738">
                  <c:v>8.2005495623697851</c:v>
                </c:pt>
                <c:pt idx="739">
                  <c:v>7.8373673243309518</c:v>
                </c:pt>
                <c:pt idx="740">
                  <c:v>8.3260730493704518</c:v>
                </c:pt>
                <c:pt idx="741">
                  <c:v>8.683866010131041</c:v>
                </c:pt>
                <c:pt idx="742">
                  <c:v>8.6958689665011857</c:v>
                </c:pt>
                <c:pt idx="743">
                  <c:v>8.2128648971855238</c:v>
                </c:pt>
                <c:pt idx="744">
                  <c:v>7.6710893075594155</c:v>
                </c:pt>
                <c:pt idx="745">
                  <c:v>8.0538784361138802</c:v>
                </c:pt>
              </c:numCache>
            </c:numRef>
          </c:yVal>
          <c:smooth val="1"/>
          <c:extLst>
            <c:ext xmlns:c16="http://schemas.microsoft.com/office/drawing/2014/chart" uri="{C3380CC4-5D6E-409C-BE32-E72D297353CC}">
              <c16:uniqueId val="{00000000-A37D-4AC0-AFC3-31B41C129A34}"/>
            </c:ext>
          </c:extLst>
        </c:ser>
        <c:dLbls>
          <c:showLegendKey val="0"/>
          <c:showVal val="0"/>
          <c:showCatName val="0"/>
          <c:showSerName val="0"/>
          <c:showPercent val="0"/>
          <c:showBubbleSize val="0"/>
        </c:dLbls>
        <c:axId val="706266480"/>
        <c:axId val="706838192"/>
      </c:scatterChart>
      <c:valAx>
        <c:axId val="706266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38192"/>
        <c:crosses val="autoZero"/>
        <c:crossBetween val="midCat"/>
      </c:valAx>
      <c:valAx>
        <c:axId val="70683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Exponential_smoothing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664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Exponential smoothing with Algae</a:t>
            </a:r>
            <a:r>
              <a:rPr lang="en-IN" baseline="0"/>
              <a:t> growth  </a:t>
            </a:r>
            <a:endParaRPr lang="en-IN"/>
          </a:p>
        </c:rich>
      </c:tx>
      <c:layout>
        <c:manualLayout>
          <c:xMode val="edge"/>
          <c:yMode val="edge"/>
          <c:x val="2.0387300244727583E-2"/>
          <c:y val="2.63925953480749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'Analyses and solution'!$B$1</c:f>
              <c:strCache>
                <c:ptCount val="1"/>
                <c:pt idx="0">
                  <c:v>Algal Growth</c:v>
                </c:pt>
              </c:strCache>
            </c:strRef>
          </c:tx>
          <c:spPr>
            <a:ln w="19050" cap="rnd">
              <a:solidFill>
                <a:schemeClr val="accent1"/>
              </a:solidFill>
              <a:round/>
            </a:ln>
            <a:effectLst/>
          </c:spPr>
          <c:marker>
            <c:symbol val="none"/>
          </c:marker>
          <c:cat>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cat>
          <c: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val>
          <c:smooth val="1"/>
          <c:extLst>
            <c:ext xmlns:c16="http://schemas.microsoft.com/office/drawing/2014/chart" uri="{C3380CC4-5D6E-409C-BE32-E72D297353CC}">
              <c16:uniqueId val="{00000000-C84C-40EA-9F09-B2A00E3AA167}"/>
            </c:ext>
          </c:extLst>
        </c:ser>
        <c:ser>
          <c:idx val="1"/>
          <c:order val="1"/>
          <c:tx>
            <c:strRef>
              <c:f>'Analyses and solution'!$V$1</c:f>
              <c:strCache>
                <c:ptCount val="1"/>
                <c:pt idx="0">
                  <c:v>Exponential_smoothing(0.1)</c:v>
                </c:pt>
              </c:strCache>
            </c:strRef>
          </c:tx>
          <c:spPr>
            <a:ln w="19050" cap="rnd">
              <a:solidFill>
                <a:schemeClr val="accent2"/>
              </a:solidFill>
              <a:round/>
            </a:ln>
            <a:effectLst/>
          </c:spPr>
          <c:marker>
            <c:symbol val="none"/>
          </c:marker>
          <c:trendline>
            <c:spPr>
              <a:ln w="19050" cap="rnd">
                <a:solidFill>
                  <a:schemeClr val="tx1"/>
                </a:solidFill>
                <a:prstDash val="sysDot"/>
              </a:ln>
              <a:effectLst/>
            </c:spPr>
            <c:trendlineType val="linear"/>
            <c:dispRSqr val="1"/>
            <c:dispEq val="1"/>
            <c:trendlineLbl>
              <c:layout>
                <c:manualLayout>
                  <c:x val="5.1994754893041277E-2"/>
                  <c:y val="-0.204548627551860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cat>
          <c:val>
            <c:numRef>
              <c:f>'Analyses and solution'!$V$2:$V$747</c:f>
              <c:numCache>
                <c:formatCode>General</c:formatCode>
                <c:ptCount val="746"/>
                <c:pt idx="0">
                  <c:v>6.9345063332049524</c:v>
                </c:pt>
                <c:pt idx="1">
                  <c:v>6.9345063332049524</c:v>
                </c:pt>
                <c:pt idx="2">
                  <c:v>7.1008475423938631</c:v>
                </c:pt>
                <c:pt idx="3">
                  <c:v>7.3221367836626108</c:v>
                </c:pt>
                <c:pt idx="4">
                  <c:v>7.2832398745767231</c:v>
                </c:pt>
                <c:pt idx="5">
                  <c:v>7.1434275805619958</c:v>
                </c:pt>
                <c:pt idx="6">
                  <c:v>7.1552969695879245</c:v>
                </c:pt>
                <c:pt idx="7">
                  <c:v>7.188031716736889</c:v>
                </c:pt>
                <c:pt idx="8">
                  <c:v>7.0921012081189909</c:v>
                </c:pt>
                <c:pt idx="9">
                  <c:v>7.2973446566843601</c:v>
                </c:pt>
                <c:pt idx="10">
                  <c:v>7.3672780535810203</c:v>
                </c:pt>
                <c:pt idx="11">
                  <c:v>7.1692293321265765</c:v>
                </c:pt>
                <c:pt idx="12">
                  <c:v>7.16636898512784</c:v>
                </c:pt>
                <c:pt idx="13">
                  <c:v>7.1033849904249804</c:v>
                </c:pt>
                <c:pt idx="14">
                  <c:v>7.0077786353285294</c:v>
                </c:pt>
                <c:pt idx="15">
                  <c:v>7.028098612888023</c:v>
                </c:pt>
                <c:pt idx="16">
                  <c:v>6.8451987728005621</c:v>
                </c:pt>
                <c:pt idx="17">
                  <c:v>6.7706585140334825</c:v>
                </c:pt>
                <c:pt idx="18">
                  <c:v>6.6895500195844164</c:v>
                </c:pt>
                <c:pt idx="19">
                  <c:v>6.632011988811283</c:v>
                </c:pt>
                <c:pt idx="20">
                  <c:v>6.3806749326586623</c:v>
                </c:pt>
                <c:pt idx="21">
                  <c:v>6.3203836171476926</c:v>
                </c:pt>
                <c:pt idx="22">
                  <c:v>6.3935996838784623</c:v>
                </c:pt>
                <c:pt idx="23">
                  <c:v>6.1872216994530564</c:v>
                </c:pt>
                <c:pt idx="24">
                  <c:v>6.0352481675816403</c:v>
                </c:pt>
                <c:pt idx="25">
                  <c:v>5.9067424435034468</c:v>
                </c:pt>
                <c:pt idx="26">
                  <c:v>6.1044217554733322</c:v>
                </c:pt>
                <c:pt idx="27">
                  <c:v>6.2485111758773337</c:v>
                </c:pt>
                <c:pt idx="28">
                  <c:v>6.4119070630357884</c:v>
                </c:pt>
                <c:pt idx="29">
                  <c:v>6.5064682585211635</c:v>
                </c:pt>
                <c:pt idx="30">
                  <c:v>6.5152870812007073</c:v>
                </c:pt>
                <c:pt idx="31">
                  <c:v>6.3396137774760737</c:v>
                </c:pt>
                <c:pt idx="32">
                  <c:v>6.1709420037663882</c:v>
                </c:pt>
                <c:pt idx="33">
                  <c:v>6.1837584888782313</c:v>
                </c:pt>
                <c:pt idx="34">
                  <c:v>6.1344589412382149</c:v>
                </c:pt>
                <c:pt idx="35">
                  <c:v>6.0905226344756729</c:v>
                </c:pt>
                <c:pt idx="36">
                  <c:v>5.9957456892350871</c:v>
                </c:pt>
                <c:pt idx="37">
                  <c:v>5.8141502702607006</c:v>
                </c:pt>
                <c:pt idx="38">
                  <c:v>6.002428116133788</c:v>
                </c:pt>
                <c:pt idx="39">
                  <c:v>5.936071648477605</c:v>
                </c:pt>
                <c:pt idx="40">
                  <c:v>5.9151649083728994</c:v>
                </c:pt>
                <c:pt idx="41">
                  <c:v>6.0079702154634624</c:v>
                </c:pt>
                <c:pt idx="42">
                  <c:v>6.0727240422081001</c:v>
                </c:pt>
                <c:pt idx="43">
                  <c:v>5.9987366944262899</c:v>
                </c:pt>
                <c:pt idx="44">
                  <c:v>5.7319218672739281</c:v>
                </c:pt>
                <c:pt idx="45">
                  <c:v>5.6853524276290957</c:v>
                </c:pt>
                <c:pt idx="46">
                  <c:v>5.5983727961224732</c:v>
                </c:pt>
                <c:pt idx="47">
                  <c:v>5.4619871441902461</c:v>
                </c:pt>
                <c:pt idx="48">
                  <c:v>5.2441081528219318</c:v>
                </c:pt>
                <c:pt idx="49">
                  <c:v>5.2602985075169828</c:v>
                </c:pt>
                <c:pt idx="50">
                  <c:v>5.0301460888377383</c:v>
                </c:pt>
                <c:pt idx="51">
                  <c:v>4.9207072876172155</c:v>
                </c:pt>
                <c:pt idx="52">
                  <c:v>5.1160048349422906</c:v>
                </c:pt>
                <c:pt idx="53">
                  <c:v>4.9974242163255829</c:v>
                </c:pt>
                <c:pt idx="54">
                  <c:v>4.8443985011359016</c:v>
                </c:pt>
                <c:pt idx="55">
                  <c:v>4.8411464608091315</c:v>
                </c:pt>
                <c:pt idx="56">
                  <c:v>4.7784085051136227</c:v>
                </c:pt>
                <c:pt idx="57">
                  <c:v>5.0074143177007722</c:v>
                </c:pt>
                <c:pt idx="58">
                  <c:v>5.2442639807047877</c:v>
                </c:pt>
                <c:pt idx="59">
                  <c:v>5.3223210689952811</c:v>
                </c:pt>
                <c:pt idx="60">
                  <c:v>5.4554059014615817</c:v>
                </c:pt>
                <c:pt idx="61">
                  <c:v>5.6415413997475543</c:v>
                </c:pt>
                <c:pt idx="62">
                  <c:v>5.4774019945596404</c:v>
                </c:pt>
                <c:pt idx="63">
                  <c:v>5.6093821243134316</c:v>
                </c:pt>
                <c:pt idx="64">
                  <c:v>5.6734181389209297</c:v>
                </c:pt>
                <c:pt idx="65">
                  <c:v>5.4397807886660612</c:v>
                </c:pt>
                <c:pt idx="66">
                  <c:v>5.4456340865205322</c:v>
                </c:pt>
                <c:pt idx="67">
                  <c:v>5.3138665990665173</c:v>
                </c:pt>
                <c:pt idx="68">
                  <c:v>5.1405617474185616</c:v>
                </c:pt>
                <c:pt idx="69">
                  <c:v>4.9790101234874493</c:v>
                </c:pt>
                <c:pt idx="70">
                  <c:v>4.7210075186290634</c:v>
                </c:pt>
                <c:pt idx="71">
                  <c:v>4.6548454770340228</c:v>
                </c:pt>
                <c:pt idx="72">
                  <c:v>4.433410496625946</c:v>
                </c:pt>
                <c:pt idx="73">
                  <c:v>4.5173439024205111</c:v>
                </c:pt>
                <c:pt idx="74">
                  <c:v>4.3441477239030952</c:v>
                </c:pt>
                <c:pt idx="75">
                  <c:v>4.4483797000562921</c:v>
                </c:pt>
                <c:pt idx="76">
                  <c:v>4.2924823577234044</c:v>
                </c:pt>
                <c:pt idx="77">
                  <c:v>4.3447717664625012</c:v>
                </c:pt>
                <c:pt idx="78">
                  <c:v>4.4245864882539871</c:v>
                </c:pt>
                <c:pt idx="79">
                  <c:v>4.4125897961950509</c:v>
                </c:pt>
                <c:pt idx="80">
                  <c:v>4.2974574915873669</c:v>
                </c:pt>
                <c:pt idx="81">
                  <c:v>4.4202069374752435</c:v>
                </c:pt>
                <c:pt idx="82">
                  <c:v>4.2861732201278047</c:v>
                </c:pt>
                <c:pt idx="83">
                  <c:v>4.3453082472200455</c:v>
                </c:pt>
                <c:pt idx="84">
                  <c:v>4.4700928908924835</c:v>
                </c:pt>
                <c:pt idx="85">
                  <c:v>4.3853206264297757</c:v>
                </c:pt>
                <c:pt idx="86">
                  <c:v>4.436308940535417</c:v>
                </c:pt>
                <c:pt idx="87">
                  <c:v>4.5028506995770936</c:v>
                </c:pt>
                <c:pt idx="88">
                  <c:v>4.3479971040950858</c:v>
                </c:pt>
                <c:pt idx="89">
                  <c:v>4.2179624347958757</c:v>
                </c:pt>
                <c:pt idx="90">
                  <c:v>4.1222748442262711</c:v>
                </c:pt>
                <c:pt idx="91">
                  <c:v>4.0012259776886641</c:v>
                </c:pt>
                <c:pt idx="92">
                  <c:v>3.8938084206394663</c:v>
                </c:pt>
                <c:pt idx="93">
                  <c:v>4.0698917047532488</c:v>
                </c:pt>
                <c:pt idx="94">
                  <c:v>4.1954344320911376</c:v>
                </c:pt>
                <c:pt idx="95">
                  <c:v>4.3639608759352706</c:v>
                </c:pt>
                <c:pt idx="96">
                  <c:v>4.1225027516437693</c:v>
                </c:pt>
                <c:pt idx="97">
                  <c:v>3.914649412586896</c:v>
                </c:pt>
                <c:pt idx="98">
                  <c:v>3.9271402146092567</c:v>
                </c:pt>
                <c:pt idx="99">
                  <c:v>4.0358966167934831</c:v>
                </c:pt>
                <c:pt idx="100">
                  <c:v>4.0010686388524004</c:v>
                </c:pt>
                <c:pt idx="101">
                  <c:v>3.7679549905163481</c:v>
                </c:pt>
                <c:pt idx="102">
                  <c:v>3.840771784975451</c:v>
                </c:pt>
                <c:pt idx="103">
                  <c:v>3.8118688227169026</c:v>
                </c:pt>
                <c:pt idx="104">
                  <c:v>3.9962021884336907</c:v>
                </c:pt>
                <c:pt idx="105">
                  <c:v>4.097300679604718</c:v>
                </c:pt>
                <c:pt idx="106">
                  <c:v>3.9128609459594554</c:v>
                </c:pt>
                <c:pt idx="107">
                  <c:v>3.9674827011458622</c:v>
                </c:pt>
                <c:pt idx="108">
                  <c:v>4.0754198813818707</c:v>
                </c:pt>
                <c:pt idx="109">
                  <c:v>4.1871542629476197</c:v>
                </c:pt>
                <c:pt idx="110">
                  <c:v>4.176454287823784</c:v>
                </c:pt>
                <c:pt idx="111">
                  <c:v>4.4067330577086343</c:v>
                </c:pt>
                <c:pt idx="112">
                  <c:v>4.3257225351194535</c:v>
                </c:pt>
                <c:pt idx="113">
                  <c:v>4.4130852222695767</c:v>
                </c:pt>
                <c:pt idx="114">
                  <c:v>4.4885915361495154</c:v>
                </c:pt>
                <c:pt idx="115">
                  <c:v>4.6749013905057613</c:v>
                </c:pt>
                <c:pt idx="116">
                  <c:v>4.4727083915050629</c:v>
                </c:pt>
                <c:pt idx="117">
                  <c:v>4.5168473609670272</c:v>
                </c:pt>
                <c:pt idx="118">
                  <c:v>4.5606568442179531</c:v>
                </c:pt>
                <c:pt idx="119">
                  <c:v>4.5447968820999556</c:v>
                </c:pt>
                <c:pt idx="120">
                  <c:v>4.5179148151070354</c:v>
                </c:pt>
                <c:pt idx="121">
                  <c:v>4.2950661274020341</c:v>
                </c:pt>
                <c:pt idx="122">
                  <c:v>4.4202224708390752</c:v>
                </c:pt>
                <c:pt idx="123">
                  <c:v>4.3661974825147754</c:v>
                </c:pt>
                <c:pt idx="124">
                  <c:v>4.1893809721234936</c:v>
                </c:pt>
                <c:pt idx="125">
                  <c:v>4.0035317511441866</c:v>
                </c:pt>
                <c:pt idx="126">
                  <c:v>4.1426785764695255</c:v>
                </c:pt>
                <c:pt idx="127">
                  <c:v>3.9938225966904262</c:v>
                </c:pt>
                <c:pt idx="128">
                  <c:v>4.1146984727946148</c:v>
                </c:pt>
                <c:pt idx="129">
                  <c:v>3.9416823307801749</c:v>
                </c:pt>
                <c:pt idx="130">
                  <c:v>3.9681769659239192</c:v>
                </c:pt>
                <c:pt idx="131">
                  <c:v>3.9168422968164776</c:v>
                </c:pt>
                <c:pt idx="132">
                  <c:v>3.8607721554606935</c:v>
                </c:pt>
                <c:pt idx="133">
                  <c:v>4.0771067140346213</c:v>
                </c:pt>
                <c:pt idx="134">
                  <c:v>4.1201431769809744</c:v>
                </c:pt>
                <c:pt idx="135">
                  <c:v>3.9855436396106936</c:v>
                </c:pt>
                <c:pt idx="136">
                  <c:v>3.9338517130861779</c:v>
                </c:pt>
                <c:pt idx="137">
                  <c:v>4.0908206159532252</c:v>
                </c:pt>
                <c:pt idx="138">
                  <c:v>4.091274977732942</c:v>
                </c:pt>
                <c:pt idx="139">
                  <c:v>4.1449514268735168</c:v>
                </c:pt>
                <c:pt idx="140">
                  <c:v>4.262552784455421</c:v>
                </c:pt>
                <c:pt idx="141">
                  <c:v>4.5036614090938389</c:v>
                </c:pt>
                <c:pt idx="142">
                  <c:v>4.3929854896891305</c:v>
                </c:pt>
                <c:pt idx="143">
                  <c:v>4.5528734337961261</c:v>
                </c:pt>
                <c:pt idx="144">
                  <c:v>4.5761758060230271</c:v>
                </c:pt>
                <c:pt idx="145">
                  <c:v>4.5152346812716804</c:v>
                </c:pt>
                <c:pt idx="146">
                  <c:v>4.6668884908012851</c:v>
                </c:pt>
                <c:pt idx="147">
                  <c:v>4.5518560624793665</c:v>
                </c:pt>
                <c:pt idx="148">
                  <c:v>4.4882905533751405</c:v>
                </c:pt>
                <c:pt idx="149">
                  <c:v>4.4735070709046809</c:v>
                </c:pt>
                <c:pt idx="150">
                  <c:v>4.5283753747859627</c:v>
                </c:pt>
                <c:pt idx="151">
                  <c:v>4.4498466625139992</c:v>
                </c:pt>
                <c:pt idx="152">
                  <c:v>4.6326858655744712</c:v>
                </c:pt>
                <c:pt idx="153">
                  <c:v>4.8316303425402891</c:v>
                </c:pt>
                <c:pt idx="154">
                  <c:v>4.9402040781193017</c:v>
                </c:pt>
                <c:pt idx="155">
                  <c:v>5.0573195029200164</c:v>
                </c:pt>
                <c:pt idx="156">
                  <c:v>5.1440400469345064</c:v>
                </c:pt>
                <c:pt idx="157">
                  <c:v>5.2230291419065402</c:v>
                </c:pt>
                <c:pt idx="158">
                  <c:v>5.3633164421736543</c:v>
                </c:pt>
                <c:pt idx="159">
                  <c:v>5.3777346373388459</c:v>
                </c:pt>
                <c:pt idx="160">
                  <c:v>5.3356842173858201</c:v>
                </c:pt>
                <c:pt idx="161">
                  <c:v>5.2127962400419392</c:v>
                </c:pt>
                <c:pt idx="162">
                  <c:v>5.1003671392897676</c:v>
                </c:pt>
                <c:pt idx="163">
                  <c:v>5.1716076717232449</c:v>
                </c:pt>
                <c:pt idx="164">
                  <c:v>5.2721378214150709</c:v>
                </c:pt>
                <c:pt idx="165">
                  <c:v>5.5156804505378467</c:v>
                </c:pt>
                <c:pt idx="166">
                  <c:v>5.6478500026413245</c:v>
                </c:pt>
                <c:pt idx="167">
                  <c:v>5.6258756929695313</c:v>
                </c:pt>
                <c:pt idx="168">
                  <c:v>5.62586905765842</c:v>
                </c:pt>
                <c:pt idx="169">
                  <c:v>5.5835186558220942</c:v>
                </c:pt>
                <c:pt idx="170">
                  <c:v>5.7186307122430744</c:v>
                </c:pt>
                <c:pt idx="171">
                  <c:v>5.6738204257653999</c:v>
                </c:pt>
                <c:pt idx="172">
                  <c:v>5.7688176768921053</c:v>
                </c:pt>
                <c:pt idx="173">
                  <c:v>5.9973177169673022</c:v>
                </c:pt>
                <c:pt idx="174">
                  <c:v>5.9087855783730365</c:v>
                </c:pt>
                <c:pt idx="175">
                  <c:v>5.8084509497830252</c:v>
                </c:pt>
                <c:pt idx="176">
                  <c:v>5.6425203640286146</c:v>
                </c:pt>
                <c:pt idx="177">
                  <c:v>5.554907482643026</c:v>
                </c:pt>
                <c:pt idx="178">
                  <c:v>5.463280473168119</c:v>
                </c:pt>
                <c:pt idx="179">
                  <c:v>5.6794416680757527</c:v>
                </c:pt>
                <c:pt idx="180">
                  <c:v>5.8062208163973077</c:v>
                </c:pt>
                <c:pt idx="181">
                  <c:v>6.0108516460748058</c:v>
                </c:pt>
                <c:pt idx="182">
                  <c:v>6.1004605477858913</c:v>
                </c:pt>
                <c:pt idx="183">
                  <c:v>6.1900587638053999</c:v>
                </c:pt>
                <c:pt idx="184">
                  <c:v>6.1673133572841383</c:v>
                </c:pt>
                <c:pt idx="185">
                  <c:v>5.9997360549737762</c:v>
                </c:pt>
                <c:pt idx="186">
                  <c:v>6.0177034711609716</c:v>
                </c:pt>
                <c:pt idx="187">
                  <c:v>5.9510324971761506</c:v>
                </c:pt>
                <c:pt idx="188">
                  <c:v>6.0595231264498342</c:v>
                </c:pt>
                <c:pt idx="189">
                  <c:v>6.013580919317441</c:v>
                </c:pt>
                <c:pt idx="190">
                  <c:v>6.1578794481377699</c:v>
                </c:pt>
                <c:pt idx="191">
                  <c:v>6.4286478203189894</c:v>
                </c:pt>
                <c:pt idx="192">
                  <c:v>6.4094441821215078</c:v>
                </c:pt>
                <c:pt idx="193">
                  <c:v>6.6900628945964797</c:v>
                </c:pt>
                <c:pt idx="194">
                  <c:v>6.9301588766698403</c:v>
                </c:pt>
                <c:pt idx="195">
                  <c:v>7.1155612819883984</c:v>
                </c:pt>
                <c:pt idx="196">
                  <c:v>7.2285693625613705</c:v>
                </c:pt>
                <c:pt idx="197">
                  <c:v>7.270286107279083</c:v>
                </c:pt>
                <c:pt idx="198">
                  <c:v>7.4409312800758656</c:v>
                </c:pt>
                <c:pt idx="199">
                  <c:v>7.5518794104028446</c:v>
                </c:pt>
                <c:pt idx="200">
                  <c:v>7.4057912595077475</c:v>
                </c:pt>
                <c:pt idx="201">
                  <c:v>7.2058454622266046</c:v>
                </c:pt>
                <c:pt idx="202">
                  <c:v>7.1795815523011512</c:v>
                </c:pt>
                <c:pt idx="203">
                  <c:v>7.1992937081519672</c:v>
                </c:pt>
                <c:pt idx="204">
                  <c:v>7.2654478046463602</c:v>
                </c:pt>
                <c:pt idx="205">
                  <c:v>7.2396772318521823</c:v>
                </c:pt>
                <c:pt idx="206">
                  <c:v>7.058816113642215</c:v>
                </c:pt>
                <c:pt idx="207">
                  <c:v>7.0544982177256434</c:v>
                </c:pt>
                <c:pt idx="208">
                  <c:v>6.9751936818337024</c:v>
                </c:pt>
                <c:pt idx="209">
                  <c:v>7.2153870446368087</c:v>
                </c:pt>
                <c:pt idx="210">
                  <c:v>7.2419229814679404</c:v>
                </c:pt>
                <c:pt idx="211">
                  <c:v>7.1762144779056456</c:v>
                </c:pt>
                <c:pt idx="212">
                  <c:v>7.3857423947153</c:v>
                </c:pt>
                <c:pt idx="213">
                  <c:v>7.5252230307597445</c:v>
                </c:pt>
                <c:pt idx="214">
                  <c:v>7.704263340257417</c:v>
                </c:pt>
                <c:pt idx="215">
                  <c:v>7.5968486276228777</c:v>
                </c:pt>
                <c:pt idx="216">
                  <c:v>7.6794439504580359</c:v>
                </c:pt>
                <c:pt idx="217">
                  <c:v>7.9066083201761383</c:v>
                </c:pt>
                <c:pt idx="218">
                  <c:v>8.0597467066655213</c:v>
                </c:pt>
                <c:pt idx="219">
                  <c:v>7.9675373436861161</c:v>
                </c:pt>
                <c:pt idx="220">
                  <c:v>8.0915572842468251</c:v>
                </c:pt>
                <c:pt idx="221">
                  <c:v>8.3594485489442931</c:v>
                </c:pt>
                <c:pt idx="222">
                  <c:v>8.5918837718548353</c:v>
                </c:pt>
                <c:pt idx="223">
                  <c:v>8.5583238302188338</c:v>
                </c:pt>
                <c:pt idx="224">
                  <c:v>8.4806816327952639</c:v>
                </c:pt>
                <c:pt idx="225">
                  <c:v>8.6409137439027788</c:v>
                </c:pt>
                <c:pt idx="226">
                  <c:v>8.7501003325551849</c:v>
                </c:pt>
                <c:pt idx="227">
                  <c:v>8.7014718452583324</c:v>
                </c:pt>
                <c:pt idx="228">
                  <c:v>8.8182600419067469</c:v>
                </c:pt>
                <c:pt idx="229">
                  <c:v>8.7276742935042133</c:v>
                </c:pt>
                <c:pt idx="230">
                  <c:v>8.7309415561142707</c:v>
                </c:pt>
                <c:pt idx="231">
                  <c:v>8.5589547735841069</c:v>
                </c:pt>
                <c:pt idx="232">
                  <c:v>8.6654018360190097</c:v>
                </c:pt>
                <c:pt idx="233">
                  <c:v>8.7332226038973246</c:v>
                </c:pt>
                <c:pt idx="234">
                  <c:v>8.8798635485000688</c:v>
                </c:pt>
                <c:pt idx="235">
                  <c:v>8.9546984061449759</c:v>
                </c:pt>
                <c:pt idx="236">
                  <c:v>8.9995333381968248</c:v>
                </c:pt>
                <c:pt idx="237">
                  <c:v>9.127987328242174</c:v>
                </c:pt>
                <c:pt idx="238">
                  <c:v>9.209621169012447</c:v>
                </c:pt>
                <c:pt idx="239">
                  <c:v>9.0627872160392275</c:v>
                </c:pt>
                <c:pt idx="240">
                  <c:v>9.0231534568868899</c:v>
                </c:pt>
                <c:pt idx="241">
                  <c:v>9.0849671366288209</c:v>
                </c:pt>
                <c:pt idx="242">
                  <c:v>8.9483817050117498</c:v>
                </c:pt>
                <c:pt idx="243">
                  <c:v>9.0272945560303253</c:v>
                </c:pt>
                <c:pt idx="244">
                  <c:v>9.2922671736342171</c:v>
                </c:pt>
                <c:pt idx="245">
                  <c:v>9.3699057255433171</c:v>
                </c:pt>
                <c:pt idx="246">
                  <c:v>9.4350424174184688</c:v>
                </c:pt>
                <c:pt idx="247">
                  <c:v>9.5607776781636922</c:v>
                </c:pt>
                <c:pt idx="248">
                  <c:v>9.6233306404807166</c:v>
                </c:pt>
                <c:pt idx="249">
                  <c:v>9.8479789131958064</c:v>
                </c:pt>
                <c:pt idx="250">
                  <c:v>9.8857134969326346</c:v>
                </c:pt>
                <c:pt idx="251">
                  <c:v>9.7008540914068622</c:v>
                </c:pt>
                <c:pt idx="252">
                  <c:v>9.8860909654258435</c:v>
                </c:pt>
                <c:pt idx="253">
                  <c:v>9.8236818966798864</c:v>
                </c:pt>
                <c:pt idx="254">
                  <c:v>9.7265129013224083</c:v>
                </c:pt>
                <c:pt idx="255">
                  <c:v>9.8302006304338843</c:v>
                </c:pt>
                <c:pt idx="256">
                  <c:v>9.6636298669839071</c:v>
                </c:pt>
                <c:pt idx="257">
                  <c:v>9.58233798294747</c:v>
                </c:pt>
                <c:pt idx="258">
                  <c:v>9.7166239935684153</c:v>
                </c:pt>
                <c:pt idx="259">
                  <c:v>9.6588432874247943</c:v>
                </c:pt>
                <c:pt idx="260">
                  <c:v>9.6954719296221921</c:v>
                </c:pt>
                <c:pt idx="261">
                  <c:v>9.7145616763448412</c:v>
                </c:pt>
                <c:pt idx="262">
                  <c:v>9.713715250117767</c:v>
                </c:pt>
                <c:pt idx="263">
                  <c:v>9.5695415810719808</c:v>
                </c:pt>
                <c:pt idx="264">
                  <c:v>9.6003981701880043</c:v>
                </c:pt>
                <c:pt idx="265">
                  <c:v>9.4846597922573075</c:v>
                </c:pt>
                <c:pt idx="266">
                  <c:v>9.690367836217554</c:v>
                </c:pt>
                <c:pt idx="267">
                  <c:v>9.6982065940379982</c:v>
                </c:pt>
                <c:pt idx="268">
                  <c:v>9.9093685201185444</c:v>
                </c:pt>
                <c:pt idx="269">
                  <c:v>9.9043208283996869</c:v>
                </c:pt>
                <c:pt idx="270">
                  <c:v>9.875624408214442</c:v>
                </c:pt>
                <c:pt idx="271">
                  <c:v>10.027412611122369</c:v>
                </c:pt>
                <c:pt idx="272">
                  <c:v>10.206864980954894</c:v>
                </c:pt>
                <c:pt idx="273">
                  <c:v>10.205172371309896</c:v>
                </c:pt>
                <c:pt idx="274">
                  <c:v>10.346954689010198</c:v>
                </c:pt>
                <c:pt idx="275">
                  <c:v>10.527577716702776</c:v>
                </c:pt>
                <c:pt idx="276">
                  <c:v>10.393301814670631</c:v>
                </c:pt>
                <c:pt idx="277">
                  <c:v>10.30487720015258</c:v>
                </c:pt>
                <c:pt idx="278">
                  <c:v>10.402519450687521</c:v>
                </c:pt>
                <c:pt idx="279">
                  <c:v>10.393214222961543</c:v>
                </c:pt>
                <c:pt idx="280">
                  <c:v>10.369124301318601</c:v>
                </c:pt>
                <c:pt idx="281">
                  <c:v>10.515464230673665</c:v>
                </c:pt>
                <c:pt idx="282">
                  <c:v>10.522008209563507</c:v>
                </c:pt>
                <c:pt idx="283">
                  <c:v>10.630185865630393</c:v>
                </c:pt>
                <c:pt idx="284">
                  <c:v>10.747652711230282</c:v>
                </c:pt>
                <c:pt idx="285">
                  <c:v>10.784690314547198</c:v>
                </c:pt>
                <c:pt idx="286">
                  <c:v>10.662385782034033</c:v>
                </c:pt>
                <c:pt idx="287">
                  <c:v>10.629093233634904</c:v>
                </c:pt>
                <c:pt idx="288">
                  <c:v>10.737460496330328</c:v>
                </c:pt>
                <c:pt idx="289">
                  <c:v>10.755994446715061</c:v>
                </c:pt>
                <c:pt idx="290">
                  <c:v>10.727266052531274</c:v>
                </c:pt>
                <c:pt idx="291">
                  <c:v>10.695378069080324</c:v>
                </c:pt>
                <c:pt idx="292">
                  <c:v>10.716391388591909</c:v>
                </c:pt>
                <c:pt idx="293">
                  <c:v>10.580840897913266</c:v>
                </c:pt>
                <c:pt idx="294">
                  <c:v>10.418403357014409</c:v>
                </c:pt>
                <c:pt idx="295">
                  <c:v>10.586502910986557</c:v>
                </c:pt>
                <c:pt idx="296">
                  <c:v>10.658269622670449</c:v>
                </c:pt>
                <c:pt idx="297">
                  <c:v>10.682879620225314</c:v>
                </c:pt>
                <c:pt idx="298">
                  <c:v>10.722282783581672</c:v>
                </c:pt>
                <c:pt idx="299">
                  <c:v>10.638067840673108</c:v>
                </c:pt>
                <c:pt idx="300">
                  <c:v>10.681138967348431</c:v>
                </c:pt>
                <c:pt idx="301">
                  <c:v>10.543955285137848</c:v>
                </c:pt>
                <c:pt idx="302">
                  <c:v>10.583497986991786</c:v>
                </c:pt>
                <c:pt idx="303">
                  <c:v>10.740099290739051</c:v>
                </c:pt>
                <c:pt idx="304">
                  <c:v>10.835468212935645</c:v>
                </c:pt>
                <c:pt idx="305">
                  <c:v>10.773606880097443</c:v>
                </c:pt>
                <c:pt idx="306">
                  <c:v>10.887195835759576</c:v>
                </c:pt>
                <c:pt idx="307">
                  <c:v>10.993445670119808</c:v>
                </c:pt>
                <c:pt idx="308">
                  <c:v>11.055726745217358</c:v>
                </c:pt>
                <c:pt idx="309">
                  <c:v>11.08936157926234</c:v>
                </c:pt>
                <c:pt idx="310">
                  <c:v>10.849982362879201</c:v>
                </c:pt>
                <c:pt idx="311">
                  <c:v>10.645407045271577</c:v>
                </c:pt>
                <c:pt idx="312">
                  <c:v>10.457500296053958</c:v>
                </c:pt>
                <c:pt idx="313">
                  <c:v>10.481847063524636</c:v>
                </c:pt>
                <c:pt idx="314">
                  <c:v>10.289225767662503</c:v>
                </c:pt>
                <c:pt idx="315">
                  <c:v>10.392243248055676</c:v>
                </c:pt>
                <c:pt idx="316">
                  <c:v>10.356172762345462</c:v>
                </c:pt>
                <c:pt idx="317">
                  <c:v>10.166368977287084</c:v>
                </c:pt>
                <c:pt idx="318">
                  <c:v>10.184082229748705</c:v>
                </c:pt>
                <c:pt idx="319">
                  <c:v>10.270002336197626</c:v>
                </c:pt>
                <c:pt idx="320">
                  <c:v>10.096642866085277</c:v>
                </c:pt>
                <c:pt idx="321">
                  <c:v>10.063581466445751</c:v>
                </c:pt>
                <c:pt idx="322">
                  <c:v>9.9621509373784782</c:v>
                </c:pt>
                <c:pt idx="323">
                  <c:v>9.9397487762162378</c:v>
                </c:pt>
                <c:pt idx="324">
                  <c:v>9.8238485018106623</c:v>
                </c:pt>
                <c:pt idx="325">
                  <c:v>9.9312753603776915</c:v>
                </c:pt>
                <c:pt idx="326">
                  <c:v>9.8480375049237967</c:v>
                </c:pt>
                <c:pt idx="327">
                  <c:v>10.034740318398272</c:v>
                </c:pt>
                <c:pt idx="328">
                  <c:v>10.212993708825838</c:v>
                </c:pt>
                <c:pt idx="329">
                  <c:v>10.269251839429266</c:v>
                </c:pt>
                <c:pt idx="330">
                  <c:v>10.331285862678882</c:v>
                </c:pt>
                <c:pt idx="331">
                  <c:v>10.431219831222073</c:v>
                </c:pt>
                <c:pt idx="332">
                  <c:v>10.373513780156417</c:v>
                </c:pt>
                <c:pt idx="333">
                  <c:v>10.43036688954836</c:v>
                </c:pt>
                <c:pt idx="334">
                  <c:v>10.437183739985327</c:v>
                </c:pt>
                <c:pt idx="335">
                  <c:v>10.202694299798933</c:v>
                </c:pt>
                <c:pt idx="336">
                  <c:v>9.9909355426098809</c:v>
                </c:pt>
                <c:pt idx="337">
                  <c:v>10.093677983448851</c:v>
                </c:pt>
                <c:pt idx="338">
                  <c:v>9.9228051192621738</c:v>
                </c:pt>
                <c:pt idx="339">
                  <c:v>9.9508024209906427</c:v>
                </c:pt>
                <c:pt idx="340">
                  <c:v>9.6574702217276247</c:v>
                </c:pt>
                <c:pt idx="341">
                  <c:v>9.618061596116096</c:v>
                </c:pt>
                <c:pt idx="342">
                  <c:v>9.5596797297305294</c:v>
                </c:pt>
                <c:pt idx="343">
                  <c:v>9.667109824590657</c:v>
                </c:pt>
                <c:pt idx="344">
                  <c:v>9.5465541558301297</c:v>
                </c:pt>
                <c:pt idx="345">
                  <c:v>9.6027026124093613</c:v>
                </c:pt>
                <c:pt idx="346">
                  <c:v>9.7016542800760615</c:v>
                </c:pt>
                <c:pt idx="347">
                  <c:v>9.8235830356549521</c:v>
                </c:pt>
                <c:pt idx="348">
                  <c:v>9.7492306299194684</c:v>
                </c:pt>
                <c:pt idx="349">
                  <c:v>9.6248088566302137</c:v>
                </c:pt>
                <c:pt idx="350">
                  <c:v>9.6169261060581039</c:v>
                </c:pt>
                <c:pt idx="351">
                  <c:v>9.5245827976513784</c:v>
                </c:pt>
                <c:pt idx="352">
                  <c:v>9.3905377942654766</c:v>
                </c:pt>
                <c:pt idx="353">
                  <c:v>9.4202349153342304</c:v>
                </c:pt>
                <c:pt idx="354">
                  <c:v>9.6095042490663971</c:v>
                </c:pt>
                <c:pt idx="355">
                  <c:v>9.5443200637365422</c:v>
                </c:pt>
                <c:pt idx="356">
                  <c:v>9.3802623526501598</c:v>
                </c:pt>
                <c:pt idx="357">
                  <c:v>9.4888160052581174</c:v>
                </c:pt>
                <c:pt idx="358">
                  <c:v>9.3844284805817093</c:v>
                </c:pt>
                <c:pt idx="359">
                  <c:v>9.2557163114529057</c:v>
                </c:pt>
                <c:pt idx="360">
                  <c:v>9.0610372898460199</c:v>
                </c:pt>
                <c:pt idx="361">
                  <c:v>9.0042203815878405</c:v>
                </c:pt>
                <c:pt idx="362">
                  <c:v>8.7587193896134412</c:v>
                </c:pt>
                <c:pt idx="363">
                  <c:v>8.5927162508725345</c:v>
                </c:pt>
                <c:pt idx="364">
                  <c:v>8.5299938512187694</c:v>
                </c:pt>
                <c:pt idx="365">
                  <c:v>8.6145779956851634</c:v>
                </c:pt>
                <c:pt idx="366">
                  <c:v>8.5037004731358596</c:v>
                </c:pt>
                <c:pt idx="367">
                  <c:v>8.583883443162712</c:v>
                </c:pt>
                <c:pt idx="368">
                  <c:v>8.3148936916257732</c:v>
                </c:pt>
                <c:pt idx="369">
                  <c:v>8.1908644781723989</c:v>
                </c:pt>
                <c:pt idx="370">
                  <c:v>8.2684532252136798</c:v>
                </c:pt>
                <c:pt idx="371">
                  <c:v>8.0704592361771308</c:v>
                </c:pt>
                <c:pt idx="372">
                  <c:v>7.9028257382360723</c:v>
                </c:pt>
                <c:pt idx="373">
                  <c:v>7.9490502558309171</c:v>
                </c:pt>
                <c:pt idx="374">
                  <c:v>8.0893548341209573</c:v>
                </c:pt>
                <c:pt idx="375">
                  <c:v>8.1477558704546169</c:v>
                </c:pt>
                <c:pt idx="376">
                  <c:v>8.1245586985500857</c:v>
                </c:pt>
                <c:pt idx="377">
                  <c:v>8.0106801526072466</c:v>
                </c:pt>
                <c:pt idx="378">
                  <c:v>8.2075808199734919</c:v>
                </c:pt>
                <c:pt idx="379">
                  <c:v>8.1029613447818072</c:v>
                </c:pt>
                <c:pt idx="380">
                  <c:v>8.3010602130561377</c:v>
                </c:pt>
                <c:pt idx="381">
                  <c:v>8.1091465591383685</c:v>
                </c:pt>
                <c:pt idx="382">
                  <c:v>7.9320300844424949</c:v>
                </c:pt>
                <c:pt idx="383">
                  <c:v>7.7761070234651095</c:v>
                </c:pt>
                <c:pt idx="384">
                  <c:v>7.8796197489317361</c:v>
                </c:pt>
                <c:pt idx="385">
                  <c:v>7.987426796053172</c:v>
                </c:pt>
                <c:pt idx="386">
                  <c:v>7.7473756119929584</c:v>
                </c:pt>
                <c:pt idx="387">
                  <c:v>7.5230338198963729</c:v>
                </c:pt>
                <c:pt idx="388">
                  <c:v>7.6170697893175445</c:v>
                </c:pt>
                <c:pt idx="389">
                  <c:v>7.6056143845482254</c:v>
                </c:pt>
                <c:pt idx="390">
                  <c:v>7.3853061727471632</c:v>
                </c:pt>
                <c:pt idx="391">
                  <c:v>7.1344522335612357</c:v>
                </c:pt>
                <c:pt idx="392">
                  <c:v>7.1009865648820734</c:v>
                </c:pt>
                <c:pt idx="393">
                  <c:v>7.1276343645918248</c:v>
                </c:pt>
                <c:pt idx="394">
                  <c:v>7.1124621342699648</c:v>
                </c:pt>
                <c:pt idx="395">
                  <c:v>6.8535145125407713</c:v>
                </c:pt>
                <c:pt idx="396">
                  <c:v>6.7530284170719623</c:v>
                </c:pt>
                <c:pt idx="397">
                  <c:v>6.9012005021860583</c:v>
                </c:pt>
                <c:pt idx="398">
                  <c:v>6.948045695329883</c:v>
                </c:pt>
                <c:pt idx="399">
                  <c:v>6.8280524395377968</c:v>
                </c:pt>
                <c:pt idx="400">
                  <c:v>6.763774957340325</c:v>
                </c:pt>
                <c:pt idx="401">
                  <c:v>6.6692072654006012</c:v>
                </c:pt>
                <c:pt idx="402">
                  <c:v>6.7109013544291827</c:v>
                </c:pt>
                <c:pt idx="403">
                  <c:v>6.918983904252987</c:v>
                </c:pt>
                <c:pt idx="404">
                  <c:v>6.8315734534395833</c:v>
                </c:pt>
                <c:pt idx="405">
                  <c:v>7.003019084277784</c:v>
                </c:pt>
                <c:pt idx="406">
                  <c:v>7.0286215716315459</c:v>
                </c:pt>
                <c:pt idx="407">
                  <c:v>6.9883280233815945</c:v>
                </c:pt>
                <c:pt idx="408">
                  <c:v>7.1033244288035684</c:v>
                </c:pt>
                <c:pt idx="409">
                  <c:v>6.8955241699118401</c:v>
                </c:pt>
                <c:pt idx="410">
                  <c:v>6.7584428695329377</c:v>
                </c:pt>
                <c:pt idx="411">
                  <c:v>6.592690158032533</c:v>
                </c:pt>
                <c:pt idx="412">
                  <c:v>6.7554365114405099</c:v>
                </c:pt>
                <c:pt idx="413">
                  <c:v>6.5610128333912492</c:v>
                </c:pt>
                <c:pt idx="414">
                  <c:v>6.6067161508215086</c:v>
                </c:pt>
                <c:pt idx="415">
                  <c:v>6.7102839480368948</c:v>
                </c:pt>
                <c:pt idx="416">
                  <c:v>6.4841950758844291</c:v>
                </c:pt>
                <c:pt idx="417">
                  <c:v>6.3444198370403377</c:v>
                </c:pt>
                <c:pt idx="418">
                  <c:v>6.2962583056647707</c:v>
                </c:pt>
                <c:pt idx="419">
                  <c:v>6.1422293059021653</c:v>
                </c:pt>
                <c:pt idx="420">
                  <c:v>6.1179987627433929</c:v>
                </c:pt>
                <c:pt idx="421">
                  <c:v>6.0182655397025497</c:v>
                </c:pt>
                <c:pt idx="422">
                  <c:v>6.0752262623397595</c:v>
                </c:pt>
                <c:pt idx="423">
                  <c:v>5.8746926721295933</c:v>
                </c:pt>
                <c:pt idx="424">
                  <c:v>5.7274759989403723</c:v>
                </c:pt>
                <c:pt idx="425">
                  <c:v>5.6783137859374264</c:v>
                </c:pt>
                <c:pt idx="426">
                  <c:v>5.493760049597415</c:v>
                </c:pt>
                <c:pt idx="427">
                  <c:v>5.4829555150813167</c:v>
                </c:pt>
                <c:pt idx="428">
                  <c:v>5.5797039735593152</c:v>
                </c:pt>
                <c:pt idx="429">
                  <c:v>5.434067289905772</c:v>
                </c:pt>
                <c:pt idx="430">
                  <c:v>5.5756080758683337</c:v>
                </c:pt>
                <c:pt idx="431">
                  <c:v>5.5193583377455226</c:v>
                </c:pt>
                <c:pt idx="432">
                  <c:v>5.6192004799830713</c:v>
                </c:pt>
                <c:pt idx="433">
                  <c:v>5.8126986480655018</c:v>
                </c:pt>
                <c:pt idx="434">
                  <c:v>5.9236044884007217</c:v>
                </c:pt>
                <c:pt idx="435">
                  <c:v>5.7843681685893147</c:v>
                </c:pt>
                <c:pt idx="436">
                  <c:v>5.7926388561377955</c:v>
                </c:pt>
                <c:pt idx="437">
                  <c:v>5.8108003289589583</c:v>
                </c:pt>
                <c:pt idx="438">
                  <c:v>5.9676771244488878</c:v>
                </c:pt>
                <c:pt idx="439">
                  <c:v>5.7072513224031409</c:v>
                </c:pt>
                <c:pt idx="440">
                  <c:v>5.5045878046393</c:v>
                </c:pt>
                <c:pt idx="441">
                  <c:v>5.633162710824636</c:v>
                </c:pt>
                <c:pt idx="442">
                  <c:v>5.4900788207560236</c:v>
                </c:pt>
                <c:pt idx="443">
                  <c:v>5.337164487766513</c:v>
                </c:pt>
                <c:pt idx="444">
                  <c:v>5.1340121312292695</c:v>
                </c:pt>
                <c:pt idx="445">
                  <c:v>4.9312623317467503</c:v>
                </c:pt>
                <c:pt idx="446">
                  <c:v>4.7261275937122669</c:v>
                </c:pt>
                <c:pt idx="447">
                  <c:v>4.7828549642798945</c:v>
                </c:pt>
                <c:pt idx="448">
                  <c:v>4.9116853381488141</c:v>
                </c:pt>
                <c:pt idx="449">
                  <c:v>4.8601709701670099</c:v>
                </c:pt>
                <c:pt idx="450">
                  <c:v>4.6841056515189079</c:v>
                </c:pt>
                <c:pt idx="451">
                  <c:v>4.5698852661244294</c:v>
                </c:pt>
                <c:pt idx="452">
                  <c:v>4.6907262118173847</c:v>
                </c:pt>
                <c:pt idx="453">
                  <c:v>4.7210852686751279</c:v>
                </c:pt>
                <c:pt idx="454">
                  <c:v>4.6295988356838</c:v>
                </c:pt>
                <c:pt idx="455">
                  <c:v>4.5528045225445108</c:v>
                </c:pt>
                <c:pt idx="456">
                  <c:v>4.7478872370764638</c:v>
                </c:pt>
                <c:pt idx="457">
                  <c:v>4.599988009512308</c:v>
                </c:pt>
                <c:pt idx="458">
                  <c:v>4.8334168686020096</c:v>
                </c:pt>
                <c:pt idx="459">
                  <c:v>4.8375675591689005</c:v>
                </c:pt>
                <c:pt idx="460">
                  <c:v>5.0055289648367225</c:v>
                </c:pt>
                <c:pt idx="461">
                  <c:v>5.0072548876007676</c:v>
                </c:pt>
                <c:pt idx="462">
                  <c:v>5.1231667500025848</c:v>
                </c:pt>
                <c:pt idx="463">
                  <c:v>5.0296995566217459</c:v>
                </c:pt>
                <c:pt idx="464">
                  <c:v>4.8464464596885559</c:v>
                </c:pt>
                <c:pt idx="465">
                  <c:v>4.8571653508495611</c:v>
                </c:pt>
                <c:pt idx="466">
                  <c:v>5.0201688995153164</c:v>
                </c:pt>
                <c:pt idx="467">
                  <c:v>4.9108625948280888</c:v>
                </c:pt>
                <c:pt idx="468">
                  <c:v>5.0741859677830234</c:v>
                </c:pt>
                <c:pt idx="469">
                  <c:v>5.0204612573737446</c:v>
                </c:pt>
                <c:pt idx="470">
                  <c:v>5.0320434846076196</c:v>
                </c:pt>
                <c:pt idx="471">
                  <c:v>5.13124714103611</c:v>
                </c:pt>
                <c:pt idx="472">
                  <c:v>4.9535835329461761</c:v>
                </c:pt>
                <c:pt idx="473">
                  <c:v>4.6783952848098904</c:v>
                </c:pt>
                <c:pt idx="474">
                  <c:v>4.7865714001095432</c:v>
                </c:pt>
                <c:pt idx="475">
                  <c:v>4.7412205729636661</c:v>
                </c:pt>
                <c:pt idx="476">
                  <c:v>4.5207474133415779</c:v>
                </c:pt>
                <c:pt idx="477">
                  <c:v>4.5651994680475259</c:v>
                </c:pt>
                <c:pt idx="478">
                  <c:v>4.7419714289547636</c:v>
                </c:pt>
                <c:pt idx="479">
                  <c:v>4.8008656343489244</c:v>
                </c:pt>
                <c:pt idx="480">
                  <c:v>4.8056920988001099</c:v>
                </c:pt>
                <c:pt idx="481">
                  <c:v>4.9687996679873105</c:v>
                </c:pt>
                <c:pt idx="482">
                  <c:v>4.8913281398627397</c:v>
                </c:pt>
                <c:pt idx="483">
                  <c:v>5.050883549263693</c:v>
                </c:pt>
                <c:pt idx="484">
                  <c:v>4.9801186919065312</c:v>
                </c:pt>
                <c:pt idx="485">
                  <c:v>5.0874029976762367</c:v>
                </c:pt>
                <c:pt idx="486">
                  <c:v>4.9500195913566163</c:v>
                </c:pt>
                <c:pt idx="487">
                  <c:v>5.1115614784743402</c:v>
                </c:pt>
                <c:pt idx="488">
                  <c:v>5.2983005093626883</c:v>
                </c:pt>
                <c:pt idx="489">
                  <c:v>5.3879951631349901</c:v>
                </c:pt>
                <c:pt idx="490">
                  <c:v>5.377954850594949</c:v>
                </c:pt>
                <c:pt idx="491">
                  <c:v>5.3356509621741175</c:v>
                </c:pt>
                <c:pt idx="492">
                  <c:v>5.2658837977107327</c:v>
                </c:pt>
                <c:pt idx="493">
                  <c:v>5.1628920852990223</c:v>
                </c:pt>
                <c:pt idx="494">
                  <c:v>4.9536339105358334</c:v>
                </c:pt>
                <c:pt idx="495">
                  <c:v>4.9855649982148549</c:v>
                </c:pt>
                <c:pt idx="496">
                  <c:v>5.0876958803584493</c:v>
                </c:pt>
                <c:pt idx="497">
                  <c:v>5.0920776457147419</c:v>
                </c:pt>
                <c:pt idx="498">
                  <c:v>4.8806990467203919</c:v>
                </c:pt>
                <c:pt idx="499">
                  <c:v>5.0232052015930924</c:v>
                </c:pt>
                <c:pt idx="500">
                  <c:v>5.1048737078832129</c:v>
                </c:pt>
                <c:pt idx="501">
                  <c:v>4.9825189643008514</c:v>
                </c:pt>
                <c:pt idx="502">
                  <c:v>4.7710522764090459</c:v>
                </c:pt>
                <c:pt idx="503">
                  <c:v>4.6947543332785315</c:v>
                </c:pt>
                <c:pt idx="504">
                  <c:v>4.8905484250814579</c:v>
                </c:pt>
                <c:pt idx="505">
                  <c:v>4.722133788344693</c:v>
                </c:pt>
                <c:pt idx="506">
                  <c:v>4.8470710385810127</c:v>
                </c:pt>
                <c:pt idx="507">
                  <c:v>4.751985327555011</c:v>
                </c:pt>
                <c:pt idx="508">
                  <c:v>4.9781903062715385</c:v>
                </c:pt>
                <c:pt idx="509">
                  <c:v>5.0353512572314729</c:v>
                </c:pt>
                <c:pt idx="510">
                  <c:v>5.2680861203105636</c:v>
                </c:pt>
                <c:pt idx="511">
                  <c:v>5.2356729288974533</c:v>
                </c:pt>
                <c:pt idx="512">
                  <c:v>5.2730230944010499</c:v>
                </c:pt>
                <c:pt idx="513">
                  <c:v>5.3430376540282429</c:v>
                </c:pt>
                <c:pt idx="514">
                  <c:v>5.2248786240974425</c:v>
                </c:pt>
                <c:pt idx="515">
                  <c:v>5.4339803690053596</c:v>
                </c:pt>
                <c:pt idx="516">
                  <c:v>5.4703367602282631</c:v>
                </c:pt>
                <c:pt idx="517">
                  <c:v>5.6280850982552275</c:v>
                </c:pt>
                <c:pt idx="518">
                  <c:v>5.54668108777655</c:v>
                </c:pt>
                <c:pt idx="519">
                  <c:v>5.6214019245557356</c:v>
                </c:pt>
                <c:pt idx="520">
                  <c:v>5.6493958724926605</c:v>
                </c:pt>
                <c:pt idx="521">
                  <c:v>5.7065736762187438</c:v>
                </c:pt>
                <c:pt idx="522">
                  <c:v>5.7104457084565681</c:v>
                </c:pt>
                <c:pt idx="523">
                  <c:v>5.5877793146711285</c:v>
                </c:pt>
                <c:pt idx="524">
                  <c:v>5.4105272332395415</c:v>
                </c:pt>
                <c:pt idx="525">
                  <c:v>5.2752872633917089</c:v>
                </c:pt>
                <c:pt idx="526">
                  <c:v>5.1172163189470874</c:v>
                </c:pt>
                <c:pt idx="527">
                  <c:v>5.2787705404023608</c:v>
                </c:pt>
                <c:pt idx="528">
                  <c:v>5.3126651728913599</c:v>
                </c:pt>
                <c:pt idx="529">
                  <c:v>5.2742296697838693</c:v>
                </c:pt>
                <c:pt idx="530">
                  <c:v>5.4261154652081034</c:v>
                </c:pt>
                <c:pt idx="531">
                  <c:v>5.4720183070402841</c:v>
                </c:pt>
                <c:pt idx="532">
                  <c:v>5.458261399457899</c:v>
                </c:pt>
                <c:pt idx="533">
                  <c:v>5.5782330233093163</c:v>
                </c:pt>
                <c:pt idx="534">
                  <c:v>5.6877222947072985</c:v>
                </c:pt>
                <c:pt idx="535">
                  <c:v>5.6253126284543455</c:v>
                </c:pt>
                <c:pt idx="536">
                  <c:v>5.7011061561551397</c:v>
                </c:pt>
                <c:pt idx="537">
                  <c:v>5.9183602546075784</c:v>
                </c:pt>
                <c:pt idx="538">
                  <c:v>6.0081601896821066</c:v>
                </c:pt>
                <c:pt idx="539">
                  <c:v>6.1164757178230822</c:v>
                </c:pt>
                <c:pt idx="540">
                  <c:v>6.2416102087770708</c:v>
                </c:pt>
                <c:pt idx="541">
                  <c:v>6.4807556991585615</c:v>
                </c:pt>
                <c:pt idx="542">
                  <c:v>6.6938165696810001</c:v>
                </c:pt>
                <c:pt idx="543">
                  <c:v>6.8427261065255918</c:v>
                </c:pt>
                <c:pt idx="544">
                  <c:v>6.8178090900542285</c:v>
                </c:pt>
                <c:pt idx="545">
                  <c:v>6.9614392662870976</c:v>
                </c:pt>
                <c:pt idx="546">
                  <c:v>7.0050508951221637</c:v>
                </c:pt>
                <c:pt idx="547">
                  <c:v>6.9934649850173836</c:v>
                </c:pt>
                <c:pt idx="548">
                  <c:v>6.8041482510187974</c:v>
                </c:pt>
                <c:pt idx="549">
                  <c:v>6.7005260148601655</c:v>
                </c:pt>
                <c:pt idx="550">
                  <c:v>6.7311405879819475</c:v>
                </c:pt>
                <c:pt idx="551">
                  <c:v>6.5345840376709461</c:v>
                </c:pt>
                <c:pt idx="552">
                  <c:v>6.4476421715719798</c:v>
                </c:pt>
                <c:pt idx="553">
                  <c:v>6.5602376965359577</c:v>
                </c:pt>
                <c:pt idx="554">
                  <c:v>6.4027325333615037</c:v>
                </c:pt>
                <c:pt idx="555">
                  <c:v>6.458757048310237</c:v>
                </c:pt>
                <c:pt idx="556">
                  <c:v>6.6740568768552633</c:v>
                </c:pt>
                <c:pt idx="557">
                  <c:v>6.5707332343520974</c:v>
                </c:pt>
                <c:pt idx="558">
                  <c:v>6.6113215618055374</c:v>
                </c:pt>
                <c:pt idx="559">
                  <c:v>6.7280886964896887</c:v>
                </c:pt>
                <c:pt idx="560">
                  <c:v>6.6302276925996191</c:v>
                </c:pt>
                <c:pt idx="561">
                  <c:v>6.8861509044805898</c:v>
                </c:pt>
                <c:pt idx="562">
                  <c:v>6.9157382124157936</c:v>
                </c:pt>
                <c:pt idx="563">
                  <c:v>6.8812381971350431</c:v>
                </c:pt>
                <c:pt idx="564">
                  <c:v>6.8354093008345078</c:v>
                </c:pt>
                <c:pt idx="565">
                  <c:v>6.8747013765139116</c:v>
                </c:pt>
                <c:pt idx="566">
                  <c:v>7.1521692331526232</c:v>
                </c:pt>
                <c:pt idx="567">
                  <c:v>7.1796349222509193</c:v>
                </c:pt>
                <c:pt idx="568">
                  <c:v>7.3191960986481188</c:v>
                </c:pt>
                <c:pt idx="569">
                  <c:v>7.3411157551663129</c:v>
                </c:pt>
                <c:pt idx="570">
                  <c:v>7.3302652700635402</c:v>
                </c:pt>
                <c:pt idx="571">
                  <c:v>7.3219517951746562</c:v>
                </c:pt>
                <c:pt idx="572">
                  <c:v>7.5677815938557913</c:v>
                </c:pt>
                <c:pt idx="573">
                  <c:v>7.5657508058291754</c:v>
                </c:pt>
                <c:pt idx="574">
                  <c:v>7.5963805102108246</c:v>
                </c:pt>
                <c:pt idx="575">
                  <c:v>7.8448692938236473</c:v>
                </c:pt>
                <c:pt idx="576">
                  <c:v>7.7842006005978099</c:v>
                </c:pt>
                <c:pt idx="577">
                  <c:v>7.6618368046615011</c:v>
                </c:pt>
                <c:pt idx="578">
                  <c:v>7.6280336150177872</c:v>
                </c:pt>
                <c:pt idx="579">
                  <c:v>7.681357793301312</c:v>
                </c:pt>
                <c:pt idx="580">
                  <c:v>7.7508119866343508</c:v>
                </c:pt>
                <c:pt idx="581">
                  <c:v>7.8389953561970396</c:v>
                </c:pt>
                <c:pt idx="582">
                  <c:v>7.8216492485576676</c:v>
                </c:pt>
                <c:pt idx="583">
                  <c:v>8.0122670023117024</c:v>
                </c:pt>
                <c:pt idx="584">
                  <c:v>8.1526036870178622</c:v>
                </c:pt>
                <c:pt idx="585">
                  <c:v>8.1591066927431797</c:v>
                </c:pt>
                <c:pt idx="586">
                  <c:v>8.277310127695289</c:v>
                </c:pt>
                <c:pt idx="587">
                  <c:v>8.192249202748485</c:v>
                </c:pt>
                <c:pt idx="588">
                  <c:v>8.3152888256290112</c:v>
                </c:pt>
                <c:pt idx="589">
                  <c:v>8.3988698550193757</c:v>
                </c:pt>
                <c:pt idx="590">
                  <c:v>8.5151565868689403</c:v>
                </c:pt>
                <c:pt idx="591">
                  <c:v>8.5716349370429921</c:v>
                </c:pt>
                <c:pt idx="592">
                  <c:v>8.8151458450638831</c:v>
                </c:pt>
                <c:pt idx="593">
                  <c:v>9.0403670175547894</c:v>
                </c:pt>
                <c:pt idx="594">
                  <c:v>9.2386143852807354</c:v>
                </c:pt>
                <c:pt idx="595">
                  <c:v>9.1773928669484555</c:v>
                </c:pt>
                <c:pt idx="596">
                  <c:v>9.375049880106463</c:v>
                </c:pt>
                <c:pt idx="597">
                  <c:v>9.3156663692412085</c:v>
                </c:pt>
                <c:pt idx="598">
                  <c:v>9.5270519757778924</c:v>
                </c:pt>
                <c:pt idx="599">
                  <c:v>9.7360421434931155</c:v>
                </c:pt>
                <c:pt idx="600">
                  <c:v>9.6341739990640995</c:v>
                </c:pt>
                <c:pt idx="601">
                  <c:v>9.4784040872750488</c:v>
                </c:pt>
                <c:pt idx="602">
                  <c:v>9.3897703039514528</c:v>
                </c:pt>
                <c:pt idx="603">
                  <c:v>9.5582383025662079</c:v>
                </c:pt>
                <c:pt idx="604">
                  <c:v>9.5468754549183519</c:v>
                </c:pt>
                <c:pt idx="605">
                  <c:v>9.5509643323602589</c:v>
                </c:pt>
                <c:pt idx="606">
                  <c:v>9.7118497735861595</c:v>
                </c:pt>
                <c:pt idx="607">
                  <c:v>9.522238943934914</c:v>
                </c:pt>
                <c:pt idx="608">
                  <c:v>9.655759091757556</c:v>
                </c:pt>
                <c:pt idx="609">
                  <c:v>9.7617374720964989</c:v>
                </c:pt>
                <c:pt idx="610">
                  <c:v>9.9006837216202364</c:v>
                </c:pt>
                <c:pt idx="611">
                  <c:v>9.902547914980028</c:v>
                </c:pt>
                <c:pt idx="612">
                  <c:v>9.7614012581588145</c:v>
                </c:pt>
                <c:pt idx="613">
                  <c:v>9.6199789327092233</c:v>
                </c:pt>
                <c:pt idx="614">
                  <c:v>9.79759488812938</c:v>
                </c:pt>
                <c:pt idx="615">
                  <c:v>9.8794936097169757</c:v>
                </c:pt>
                <c:pt idx="616">
                  <c:v>10.116212767831803</c:v>
                </c:pt>
                <c:pt idx="617">
                  <c:v>10.086680512380306</c:v>
                </c:pt>
                <c:pt idx="618">
                  <c:v>10.080550443710653</c:v>
                </c:pt>
                <c:pt idx="619">
                  <c:v>10.287147008887633</c:v>
                </c:pt>
                <c:pt idx="620">
                  <c:v>10.492357680323796</c:v>
                </c:pt>
                <c:pt idx="621">
                  <c:v>10.509398054364164</c:v>
                </c:pt>
                <c:pt idx="622">
                  <c:v>10.692068335673174</c:v>
                </c:pt>
                <c:pt idx="623">
                  <c:v>10.615485263303663</c:v>
                </c:pt>
                <c:pt idx="624">
                  <c:v>10.772588073908281</c:v>
                </c:pt>
                <c:pt idx="625">
                  <c:v>10.605270633937636</c:v>
                </c:pt>
                <c:pt idx="626">
                  <c:v>10.569332077435826</c:v>
                </c:pt>
                <c:pt idx="627">
                  <c:v>10.46537211292963</c:v>
                </c:pt>
                <c:pt idx="628">
                  <c:v>10.275581713115098</c:v>
                </c:pt>
                <c:pt idx="629">
                  <c:v>10.348435693554306</c:v>
                </c:pt>
                <c:pt idx="630">
                  <c:v>10.49021315423404</c:v>
                </c:pt>
                <c:pt idx="631">
                  <c:v>10.648268012418686</c:v>
                </c:pt>
                <c:pt idx="632">
                  <c:v>10.6078294131629</c:v>
                </c:pt>
                <c:pt idx="633">
                  <c:v>10.393280127860374</c:v>
                </c:pt>
                <c:pt idx="634">
                  <c:v>10.548906565284812</c:v>
                </c:pt>
                <c:pt idx="635">
                  <c:v>10.537842891511968</c:v>
                </c:pt>
                <c:pt idx="636">
                  <c:v>10.361812178743815</c:v>
                </c:pt>
                <c:pt idx="637">
                  <c:v>10.291644197231065</c:v>
                </c:pt>
                <c:pt idx="638">
                  <c:v>10.421483397911951</c:v>
                </c:pt>
                <c:pt idx="639">
                  <c:v>10.375437241361311</c:v>
                </c:pt>
                <c:pt idx="640">
                  <c:v>10.218728013442218</c:v>
                </c:pt>
                <c:pt idx="641">
                  <c:v>10.377967151418614</c:v>
                </c:pt>
                <c:pt idx="642">
                  <c:v>10.369520274162117</c:v>
                </c:pt>
                <c:pt idx="643">
                  <c:v>10.531555385798363</c:v>
                </c:pt>
                <c:pt idx="644">
                  <c:v>10.41587278643453</c:v>
                </c:pt>
                <c:pt idx="645">
                  <c:v>10.660798179781869</c:v>
                </c:pt>
                <c:pt idx="646">
                  <c:v>10.793690899003405</c:v>
                </c:pt>
                <c:pt idx="647">
                  <c:v>10.837642255281981</c:v>
                </c:pt>
                <c:pt idx="648">
                  <c:v>10.952643415552593</c:v>
                </c:pt>
                <c:pt idx="649">
                  <c:v>11.162974673956104</c:v>
                </c:pt>
                <c:pt idx="650">
                  <c:v>11.384838376323913</c:v>
                </c:pt>
                <c:pt idx="651">
                  <c:v>11.212369180778113</c:v>
                </c:pt>
                <c:pt idx="652">
                  <c:v>11.11171585739881</c:v>
                </c:pt>
                <c:pt idx="653">
                  <c:v>11.231337404082193</c:v>
                </c:pt>
                <c:pt idx="654">
                  <c:v>11.024040151176859</c:v>
                </c:pt>
                <c:pt idx="655">
                  <c:v>11.041572372355128</c:v>
                </c:pt>
                <c:pt idx="656">
                  <c:v>10.898721389401938</c:v>
                </c:pt>
                <c:pt idx="657">
                  <c:v>10.727249482095221</c:v>
                </c:pt>
                <c:pt idx="658">
                  <c:v>10.744582536446648</c:v>
                </c:pt>
                <c:pt idx="659">
                  <c:v>10.633246239755527</c:v>
                </c:pt>
                <c:pt idx="660">
                  <c:v>10.540846235680261</c:v>
                </c:pt>
                <c:pt idx="661">
                  <c:v>10.63317152272991</c:v>
                </c:pt>
                <c:pt idx="662">
                  <c:v>10.485394157400055</c:v>
                </c:pt>
                <c:pt idx="663">
                  <c:v>10.451035358218375</c:v>
                </c:pt>
                <c:pt idx="664">
                  <c:v>10.446359038801038</c:v>
                </c:pt>
                <c:pt idx="665">
                  <c:v>10.618654385304762</c:v>
                </c:pt>
                <c:pt idx="666">
                  <c:v>10.657310520190945</c:v>
                </c:pt>
                <c:pt idx="667">
                  <c:v>10.608542468040079</c:v>
                </c:pt>
                <c:pt idx="668">
                  <c:v>10.772685416139293</c:v>
                </c:pt>
                <c:pt idx="669">
                  <c:v>10.71620229084707</c:v>
                </c:pt>
                <c:pt idx="670">
                  <c:v>10.846898040391105</c:v>
                </c:pt>
                <c:pt idx="671">
                  <c:v>10.801204875303753</c:v>
                </c:pt>
                <c:pt idx="672">
                  <c:v>11.056715945925049</c:v>
                </c:pt>
                <c:pt idx="673">
                  <c:v>11.257953011701176</c:v>
                </c:pt>
                <c:pt idx="674">
                  <c:v>11.101296761026777</c:v>
                </c:pt>
                <c:pt idx="675">
                  <c:v>11.315024945528025</c:v>
                </c:pt>
                <c:pt idx="676">
                  <c:v>11.494360353023291</c:v>
                </c:pt>
                <c:pt idx="677">
                  <c:v>11.368521613664718</c:v>
                </c:pt>
                <c:pt idx="678">
                  <c:v>11.244354546516904</c:v>
                </c:pt>
                <c:pt idx="679">
                  <c:v>11.339915855470167</c:v>
                </c:pt>
                <c:pt idx="680">
                  <c:v>11.325501225200304</c:v>
                </c:pt>
                <c:pt idx="681">
                  <c:v>11.085811705838687</c:v>
                </c:pt>
                <c:pt idx="682">
                  <c:v>11.248915805774228</c:v>
                </c:pt>
                <c:pt idx="683">
                  <c:v>11.377190665204731</c:v>
                </c:pt>
                <c:pt idx="684">
                  <c:v>11.409501050786547</c:v>
                </c:pt>
                <c:pt idx="685">
                  <c:v>11.403946585478829</c:v>
                </c:pt>
                <c:pt idx="686">
                  <c:v>11.155939582791991</c:v>
                </c:pt>
                <c:pt idx="687">
                  <c:v>10.921967618668686</c:v>
                </c:pt>
                <c:pt idx="688">
                  <c:v>10.999618669047747</c:v>
                </c:pt>
                <c:pt idx="689">
                  <c:v>11.064240988825482</c:v>
                </c:pt>
                <c:pt idx="690">
                  <c:v>10.877867792063874</c:v>
                </c:pt>
                <c:pt idx="691">
                  <c:v>10.656627157956796</c:v>
                </c:pt>
                <c:pt idx="692">
                  <c:v>10.647880216832137</c:v>
                </c:pt>
                <c:pt idx="693">
                  <c:v>10.545921562493534</c:v>
                </c:pt>
                <c:pt idx="694">
                  <c:v>10.654878092022537</c:v>
                </c:pt>
                <c:pt idx="695">
                  <c:v>10.712057753735428</c:v>
                </c:pt>
                <c:pt idx="696">
                  <c:v>10.853943082607593</c:v>
                </c:pt>
                <c:pt idx="697">
                  <c:v>10.680361694483754</c:v>
                </c:pt>
                <c:pt idx="698">
                  <c:v>10.777229970641335</c:v>
                </c:pt>
                <c:pt idx="699">
                  <c:v>10.744547965412764</c:v>
                </c:pt>
                <c:pt idx="700">
                  <c:v>10.778393844622521</c:v>
                </c:pt>
                <c:pt idx="701">
                  <c:v>10.786517936584923</c:v>
                </c:pt>
                <c:pt idx="702">
                  <c:v>10.783495412896347</c:v>
                </c:pt>
                <c:pt idx="703">
                  <c:v>10.943433170635357</c:v>
                </c:pt>
                <c:pt idx="704">
                  <c:v>11.02092914523158</c:v>
                </c:pt>
                <c:pt idx="705">
                  <c:v>11.041009385180871</c:v>
                </c:pt>
                <c:pt idx="706">
                  <c:v>11.021203371404642</c:v>
                </c:pt>
                <c:pt idx="707">
                  <c:v>11.123826256099639</c:v>
                </c:pt>
                <c:pt idx="708">
                  <c:v>11.059188576053472</c:v>
                </c:pt>
                <c:pt idx="709">
                  <c:v>11.092539144532717</c:v>
                </c:pt>
                <c:pt idx="710">
                  <c:v>11.172369499242638</c:v>
                </c:pt>
                <c:pt idx="711">
                  <c:v>10.850404017744836</c:v>
                </c:pt>
                <c:pt idx="712">
                  <c:v>10.663981336975521</c:v>
                </c:pt>
                <c:pt idx="713">
                  <c:v>10.411465296726746</c:v>
                </c:pt>
                <c:pt idx="714">
                  <c:v>10.514606050779197</c:v>
                </c:pt>
                <c:pt idx="715">
                  <c:v>10.60992982665115</c:v>
                </c:pt>
                <c:pt idx="716">
                  <c:v>10.380108269351933</c:v>
                </c:pt>
                <c:pt idx="717">
                  <c:v>10.215260730779876</c:v>
                </c:pt>
                <c:pt idx="718">
                  <c:v>10.128112713393</c:v>
                </c:pt>
                <c:pt idx="719">
                  <c:v>10.101283804908554</c:v>
                </c:pt>
                <c:pt idx="720">
                  <c:v>10.19244548226612</c:v>
                </c:pt>
                <c:pt idx="721">
                  <c:v>10.299215784034047</c:v>
                </c:pt>
                <c:pt idx="722">
                  <c:v>10.162666369910751</c:v>
                </c:pt>
                <c:pt idx="723">
                  <c:v>9.9410742712281355</c:v>
                </c:pt>
                <c:pt idx="724">
                  <c:v>10.072522241313013</c:v>
                </c:pt>
                <c:pt idx="725">
                  <c:v>9.9774071345125357</c:v>
                </c:pt>
                <c:pt idx="726">
                  <c:v>9.820321336600113</c:v>
                </c:pt>
                <c:pt idx="727">
                  <c:v>9.9299567833450499</c:v>
                </c:pt>
                <c:pt idx="728">
                  <c:v>9.7889686623534935</c:v>
                </c:pt>
                <c:pt idx="729">
                  <c:v>9.7870486590522443</c:v>
                </c:pt>
                <c:pt idx="730">
                  <c:v>9.7752578260423899</c:v>
                </c:pt>
                <c:pt idx="731">
                  <c:v>9.5953996125752177</c:v>
                </c:pt>
                <c:pt idx="732">
                  <c:v>9.4998194786176455</c:v>
                </c:pt>
                <c:pt idx="733">
                  <c:v>9.4160564496530839</c:v>
                </c:pt>
                <c:pt idx="734">
                  <c:v>9.3704569852539734</c:v>
                </c:pt>
                <c:pt idx="735">
                  <c:v>9.4678086765207183</c:v>
                </c:pt>
                <c:pt idx="736">
                  <c:v>9.2275158508227051</c:v>
                </c:pt>
                <c:pt idx="737">
                  <c:v>9.0441907121437914</c:v>
                </c:pt>
                <c:pt idx="738">
                  <c:v>8.9429443047315438</c:v>
                </c:pt>
                <c:pt idx="739">
                  <c:v>8.7476440844824239</c:v>
                </c:pt>
                <c:pt idx="740">
                  <c:v>8.8195183168137774</c:v>
                </c:pt>
                <c:pt idx="741">
                  <c:v>8.889438110322974</c:v>
                </c:pt>
                <c:pt idx="742">
                  <c:v>8.8728818857604956</c:v>
                </c:pt>
                <c:pt idx="743">
                  <c:v>8.6941792373960105</c:v>
                </c:pt>
                <c:pt idx="744">
                  <c:v>8.4654559401662581</c:v>
                </c:pt>
                <c:pt idx="745">
                  <c:v>8.5136156530903957</c:v>
                </c:pt>
              </c:numCache>
            </c:numRef>
          </c:val>
          <c:smooth val="1"/>
          <c:extLst>
            <c:ext xmlns:c16="http://schemas.microsoft.com/office/drawing/2014/chart" uri="{C3380CC4-5D6E-409C-BE32-E72D297353CC}">
              <c16:uniqueId val="{00000001-C84C-40EA-9F09-B2A00E3AA167}"/>
            </c:ext>
          </c:extLst>
        </c:ser>
        <c:ser>
          <c:idx val="2"/>
          <c:order val="2"/>
          <c:tx>
            <c:strRef>
              <c:f>'Analyses and solution'!$AB$1</c:f>
              <c:strCache>
                <c:ptCount val="1"/>
                <c:pt idx="0">
                  <c:v>Detrended</c:v>
                </c:pt>
              </c:strCache>
            </c:strRef>
          </c:tx>
          <c:spPr>
            <a:ln w="19050" cap="rnd">
              <a:solidFill>
                <a:schemeClr val="accent3"/>
              </a:solidFill>
              <a:round/>
            </a:ln>
            <a:effectLst/>
          </c:spPr>
          <c:marker>
            <c:symbol val="none"/>
          </c:marker>
          <c:cat>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cat>
          <c:val>
            <c:numRef>
              <c:f>'Analyses and solution'!$AB$2:$AB$747</c:f>
              <c:numCache>
                <c:formatCode>General</c:formatCode>
                <c:ptCount val="746"/>
                <c:pt idx="0">
                  <c:v>1.425506333204952</c:v>
                </c:pt>
                <c:pt idx="1">
                  <c:v>3.0833584250940591</c:v>
                </c:pt>
                <c:pt idx="2">
                  <c:v>3.7936199550813363</c:v>
                </c:pt>
                <c:pt idx="3">
                  <c:v>1.4074876928037368</c:v>
                </c:pt>
                <c:pt idx="4">
                  <c:v>0.35387693442944723</c:v>
                </c:pt>
                <c:pt idx="5">
                  <c:v>1.725321470821279</c:v>
                </c:pt>
                <c:pt idx="6">
                  <c:v>1.9402844410775657</c:v>
                </c:pt>
                <c:pt idx="7">
                  <c:v>0.68080663055790414</c:v>
                </c:pt>
                <c:pt idx="8">
                  <c:v>3.5910556937726845</c:v>
                </c:pt>
                <c:pt idx="9">
                  <c:v>2.437638625650961</c:v>
                </c:pt>
                <c:pt idx="10">
                  <c:v>-0.17780916096341315</c:v>
                </c:pt>
                <c:pt idx="11">
                  <c:v>1.5704658621392094</c:v>
                </c:pt>
                <c:pt idx="12">
                  <c:v>0.96080903809924223</c:v>
                </c:pt>
                <c:pt idx="13">
                  <c:v>0.56604143946046737</c:v>
                </c:pt>
                <c:pt idx="14">
                  <c:v>1.6241384109234609</c:v>
                </c:pt>
                <c:pt idx="15">
                  <c:v>-0.39329978798658782</c:v>
                </c:pt>
                <c:pt idx="16">
                  <c:v>0.50183618512976835</c:v>
                </c:pt>
                <c:pt idx="17">
                  <c:v>0.35605356954281664</c:v>
                </c:pt>
                <c:pt idx="18">
                  <c:v>0.50508971185308127</c:v>
                </c:pt>
                <c:pt idx="19">
                  <c:v>-1.495998572714921</c:v>
                </c:pt>
                <c:pt idx="20">
                  <c:v>0.15756177754896861</c:v>
                </c:pt>
                <c:pt idx="21">
                  <c:v>1.426784284455386</c:v>
                </c:pt>
                <c:pt idx="22">
                  <c:v>-1.3015001603755962</c:v>
                </c:pt>
                <c:pt idx="23">
                  <c:v>-0.96939361926110212</c:v>
                </c:pt>
                <c:pt idx="24">
                  <c:v>-0.89224907320029434</c:v>
                </c:pt>
                <c:pt idx="25">
                  <c:v>2.2355355632022977</c:v>
                </c:pt>
                <c:pt idx="26">
                  <c:v>1.8917559595133442</c:v>
                </c:pt>
                <c:pt idx="27">
                  <c:v>2.2233500474618797</c:v>
                </c:pt>
                <c:pt idx="28">
                  <c:v>1.6928390178895345</c:v>
                </c:pt>
                <c:pt idx="29">
                  <c:v>0.92441648531660459</c:v>
                </c:pt>
                <c:pt idx="30">
                  <c:v>-0.91724595604562609</c:v>
                </c:pt>
                <c:pt idx="31">
                  <c:v>-1.0284639596207832</c:v>
                </c:pt>
                <c:pt idx="32">
                  <c:v>0.61218685488482105</c:v>
                </c:pt>
                <c:pt idx="33">
                  <c:v>-1.716987521935387E-3</c:v>
                </c:pt>
                <c:pt idx="34">
                  <c:v>-2.9441263872076462E-3</c:v>
                </c:pt>
                <c:pt idx="35">
                  <c:v>-0.56084681793018376</c:v>
                </c:pt>
                <c:pt idx="36">
                  <c:v>-1.5293685005087791</c:v>
                </c:pt>
                <c:pt idx="37">
                  <c:v>1.9822087289915737</c:v>
                </c:pt>
                <c:pt idx="38">
                  <c:v>-0.38141656042804417</c:v>
                </c:pt>
                <c:pt idx="39">
                  <c:v>1.1642474305508799E-3</c:v>
                </c:pt>
                <c:pt idx="40">
                  <c:v>1.1118179792785288</c:v>
                </c:pt>
                <c:pt idx="41">
                  <c:v>0.91854848290983959</c:v>
                </c:pt>
                <c:pt idx="42">
                  <c:v>-0.40966943561000413</c:v>
                </c:pt>
                <c:pt idx="43">
                  <c:v>-2.4174915770973255</c:v>
                </c:pt>
                <c:pt idx="44">
                  <c:v>-0.48741252917439581</c:v>
                </c:pt>
                <c:pt idx="45">
                  <c:v>-0.94364388743713157</c:v>
                </c:pt>
                <c:pt idx="46">
                  <c:v>-1.5302437231997974</c:v>
                </c:pt>
                <c:pt idx="47">
                  <c:v>-2.487122769492895</c:v>
                </c:pt>
                <c:pt idx="48">
                  <c:v>-0.36986830022756223</c:v>
                </c:pt>
                <c:pt idx="49">
                  <c:v>-2.8226656792754614</c:v>
                </c:pt>
                <c:pt idx="50">
                  <c:v>-1.8512419233674926</c:v>
                </c:pt>
                <c:pt idx="51">
                  <c:v>1.0811227608679648</c:v>
                </c:pt>
                <c:pt idx="52">
                  <c:v>-1.8679213512247861</c:v>
                </c:pt>
                <c:pt idx="53">
                  <c:v>-2.3365129355712302</c:v>
                </c:pt>
                <c:pt idx="54">
                  <c:v>-0.99736190213180365</c:v>
                </c:pt>
                <c:pt idx="55">
                  <c:v>-1.6010330961459598</c:v>
                </c:pt>
                <c:pt idx="56">
                  <c:v>1.2481066309851192</c:v>
                </c:pt>
                <c:pt idx="57">
                  <c:v>1.5499909477409277</c:v>
                </c:pt>
                <c:pt idx="58">
                  <c:v>0.19335486360972443</c:v>
                </c:pt>
                <c:pt idx="59">
                  <c:v>0.81612939365828208</c:v>
                </c:pt>
                <c:pt idx="60">
                  <c:v>1.4741608843213081</c:v>
                </c:pt>
                <c:pt idx="61">
                  <c:v>-1.8480126521315841</c:v>
                </c:pt>
                <c:pt idx="62">
                  <c:v>0.94348329209754933</c:v>
                </c:pt>
                <c:pt idx="63">
                  <c:v>0.39046227038841685</c:v>
                </c:pt>
                <c:pt idx="64">
                  <c:v>-2.5277953636277584</c:v>
                </c:pt>
                <c:pt idx="65">
                  <c:v>-0.37208623278922826</c:v>
                </c:pt>
                <c:pt idx="66">
                  <c:v>-1.7480007880196178</c:v>
                </c:pt>
                <c:pt idx="67">
                  <c:v>-2.3007019174130416</c:v>
                </c:pt>
                <c:pt idx="68">
                  <c:v>-2.36203449189256</c:v>
                </c:pt>
                <c:pt idx="69">
                  <c:v>-3.4936559250964123</c:v>
                </c:pt>
                <c:pt idx="70">
                  <c:v>-1.8388128973213407</c:v>
                </c:pt>
                <c:pt idx="71">
                  <c:v>-3.4632643270467449</c:v>
                </c:pt>
                <c:pt idx="72">
                  <c:v>-0.63657544542840228</c:v>
                </c:pt>
                <c:pt idx="73">
                  <c:v>-3.1294978827536504</c:v>
                </c:pt>
                <c:pt idx="74">
                  <c:v>-0.53397251456493677</c:v>
                </c:pt>
                <c:pt idx="75">
                  <c:v>-3.0365937232725875</c:v>
                </c:pt>
                <c:pt idx="76">
                  <c:v>-1.1161835548856249</c:v>
                </c:pt>
                <c:pt idx="77">
                  <c:v>-0.79420101562264112</c:v>
                </c:pt>
                <c:pt idx="78">
                  <c:v>-1.6380604323353785</c:v>
                </c:pt>
                <c:pt idx="79">
                  <c:v>-2.68697324988179</c:v>
                </c:pt>
                <c:pt idx="80">
                  <c:v>-0.42884804953386624</c:v>
                </c:pt>
                <c:pt idx="81">
                  <c:v>-2.8794902359991417</c:v>
                </c:pt>
                <c:pt idx="82">
                  <c:v>-1.0873965089497863</c:v>
                </c:pt>
                <c:pt idx="83">
                  <c:v>-0.37732531605557273</c:v>
                </c:pt>
                <c:pt idx="84">
                  <c:v>-2.3536697537345925</c:v>
                </c:pt>
                <c:pt idx="85">
                  <c:v>-1.0863962325138106</c:v>
                </c:pt>
                <c:pt idx="86">
                  <c:v>-0.88543346904782183</c:v>
                </c:pt>
                <c:pt idx="87">
                  <c:v>-3.0384052552429854</c:v>
                </c:pt>
                <c:pt idx="88">
                  <c:v>-2.9506295888970184</c:v>
                </c:pt>
                <c:pt idx="89">
                  <c:v>-2.74275347090017</c:v>
                </c:pt>
                <c:pt idx="90">
                  <c:v>-3.0976138211498041</c:v>
                </c:pt>
                <c:pt idx="91">
                  <c:v>-3.0879095928033142</c:v>
                </c:pt>
                <c:pt idx="92">
                  <c:v>-0.36587873822270556</c:v>
                </c:pt>
                <c:pt idx="93">
                  <c:v>-0.70076102186786215</c:v>
                </c:pt>
                <c:pt idx="94">
                  <c:v>-0.15094112946753402</c:v>
                </c:pt>
                <c:pt idx="95">
                  <c:v>-4.087820366979745</c:v>
                </c:pt>
                <c:pt idx="96">
                  <c:v>-3.9987906389249659</c:v>
                </c:pt>
                <c:pt idx="97">
                  <c:v>-2.0087625671894971</c:v>
                </c:pt>
                <c:pt idx="98">
                  <c:v>-1.0391757635484788</c:v>
                </c:pt>
                <c:pt idx="99">
                  <c:v>-2.3718231626173489</c:v>
                </c:pt>
                <c:pt idx="100">
                  <c:v>-4.3950678445081239</c:v>
                </c:pt>
                <c:pt idx="101">
                  <c:v>-1.5744370648926225</c:v>
                </c:pt>
                <c:pt idx="102">
                  <c:v>-2.5243778376100314</c:v>
                </c:pt>
                <c:pt idx="103">
                  <c:v>-0.42647752011521867</c:v>
                </c:pt>
                <c:pt idx="104">
                  <c:v>-1.0800528998560397</c:v>
                </c:pt>
                <c:pt idx="105">
                  <c:v>-3.8398966568479063</c:v>
                </c:pt>
                <c:pt idx="106">
                  <c:v>-1.6392815021764759</c:v>
                </c:pt>
                <c:pt idx="107">
                  <c:v>-1.0570654964940491</c:v>
                </c:pt>
                <c:pt idx="108">
                  <c:v>-0.91671630296063711</c:v>
                </c:pt>
                <c:pt idx="109">
                  <c:v>-2.0348854882907421</c:v>
                </c:pt>
                <c:pt idx="110">
                  <c:v>0.35864198667228475</c:v>
                </c:pt>
                <c:pt idx="111">
                  <c:v>-2.5295321681831728</c:v>
                </c:pt>
                <c:pt idx="112">
                  <c:v>-0.93237059337931338</c:v>
                </c:pt>
                <c:pt idx="113">
                  <c:v>-0.96913163893103871</c:v>
                </c:pt>
                <c:pt idx="114">
                  <c:v>0.208850079711973</c:v>
                </c:pt>
                <c:pt idx="115">
                  <c:v>-3.4954285995012202</c:v>
                </c:pt>
                <c:pt idx="116">
                  <c:v>-1.2398619138752913</c:v>
                </c:pt>
                <c:pt idx="117">
                  <c:v>-1.2045778065237176</c:v>
                </c:pt>
                <c:pt idx="118">
                  <c:v>-1.7630227769620186</c:v>
                </c:pt>
                <c:pt idx="119">
                  <c:v>-1.8946637878292432</c:v>
                </c:pt>
                <c:pt idx="120">
                  <c:v>-3.8867720619429784</c:v>
                </c:pt>
                <c:pt idx="121">
                  <c:v>-0.635130438227554</c:v>
                </c:pt>
                <c:pt idx="122">
                  <c:v>-2.3073474124039217</c:v>
                </c:pt>
                <c:pt idx="123">
                  <c:v>-3.5948476213980429</c:v>
                </c:pt>
                <c:pt idx="124">
                  <c:v>-3.8675512376695762</c:v>
                </c:pt>
                <c:pt idx="125">
                  <c:v>-0.80899999560242719</c:v>
                </c:pt>
                <c:pt idx="126">
                  <c:v>-3.5554412213214688</c:v>
                </c:pt>
                <c:pt idx="127">
                  <c:v>-1.0125386422676907</c:v>
                </c:pt>
                <c:pt idx="128">
                  <c:v>-3.8361429473497832</c:v>
                </c:pt>
                <c:pt idx="129">
                  <c:v>-2.0196113177823829</c:v>
                </c:pt>
                <c:pt idx="130">
                  <c:v>-2.7769697251504999</c:v>
                </c:pt>
                <c:pt idx="131">
                  <c:v>-2.8812191167413639</c:v>
                </c:pt>
                <c:pt idx="132">
                  <c:v>-0.21880225880003312</c:v>
                </c:pt>
                <c:pt idx="133">
                  <c:v>-1.7410086565018528</c:v>
                </c:pt>
                <c:pt idx="134">
                  <c:v>-3.4798921967218321</c:v>
                </c:pt>
                <c:pt idx="135">
                  <c:v>-2.7909756256344642</c:v>
                </c:pt>
                <c:pt idx="136">
                  <c:v>-0.76161925824334986</c:v>
                </c:pt>
                <c:pt idx="137">
                  <c:v>-2.1753557662496075</c:v>
                </c:pt>
                <c:pt idx="138">
                  <c:v>-1.6482405308613144</c:v>
                </c:pt>
                <c:pt idx="139">
                  <c:v>-0.96087499730744508</c:v>
                </c:pt>
                <c:pt idx="140">
                  <c:v>0.38623903083960265</c:v>
                </c:pt>
                <c:pt idx="141">
                  <c:v>-2.8960577849532427</c:v>
                </c:pt>
                <c:pt idx="142">
                  <c:v>-0.3066550692409109</c:v>
                </c:pt>
                <c:pt idx="143">
                  <c:v>-1.5181828439348646</c:v>
                </c:pt>
                <c:pt idx="144">
                  <c:v>-2.3428754414904374</c:v>
                </c:pt>
                <c:pt idx="145">
                  <c:v>-0.28342722343227678</c:v>
                </c:pt>
                <c:pt idx="146">
                  <c:v>-2.8041957924179002</c:v>
                </c:pt>
                <c:pt idx="147">
                  <c:v>-2.4101190285628915</c:v>
                </c:pt>
                <c:pt idx="148">
                  <c:v>-1.9914242713294534</c:v>
                </c:pt>
                <c:pt idx="149">
                  <c:v>-1.3152498902825016</c:v>
                </c:pt>
                <c:pt idx="150">
                  <c:v>-2.5999117479336711</c:v>
                </c:pt>
                <c:pt idx="151">
                  <c:v>-7.032130688128202E-2</c:v>
                </c:pt>
                <c:pt idx="152">
                  <c:v>0.26801063523265345</c:v>
                </c:pt>
                <c:pt idx="153">
                  <c:v>-0.44231230166958291</c:v>
                </c:pt>
                <c:pt idx="154">
                  <c:v>-0.25388167387355232</c:v>
                </c:pt>
                <c:pt idx="155">
                  <c:v>-0.44627505693508507</c:v>
                </c:pt>
                <c:pt idx="156">
                  <c:v>-0.44242900334515234</c:v>
                </c:pt>
                <c:pt idx="157">
                  <c:v>0.24398214457767775</c:v>
                </c:pt>
                <c:pt idx="158">
                  <c:v>-0.87998160617443144</c:v>
                </c:pt>
                <c:pt idx="159">
                  <c:v>-1.4358095621914169</c:v>
                </c:pt>
                <c:pt idx="160">
                  <c:v>-2.2917955560529899</c:v>
                </c:pt>
                <c:pt idx="161">
                  <c:v>-2.3156547674797725</c:v>
                </c:pt>
                <c:pt idx="162">
                  <c:v>-0.59694753637545972</c:v>
                </c:pt>
                <c:pt idx="163">
                  <c:v>-0.23837083135849646</c:v>
                </c:pt>
                <c:pt idx="164">
                  <c:v>1.2867241126428315</c:v>
                </c:pt>
                <c:pt idx="165">
                  <c:v>0.41097597157262467</c:v>
                </c:pt>
                <c:pt idx="166">
                  <c:v>-1.0038530940766126</c:v>
                </c:pt>
                <c:pt idx="167">
                  <c:v>-0.81171066014158111</c:v>
                </c:pt>
                <c:pt idx="168">
                  <c:v>-1.2407149607048398</c:v>
                </c:pt>
                <c:pt idx="169">
                  <c:v>0.48599922003190077</c:v>
                </c:pt>
                <c:pt idx="170">
                  <c:v>-1.1836721525336689</c:v>
                </c:pt>
                <c:pt idx="171">
                  <c:v>0.16403293703245847</c:v>
                </c:pt>
                <c:pt idx="172">
                  <c:v>1.5884980776440702</c:v>
                </c:pt>
                <c:pt idx="173">
                  <c:v>-1.3588836689753503</c:v>
                </c:pt>
                <c:pt idx="174">
                  <c:v>-1.5710007075270767</c:v>
                </c:pt>
                <c:pt idx="175">
                  <c:v>-2.3328549077610807</c:v>
                </c:pt>
                <c:pt idx="176">
                  <c:v>-1.7211684498272701</c:v>
                </c:pt>
                <c:pt idx="177">
                  <c:v>-1.8544826121060414</c:v>
                </c:pt>
                <c:pt idx="178">
                  <c:v>1.1262124222444587</c:v>
                </c:pt>
                <c:pt idx="179">
                  <c:v>0.44299315129130612</c:v>
                </c:pt>
                <c:pt idx="180">
                  <c:v>1.3427291131722905</c:v>
                </c:pt>
                <c:pt idx="181">
                  <c:v>0.39158066318565599</c:v>
                </c:pt>
                <c:pt idx="182">
                  <c:v>0.47552270798098117</c:v>
                </c:pt>
                <c:pt idx="183">
                  <c:v>-0.56387530140721331</c:v>
                </c:pt>
                <c:pt idx="184">
                  <c:v>-2.0404996658194801</c:v>
                </c:pt>
                <c:pt idx="185">
                  <c:v>-0.35818978315427152</c:v>
                </c:pt>
                <c:pt idx="186">
                  <c:v>-1.1921662686872372</c:v>
                </c:pt>
                <c:pt idx="187">
                  <c:v>0.48721878991298606</c:v>
                </c:pt>
                <c:pt idx="188">
                  <c:v>-0.95417894487409338</c:v>
                </c:pt>
                <c:pt idx="189">
                  <c:v>0.89672620752072962</c:v>
                </c:pt>
                <c:pt idx="190">
                  <c:v>2.3001631699499612</c:v>
                </c:pt>
                <c:pt idx="191">
                  <c:v>-0.3343485616558235</c:v>
                </c:pt>
                <c:pt idx="192">
                  <c:v>2.6391113068712304</c:v>
                </c:pt>
                <c:pt idx="193">
                  <c:v>2.5089427153300852</c:v>
                </c:pt>
                <c:pt idx="194">
                  <c:v>2.1965429298554255</c:v>
                </c:pt>
                <c:pt idx="195">
                  <c:v>1.652442087718117</c:v>
                </c:pt>
                <c:pt idx="196">
                  <c:v>1.0469768097384975</c:v>
                </c:pt>
                <c:pt idx="197">
                  <c:v>2.3724178352469059</c:v>
                </c:pt>
                <c:pt idx="198">
                  <c:v>1.9405325833456519</c:v>
                </c:pt>
                <c:pt idx="199">
                  <c:v>-0.52444209854812218</c:v>
                </c:pt>
                <c:pt idx="200">
                  <c:v>-1.2146667133036813</c:v>
                </c:pt>
                <c:pt idx="201">
                  <c:v>0.31664636297207416</c:v>
                </c:pt>
                <c:pt idx="202">
                  <c:v>0.74458311080930972</c:v>
                </c:pt>
                <c:pt idx="203">
                  <c:v>1.2231546730959</c:v>
                </c:pt>
                <c:pt idx="204">
                  <c:v>0.36450207670457857</c:v>
                </c:pt>
                <c:pt idx="205">
                  <c:v>-1.2177339502474949</c:v>
                </c:pt>
                <c:pt idx="206">
                  <c:v>0.36127715447649855</c:v>
                </c:pt>
                <c:pt idx="207">
                  <c:v>-0.39846714119376969</c:v>
                </c:pt>
                <c:pt idx="208">
                  <c:v>2.7116473098647642</c:v>
                </c:pt>
                <c:pt idx="209">
                  <c:v>0.8097064129481284</c:v>
                </c:pt>
                <c:pt idx="210">
                  <c:v>-9.1762054155005934E-2</c:v>
                </c:pt>
                <c:pt idx="211">
                  <c:v>2.5893336460021859</c:v>
                </c:pt>
                <c:pt idx="212">
                  <c:v>2.0928287551597471</c:v>
                </c:pt>
                <c:pt idx="213">
                  <c:v>2.6223461257364677</c:v>
                </c:pt>
                <c:pt idx="214">
                  <c:v>-6.8723786087975469E-2</c:v>
                </c:pt>
                <c:pt idx="215">
                  <c:v>1.7184018559744603</c:v>
                </c:pt>
                <c:pt idx="216">
                  <c:v>3.2411276476390558</c:v>
                </c:pt>
                <c:pt idx="217">
                  <c:v>2.7224721850699689</c:v>
                </c:pt>
                <c:pt idx="218">
                  <c:v>0.41657307687146439</c:v>
                </c:pt>
                <c:pt idx="219">
                  <c:v>2.4810967492931981</c:v>
                </c:pt>
                <c:pt idx="220">
                  <c:v>4.038269931221512</c:v>
                </c:pt>
                <c:pt idx="221">
                  <c:v>3.946040778049718</c:v>
                </c:pt>
                <c:pt idx="222">
                  <c:v>1.512964355494816</c:v>
                </c:pt>
                <c:pt idx="223">
                  <c:v>1.0330218559831401</c:v>
                </c:pt>
                <c:pt idx="224">
                  <c:v>3.3285627438704068</c:v>
                </c:pt>
                <c:pt idx="225">
                  <c:v>2.9727796304268335</c:v>
                </c:pt>
                <c:pt idx="226">
                  <c:v>1.4982554595866517</c:v>
                </c:pt>
                <c:pt idx="227">
                  <c:v>3.0982338117424781</c:v>
                </c:pt>
                <c:pt idx="228">
                  <c:v>1.1357225578814081</c:v>
                </c:pt>
                <c:pt idx="229">
                  <c:v>1.9781069196047927</c:v>
                </c:pt>
                <c:pt idx="230">
                  <c:v>0.22327373081263513</c:v>
                </c:pt>
                <c:pt idx="231">
                  <c:v>2.8300653979331329</c:v>
                </c:pt>
                <c:pt idx="232">
                  <c:v>2.5446895148021582</c:v>
                </c:pt>
                <c:pt idx="233">
                  <c:v>3.3951520499247732</c:v>
                </c:pt>
                <c:pt idx="234">
                  <c:v>2.818172124949136</c:v>
                </c:pt>
                <c:pt idx="235">
                  <c:v>2.5874477266634699</c:v>
                </c:pt>
                <c:pt idx="236">
                  <c:v>3.4629132386503212</c:v>
                </c:pt>
                <c:pt idx="237">
                  <c:v>3.1176057359448954</c:v>
                </c:pt>
                <c:pt idx="238">
                  <c:v>0.90900163928024469</c:v>
                </c:pt>
                <c:pt idx="239">
                  <c:v>1.8286096245158561</c:v>
                </c:pt>
                <c:pt idx="240">
                  <c:v>2.797890254306207</c:v>
                </c:pt>
                <c:pt idx="241">
                  <c:v>0.87015282045811659</c:v>
                </c:pt>
                <c:pt idx="242">
                  <c:v>2.8829902151975073</c:v>
                </c:pt>
                <c:pt idx="243">
                  <c:v>4.8169407320692432</c:v>
                </c:pt>
                <c:pt idx="244">
                  <c:v>3.2030126927252223</c:v>
                </c:pt>
                <c:pt idx="245">
                  <c:v>3.1500726442948288</c:v>
                </c:pt>
                <c:pt idx="246">
                  <c:v>3.8156350248706987</c:v>
                </c:pt>
                <c:pt idx="247">
                  <c:v>3.3039873013339403</c:v>
                </c:pt>
                <c:pt idx="248">
                  <c:v>4.9819333676316164</c:v>
                </c:pt>
                <c:pt idx="249">
                  <c:v>3.331884750564079</c:v>
                </c:pt>
                <c:pt idx="250">
                  <c:v>1.1381194416749176</c:v>
                </c:pt>
                <c:pt idx="251">
                  <c:v>4.6486628315966758</c:v>
                </c:pt>
                <c:pt idx="252">
                  <c:v>2.3518802779662726</c:v>
                </c:pt>
                <c:pt idx="253">
                  <c:v>1.9363119431050997</c:v>
                </c:pt>
                <c:pt idx="254">
                  <c:v>3.8421501924371642</c:v>
                </c:pt>
                <c:pt idx="255">
                  <c:v>1.2376929959341183</c:v>
                </c:pt>
                <c:pt idx="256">
                  <c:v>1.9183510266195372</c:v>
                </c:pt>
                <c:pt idx="257">
                  <c:v>3.9872780891569146</c:v>
                </c:pt>
                <c:pt idx="258">
                  <c:v>2.1953369321322098</c:v>
                </c:pt>
                <c:pt idx="259">
                  <c:v>3.0760897093987758</c:v>
                </c:pt>
                <c:pt idx="260">
                  <c:v>2.9317693968486855</c:v>
                </c:pt>
                <c:pt idx="261">
                  <c:v>2.7459374140740973</c:v>
                </c:pt>
                <c:pt idx="262">
                  <c:v>1.306258559659903</c:v>
                </c:pt>
                <c:pt idx="263">
                  <c:v>2.9068274722322123</c:v>
                </c:pt>
                <c:pt idx="264">
                  <c:v>1.4661743908810285</c:v>
                </c:pt>
                <c:pt idx="265">
                  <c:v>4.5593402318597764</c:v>
                </c:pt>
                <c:pt idx="266">
                  <c:v>2.7807954144220011</c:v>
                </c:pt>
                <c:pt idx="267">
                  <c:v>4.8163058548434634</c:v>
                </c:pt>
                <c:pt idx="268">
                  <c:v>2.8598116029299776</c:v>
                </c:pt>
                <c:pt idx="269">
                  <c:v>2.6127166265472415</c:v>
                </c:pt>
                <c:pt idx="270">
                  <c:v>4.3833064372937178</c:v>
                </c:pt>
                <c:pt idx="271">
                  <c:v>4.806176309447622</c:v>
                </c:pt>
                <c:pt idx="272">
                  <c:v>3.1686188845049186</c:v>
                </c:pt>
                <c:pt idx="273">
                  <c:v>4.5961155483129232</c:v>
                </c:pt>
                <c:pt idx="274">
                  <c:v>5.1207449659359847</c:v>
                </c:pt>
                <c:pt idx="275">
                  <c:v>2.1468186963813132</c:v>
                </c:pt>
                <c:pt idx="276">
                  <c:v>2.4654956694901324</c:v>
                </c:pt>
                <c:pt idx="277">
                  <c:v>4.2321797055019879</c:v>
                </c:pt>
                <c:pt idx="278">
                  <c:v>3.2547871734277445</c:v>
                </c:pt>
                <c:pt idx="279">
                  <c:v>3.0920750065321236</c:v>
                </c:pt>
                <c:pt idx="280">
                  <c:v>4.7667235948692257</c:v>
                </c:pt>
                <c:pt idx="281">
                  <c:v>3.5095440195720915</c:v>
                </c:pt>
                <c:pt idx="282">
                  <c:v>4.5268647702323674</c:v>
                </c:pt>
                <c:pt idx="283">
                  <c:v>4.7223743216292906</c:v>
                </c:pt>
                <c:pt idx="284">
                  <c:v>4.0299887443994473</c:v>
                </c:pt>
                <c:pt idx="285">
                  <c:v>2.4680449894155476</c:v>
                </c:pt>
                <c:pt idx="286">
                  <c:v>3.230300298042752</c:v>
                </c:pt>
                <c:pt idx="287">
                  <c:v>4.6080458605891401</c:v>
                </c:pt>
                <c:pt idx="288">
                  <c:v>3.8125200001776607</c:v>
                </c:pt>
                <c:pt idx="289">
                  <c:v>3.352870504877183</c:v>
                </c:pt>
                <c:pt idx="290">
                  <c:v>3.2869862180217639</c:v>
                </c:pt>
                <c:pt idx="291">
                  <c:v>3.7785512641961656</c:v>
                </c:pt>
                <c:pt idx="292">
                  <c:v>2.2283664818054882</c:v>
                </c:pt>
                <c:pt idx="293">
                  <c:v>1.818385488924692</c:v>
                </c:pt>
                <c:pt idx="294">
                  <c:v>4.9557588967358877</c:v>
                </c:pt>
                <c:pt idx="295">
                  <c:v>4.15497002782549</c:v>
                </c:pt>
                <c:pt idx="296">
                  <c:v>3.7496095982191084</c:v>
                </c:pt>
                <c:pt idx="297">
                  <c:v>3.9165912537888978</c:v>
                </c:pt>
                <c:pt idx="298">
                  <c:v>2.7142533544960203</c:v>
                </c:pt>
                <c:pt idx="299">
                  <c:v>3.8973391074263493</c:v>
                </c:pt>
                <c:pt idx="300">
                  <c:v>2.1323021452425914</c:v>
                </c:pt>
                <c:pt idx="301">
                  <c:v>3.7568223036772235</c:v>
                </c:pt>
                <c:pt idx="302">
                  <c:v>4.9613910244644357</c:v>
                </c:pt>
                <c:pt idx="303">
                  <c:v>4.5001085127049905</c:v>
                </c:pt>
                <c:pt idx="304">
                  <c:v>3.017614884553633</c:v>
                </c:pt>
                <c:pt idx="305">
                  <c:v>4.7046964367187751</c:v>
                </c:pt>
                <c:pt idx="306">
                  <c:v>4.7393341793618946</c:v>
                </c:pt>
                <c:pt idx="307">
                  <c:v>4.4003364210953002</c:v>
                </c:pt>
                <c:pt idx="308">
                  <c:v>4.1705950856671761</c:v>
                </c:pt>
                <c:pt idx="309">
                  <c:v>1.4685294154309574</c:v>
                </c:pt>
                <c:pt idx="310">
                  <c:v>1.5716291868029577</c:v>
                </c:pt>
                <c:pt idx="311">
                  <c:v>1.5281795530953914</c:v>
                </c:pt>
                <c:pt idx="312">
                  <c:v>3.4572479707607355</c:v>
                </c:pt>
                <c:pt idx="313">
                  <c:v>1.3063541049033027</c:v>
                </c:pt>
                <c:pt idx="314">
                  <c:v>4.064560571594245</c:v>
                </c:pt>
                <c:pt idx="315">
                  <c:v>2.7711383909535279</c:v>
                </c:pt>
                <c:pt idx="316">
                  <c:v>1.1921749117616809</c:v>
                </c:pt>
                <c:pt idx="317">
                  <c:v>3.0719815019033021</c:v>
                </c:pt>
                <c:pt idx="318">
                  <c:v>3.7662032942379096</c:v>
                </c:pt>
                <c:pt idx="319">
                  <c:v>1.2537676350741425</c:v>
                </c:pt>
                <c:pt idx="320">
                  <c:v>2.4778288696900184</c:v>
                </c:pt>
                <c:pt idx="321">
                  <c:v>1.75551617577303</c:v>
                </c:pt>
                <c:pt idx="322">
                  <c:v>2.4388093257560772</c:v>
                </c:pt>
                <c:pt idx="323">
                  <c:v>1.4758660321604768</c:v>
                </c:pt>
                <c:pt idx="324">
                  <c:v>3.5876770874809605</c:v>
                </c:pt>
                <c:pt idx="325">
                  <c:v>1.7828968058387353</c:v>
                </c:pt>
                <c:pt idx="326">
                  <c:v>4.3935056396685521</c:v>
                </c:pt>
                <c:pt idx="327">
                  <c:v>4.490154222673933</c:v>
                </c:pt>
                <c:pt idx="328">
                  <c:v>3.4428950148601274</c:v>
                </c:pt>
                <c:pt idx="329">
                  <c:v>3.551352071925427</c:v>
                </c:pt>
                <c:pt idx="330">
                  <c:v>3.9868255481107884</c:v>
                </c:pt>
                <c:pt idx="331">
                  <c:v>2.5047993205655068</c:v>
                </c:pt>
                <c:pt idx="332">
                  <c:v>3.5871248740758368</c:v>
                </c:pt>
                <c:pt idx="333">
                  <c:v>3.1380553939180409</c:v>
                </c:pt>
                <c:pt idx="334">
                  <c:v>0.72624933812138082</c:v>
                </c:pt>
                <c:pt idx="335">
                  <c:v>0.71350672790840974</c:v>
                </c:pt>
                <c:pt idx="336">
                  <c:v>3.6411999509995816</c:v>
                </c:pt>
                <c:pt idx="337">
                  <c:v>1.0022293415820762</c:v>
                </c:pt>
                <c:pt idx="338">
                  <c:v>2.8144981365468649</c:v>
                </c:pt>
                <c:pt idx="339">
                  <c:v>-0.37635957163954004</c:v>
                </c:pt>
                <c:pt idx="340">
                  <c:v>1.8639839656123449</c:v>
                </c:pt>
                <c:pt idx="341">
                  <c:v>1.6292829322604208</c:v>
                </c:pt>
                <c:pt idx="342">
                  <c:v>3.2234606783318149</c:v>
                </c:pt>
                <c:pt idx="343">
                  <c:v>1.0454731369853834</c:v>
                </c:pt>
                <c:pt idx="344">
                  <c:v>2.6863987216224476</c:v>
                </c:pt>
                <c:pt idx="345">
                  <c:v>3.1650192890763558</c:v>
                </c:pt>
                <c:pt idx="346">
                  <c:v>3.4881818358649745</c:v>
                </c:pt>
                <c:pt idx="347">
                  <c:v>1.6417389783001228</c:v>
                </c:pt>
                <c:pt idx="348">
                  <c:v>1.0611328970269138</c:v>
                </c:pt>
                <c:pt idx="349">
                  <c:v>2.0965413509091233</c:v>
                </c:pt>
                <c:pt idx="350">
                  <c:v>1.2384930219908465</c:v>
                </c:pt>
                <c:pt idx="351">
                  <c:v>0.72357276379236968</c:v>
                </c:pt>
                <c:pt idx="352">
                  <c:v>2.2213890049530214</c:v>
                </c:pt>
                <c:pt idx="353">
                  <c:v>3.8412482526559044</c:v>
                </c:pt>
                <c:pt idx="354">
                  <c:v>1.4804223957678513</c:v>
                </c:pt>
                <c:pt idx="355">
                  <c:v>0.42094295287271866</c:v>
                </c:pt>
                <c:pt idx="356">
                  <c:v>2.9774388787297283</c:v>
                </c:pt>
                <c:pt idx="357">
                  <c:v>0.95102075849402912</c:v>
                </c:pt>
                <c:pt idx="358">
                  <c:v>0.59782678929366639</c:v>
                </c:pt>
                <c:pt idx="359">
                  <c:v>-0.19611390461594436</c:v>
                </c:pt>
                <c:pt idx="360">
                  <c:v>0.98226820726423369</c:v>
                </c:pt>
                <c:pt idx="361">
                  <c:v>-0.96694953815614593</c:v>
                </c:pt>
                <c:pt idx="362">
                  <c:v>-0.42303199779562028</c:v>
                </c:pt>
                <c:pt idx="363">
                  <c:v>0.4382122543348812</c:v>
                </c:pt>
                <c:pt idx="364">
                  <c:v>1.8429952958827158</c:v>
                </c:pt>
                <c:pt idx="365">
                  <c:v>-3.2597229807866945E-2</c:v>
                </c:pt>
                <c:pt idx="366">
                  <c:v>1.7615701734043867</c:v>
                </c:pt>
                <c:pt idx="367">
                  <c:v>-1.6555340722066854</c:v>
                </c:pt>
                <c:pt idx="368">
                  <c:v>-0.48047844290797315</c:v>
                </c:pt>
                <c:pt idx="369">
                  <c:v>1.4061119485852158</c:v>
                </c:pt>
                <c:pt idx="370">
                  <c:v>-1.2776866651518182</c:v>
                </c:pt>
                <c:pt idx="371">
                  <c:v>-1.1776357432334565</c:v>
                </c:pt>
                <c:pt idx="372">
                  <c:v>0.78775091418451737</c:v>
                </c:pt>
                <c:pt idx="373">
                  <c:v>1.7692160387313249</c:v>
                </c:pt>
                <c:pt idx="374">
                  <c:v>1.0849251974575527</c:v>
                </c:pt>
                <c:pt idx="375">
                  <c:v>0.32178415140930472</c:v>
                </c:pt>
                <c:pt idx="376">
                  <c:v>-0.61378676087830897</c:v>
                </c:pt>
                <c:pt idx="377">
                  <c:v>2.3745668262697004</c:v>
                </c:pt>
                <c:pt idx="378">
                  <c:v>-0.44929393194336242</c:v>
                </c:pt>
                <c:pt idx="379">
                  <c:v>2.4677100275251194</c:v>
                </c:pt>
                <c:pt idx="380">
                  <c:v>-1.2398763261215624</c:v>
                </c:pt>
                <c:pt idx="381">
                  <c:v>-1.2893781878203638</c:v>
                </c:pt>
                <c:pt idx="382">
                  <c:v>-1.260120525331363</c:v>
                </c:pt>
                <c:pt idx="383">
                  <c:v>1.1727542781313707</c:v>
                </c:pt>
                <c:pt idx="384">
                  <c:v>1.313650220146096</c:v>
                </c:pt>
                <c:pt idx="385">
                  <c:v>-2.0626850445489655</c:v>
                </c:pt>
                <c:pt idx="386">
                  <c:v>-2.1512023089728931</c:v>
                </c:pt>
                <c:pt idx="387">
                  <c:v>0.80267351410809251</c:v>
                </c:pt>
                <c:pt idx="388">
                  <c:v>-0.16376425837565112</c:v>
                </c:pt>
                <c:pt idx="389">
                  <c:v>-2.2693077334623935</c:v>
                </c:pt>
                <c:pt idx="390">
                  <c:v>-2.800633219112111</c:v>
                </c:pt>
                <c:pt idx="391">
                  <c:v>-0.88316445323038906</c:v>
                </c:pt>
                <c:pt idx="392">
                  <c:v>-0.32105543802041048</c:v>
                </c:pt>
                <c:pt idx="393">
                  <c:v>-0.71816793862677297</c:v>
                </c:pt>
                <c:pt idx="394">
                  <c:v>-3.1766540830219689</c:v>
                </c:pt>
                <c:pt idx="395">
                  <c:v>-1.8565464421473221</c:v>
                </c:pt>
                <c:pt idx="396">
                  <c:v>0.5239892682129188</c:v>
                </c:pt>
                <c:pt idx="397">
                  <c:v>-0.34666756637569573</c:v>
                </c:pt>
                <c:pt idx="398">
                  <c:v>-1.9737668625909759</c:v>
                </c:pt>
                <c:pt idx="399">
                  <c:v>-1.5421623824369206</c:v>
                </c:pt>
                <c:pt idx="400">
                  <c:v>-1.9149019620569128</c:v>
                </c:pt>
                <c:pt idx="401">
                  <c:v>-0.65241184431358246</c:v>
                </c:pt>
                <c:pt idx="402">
                  <c:v>1.0476068526672258</c:v>
                </c:pt>
                <c:pt idx="403">
                  <c:v>-1.7048006038810506</c:v>
                </c:pt>
                <c:pt idx="404">
                  <c:v>0.79078976182158556</c:v>
                </c:pt>
                <c:pt idx="405">
                  <c:v>-0.5017560421845948</c:v>
                </c:pt>
                <c:pt idx="406">
                  <c:v>-1.1406739108679709</c:v>
                </c:pt>
                <c:pt idx="407">
                  <c:v>0.36637207760132995</c:v>
                </c:pt>
                <c:pt idx="408">
                  <c:v>-2.7521581601137157</c:v>
                </c:pt>
                <c:pt idx="409">
                  <c:v>-2.2583288338771865</c:v>
                </c:pt>
                <c:pt idx="410">
                  <c:v>-2.6876842454711136</c:v>
                </c:pt>
                <c:pt idx="411">
                  <c:v>0.42599369211230176</c:v>
                </c:pt>
                <c:pt idx="412">
                  <c:v>-2.9885202690520973</c:v>
                </c:pt>
                <c:pt idx="413">
                  <c:v>-0.78723399230615954</c:v>
                </c:pt>
                <c:pt idx="414">
                  <c:v>-0.16844587702463087</c:v>
                </c:pt>
                <c:pt idx="415">
                  <c:v>-3.3670047734877597</c:v>
                </c:pt>
                <c:pt idx="416">
                  <c:v>-2.7355173125564844</c:v>
                </c:pt>
                <c:pt idx="417">
                  <c:v>-1.9647154767153294</c:v>
                </c:pt>
                <c:pt idx="418">
                  <c:v>-3.0771116919612824</c:v>
                </c:pt>
                <c:pt idx="419">
                  <c:v>-1.9387161256855556</c:v>
                </c:pt>
                <c:pt idx="420">
                  <c:v>-2.7235334676650389</c:v>
                </c:pt>
                <c:pt idx="421">
                  <c:v>-1.2618872339253535</c:v>
                </c:pt>
                <c:pt idx="422">
                  <c:v>-3.7854296397619045</c:v>
                </c:pt>
                <c:pt idx="423">
                  <c:v>-3.4583540597626152</c:v>
                </c:pt>
                <c:pt idx="424">
                  <c:v>-2.630586131089089</c:v>
                </c:pt>
                <c:pt idx="425">
                  <c:v>-4.0392235774626872</c:v>
                </c:pt>
                <c:pt idx="426">
                  <c:v>-2.4918452955635715</c:v>
                </c:pt>
                <c:pt idx="427">
                  <c:v>-1.4326799001386936</c:v>
                </c:pt>
                <c:pt idx="428">
                  <c:v>-3.7653428629761185</c:v>
                </c:pt>
                <c:pt idx="429">
                  <c:v>-1.04476485046861</c:v>
                </c:pt>
                <c:pt idx="430">
                  <c:v>-2.8866893053597762</c:v>
                </c:pt>
                <c:pt idx="431">
                  <c:v>-1.3875802398789894</c:v>
                </c:pt>
                <c:pt idx="432">
                  <c:v>-0.35673783919262725</c:v>
                </c:pt>
                <c:pt idx="433">
                  <c:v>-0.99472294858230015</c:v>
                </c:pt>
                <c:pt idx="434">
                  <c:v>-3.3907987097133496</c:v>
                </c:pt>
                <c:pt idx="435">
                  <c:v>-2.0605249559258727</c:v>
                </c:pt>
                <c:pt idx="436">
                  <c:v>-1.9589064156505742</c:v>
                </c:pt>
                <c:pt idx="437">
                  <c:v>-0.55915171614174586</c:v>
                </c:pt>
                <c:pt idx="438">
                  <c:v>-4.5808608960085824</c:v>
                </c:pt>
                <c:pt idx="439">
                  <c:v>-4.2692238552352668</c:v>
                </c:pt>
                <c:pt idx="440">
                  <c:v>-1.1650631335073376</c:v>
                </c:pt>
                <c:pt idx="441">
                  <c:v>-3.7586361898614866</c:v>
                </c:pt>
                <c:pt idx="442">
                  <c:v>-4.0055845091390854</c:v>
                </c:pt>
                <c:pt idx="443">
                  <c:v>-4.6664390776059204</c:v>
                </c:pt>
                <c:pt idx="444">
                  <c:v>-4.8711258635959229</c:v>
                </c:pt>
                <c:pt idx="445">
                  <c:v>-5.1032850485980878</c:v>
                </c:pt>
                <c:pt idx="446">
                  <c:v>-2.695358700611453</c:v>
                </c:pt>
                <c:pt idx="447">
                  <c:v>-1.9231612970309131</c:v>
                </c:pt>
                <c:pt idx="448">
                  <c:v>-3.6033383416692244</c:v>
                </c:pt>
                <c:pt idx="449">
                  <c:v>-4.905922216314007</c:v>
                </c:pt>
                <c:pt idx="450">
                  <c:v>-4.4690982024258732</c:v>
                </c:pt>
                <c:pt idx="451">
                  <c:v>-2.2382652769460156</c:v>
                </c:pt>
                <c:pt idx="452">
                  <c:v>-3.0278032196051861</c:v>
                </c:pt>
                <c:pt idx="453">
                  <c:v>-4.22145906123815</c:v>
                </c:pt>
                <c:pt idx="454">
                  <c:v>-4.1715842957090894</c:v>
                </c:pt>
                <c:pt idx="455">
                  <c:v>-1.5351683321359584</c:v>
                </c:pt>
                <c:pt idx="456">
                  <c:v>-4.7754650385650956</c:v>
                </c:pt>
                <c:pt idx="457">
                  <c:v>-1.1156433995906756</c:v>
                </c:pt>
                <c:pt idx="458">
                  <c:v>-3.1805562257290809</c:v>
                </c:pt>
                <c:pt idx="459">
                  <c:v>-1.543858384152875</c:v>
                </c:pt>
                <c:pt idx="460">
                  <c:v>-3.0438118075228289</c:v>
                </c:pt>
                <c:pt idx="461">
                  <c:v>-1.9057864883810627</c:v>
                </c:pt>
                <c:pt idx="462">
                  <c:v>-3.8892251838058041</c:v>
                </c:pt>
                <c:pt idx="463">
                  <c:v>-4.886111412710159</c:v>
                </c:pt>
                <c:pt idx="464">
                  <c:v>-3.1352046287013948</c:v>
                </c:pt>
                <c:pt idx="465">
                  <c:v>-1.6071991624928827</c:v>
                </c:pt>
                <c:pt idx="466">
                  <c:v>-4.1728541473569578</c:v>
                </c:pt>
                <c:pt idx="467">
                  <c:v>-1.5614236756225637</c:v>
                </c:pt>
                <c:pt idx="468">
                  <c:v>-3.5741411363097644</c:v>
                </c:pt>
                <c:pt idx="469">
                  <c:v>-2.9803564702875054</c:v>
                </c:pt>
                <c:pt idx="470">
                  <c:v>-2.0981199511074777</c:v>
                </c:pt>
                <c:pt idx="471">
                  <c:v>-4.7731489398632254</c:v>
                </c:pt>
                <c:pt idx="472">
                  <c:v>-5.9316189484166788</c:v>
                </c:pt>
                <c:pt idx="473">
                  <c:v>-2.3787235621935796</c:v>
                </c:pt>
                <c:pt idx="474">
                  <c:v>-3.8113768713492302</c:v>
                </c:pt>
                <c:pt idx="475">
                  <c:v>-5.6135110232572174</c:v>
                </c:pt>
                <c:pt idx="476">
                  <c:v>-3.1902920395989414</c:v>
                </c:pt>
                <c:pt idx="477">
                  <c:v>-1.8282009228801002</c:v>
                </c:pt>
                <c:pt idx="478">
                  <c:v>-2.8357665171036261</c:v>
                </c:pt>
                <c:pt idx="479">
                  <c:v>-3.3231097211392209</c:v>
                </c:pt>
                <c:pt idx="480">
                  <c:v>-1.7410322093278836</c:v>
                </c:pt>
                <c:pt idx="481">
                  <c:v>-3.9892756132583971</c:v>
                </c:pt>
                <c:pt idx="482">
                  <c:v>-1.7020377661277246</c:v>
                </c:pt>
                <c:pt idx="483">
                  <c:v>-3.8512450243079277</c:v>
                </c:pt>
                <c:pt idx="484">
                  <c:v>-2.1470782503964134</c:v>
                </c:pt>
                <c:pt idx="485">
                  <c:v>-4.4920310655199724</c:v>
                </c:pt>
                <c:pt idx="486">
                  <c:v>-1.6457215374661436</c:v>
                </c:pt>
                <c:pt idx="487">
                  <c:v>-1.2377682126421838</c:v>
                </c:pt>
                <c:pt idx="488">
                  <c:v>-2.0270329529142961</c:v>
                </c:pt>
                <c:pt idx="489">
                  <c:v>-2.9402479622654223</c:v>
                </c:pt>
                <c:pt idx="490">
                  <c:v>-3.2784840336133687</c:v>
                </c:pt>
                <c:pt idx="491">
                  <c:v>-3.6009806824597286</c:v>
                </c:pt>
                <c:pt idx="492">
                  <c:v>-4.0085533264063731</c:v>
                </c:pt>
                <c:pt idx="493">
                  <c:v>-5.1797696623328653</c:v>
                </c:pt>
                <c:pt idx="494">
                  <c:v>-2.9826952126739545</c:v>
                </c:pt>
                <c:pt idx="495">
                  <c:v>-2.2543261803492012</c:v>
                </c:pt>
                <c:pt idx="496">
                  <c:v>-3.135246466078625</c:v>
                </c:pt>
                <c:pt idx="497">
                  <c:v>-5.2940283442287548</c:v>
                </c:pt>
                <c:pt idx="498">
                  <c:v>-1.972119404552604</c:v>
                </c:pt>
                <c:pt idx="499">
                  <c:v>-2.4435497355057034</c:v>
                </c:pt>
                <c:pt idx="500">
                  <c:v>-4.407673727940403</c:v>
                </c:pt>
                <c:pt idx="501">
                  <c:v>-5.426707914617201</c:v>
                </c:pt>
                <c:pt idx="502">
                  <c:v>-4.2920471548960935</c:v>
                </c:pt>
                <c:pt idx="503">
                  <c:v>-1.6529847486922087</c:v>
                </c:pt>
                <c:pt idx="504">
                  <c:v>-5.1048379422861903</c:v>
                </c:pt>
                <c:pt idx="505">
                  <c:v>-2.3452937092921129</c:v>
                </c:pt>
                <c:pt idx="506">
                  <c:v>-4.4261460716790033</c:v>
                </c:pt>
                <c:pt idx="507">
                  <c:v>-1.3138848852797178</c:v>
                </c:pt>
                <c:pt idx="508">
                  <c:v>-2.7836801841291141</c:v>
                </c:pt>
                <c:pt idx="509">
                  <c:v>-0.97634011197761872</c:v>
                </c:pt>
                <c:pt idx="510">
                  <c:v>-3.4006457938205417</c:v>
                </c:pt>
                <c:pt idx="511">
                  <c:v>-2.740985416066585</c:v>
                </c:pt>
                <c:pt idx="512">
                  <c:v>-2.3825513093270203</c:v>
                </c:pt>
                <c:pt idx="513">
                  <c:v>-4.199832645279761</c:v>
                </c:pt>
                <c:pt idx="514">
                  <c:v>-1.050943926823388</c:v>
                </c:pt>
                <c:pt idx="515">
                  <c:v>-2.5748557187656038</c:v>
                </c:pt>
                <c:pt idx="516">
                  <c:v>-1.3301398595020917</c:v>
                </c:pt>
                <c:pt idx="517">
                  <c:v>-3.5694750065315519</c:v>
                </c:pt>
                <c:pt idx="518">
                  <c:v>-2.0951905444315919</c:v>
                </c:pt>
                <c:pt idx="519">
                  <c:v>-2.4932985960750198</c:v>
                </c:pt>
                <c:pt idx="520">
                  <c:v>-2.1790260902465093</c:v>
                </c:pt>
                <c:pt idx="521">
                  <c:v>-2.660466001403015</c:v>
                </c:pt>
                <c:pt idx="522">
                  <c:v>-3.9275382293978307</c:v>
                </c:pt>
                <c:pt idx="523">
                  <c:v>-4.6016214996447387</c:v>
                </c:pt>
                <c:pt idx="524">
                  <c:v>-4.3643124652387861</c:v>
                </c:pt>
                <c:pt idx="525">
                  <c:v>-4.7334221810545056</c:v>
                </c:pt>
                <c:pt idx="526">
                  <c:v>-1.7008014665001809</c:v>
                </c:pt>
                <c:pt idx="527">
                  <c:v>-2.8214031347076522</c:v>
                </c:pt>
                <c:pt idx="528">
                  <c:v>-3.5163698581835447</c:v>
                </c:pt>
                <c:pt idx="529">
                  <c:v>-1.6571523759737934</c:v>
                </c:pt>
                <c:pt idx="530">
                  <c:v>-2.5706561164700883</c:v>
                </c:pt>
                <c:pt idx="531">
                  <c:v>-3.1269107687835707</c:v>
                </c:pt>
                <c:pt idx="532">
                  <c:v>-1.808942362027925</c:v>
                </c:pt>
                <c:pt idx="533">
                  <c:v>-1.7993542627108585</c:v>
                </c:pt>
                <c:pt idx="534">
                  <c:v>-3.4144143678222285</c:v>
                </c:pt>
                <c:pt idx="535">
                  <c:v>-2.100352094537711</c:v>
                </c:pt>
                <c:pt idx="536">
                  <c:v>-0.61551285932047328</c:v>
                </c:pt>
                <c:pt idx="537">
                  <c:v>-1.6783603946471359</c:v>
                </c:pt>
                <c:pt idx="538">
                  <c:v>-1.4089645289081369</c:v>
                </c:pt>
                <c:pt idx="539">
                  <c:v>-1.138019372637034</c:v>
                </c:pt>
                <c:pt idx="540">
                  <c:v>0.12166511259197499</c:v>
                </c:pt>
                <c:pt idx="541">
                  <c:v>9.4404404382945728E-2</c:v>
                </c:pt>
                <c:pt idx="542">
                  <c:v>-0.33960806187308101</c:v>
                </c:pt>
                <c:pt idx="543">
                  <c:v>-1.9345240581880434</c:v>
                </c:pt>
                <c:pt idx="544">
                  <c:v>-0.27952914761707959</c:v>
                </c:pt>
                <c:pt idx="545">
                  <c:v>-1.1416444453622407</c:v>
                </c:pt>
                <c:pt idx="546">
                  <c:v>-1.6555682059256371</c:v>
                </c:pt>
                <c:pt idx="547">
                  <c:v>-3.4500223549684739</c:v>
                </c:pt>
                <c:pt idx="548">
                  <c:v>-2.7879541105675196</c:v>
                </c:pt>
                <c:pt idx="549">
                  <c:v>-1.5547682539220187</c:v>
                </c:pt>
                <c:pt idx="550">
                  <c:v>-3.8014249151280701</c:v>
                </c:pt>
                <c:pt idx="551">
                  <c:v>-2.9073946233187131</c:v>
                </c:pt>
                <c:pt idx="552">
                  <c:v>-1.0045225787882428</c:v>
                </c:pt>
                <c:pt idx="553">
                  <c:v>-3.5984939352085856</c:v>
                </c:pt>
                <c:pt idx="554">
                  <c:v>-1.6262623171511619</c:v>
                </c:pt>
                <c:pt idx="555">
                  <c:v>1.6955333760497737E-2</c:v>
                </c:pt>
                <c:pt idx="556">
                  <c:v>-2.959539548176398</c:v>
                </c:pt>
                <c:pt idx="557">
                  <c:v>-1.6293034911135047</c:v>
                </c:pt>
                <c:pt idx="558">
                  <c:v>-0.83248709135295051</c:v>
                </c:pt>
                <c:pt idx="559">
                  <c:v>-2.8675613424110091</c:v>
                </c:pt>
                <c:pt idx="560">
                  <c:v>0.56685981140932817</c:v>
                </c:pt>
                <c:pt idx="561">
                  <c:v>-1.4461360161673769</c:v>
                </c:pt>
                <c:pt idx="562">
                  <c:v>-2.0629819403917118</c:v>
                </c:pt>
                <c:pt idx="563">
                  <c:v>-2.2163307658703095</c:v>
                </c:pt>
                <c:pt idx="564">
                  <c:v>-1.4165099423714587</c:v>
                </c:pt>
                <c:pt idx="565">
                  <c:v>0.99897994290102332</c:v>
                </c:pt>
                <c:pt idx="566">
                  <c:v>-1.2291338758644192</c:v>
                </c:pt>
                <c:pt idx="567">
                  <c:v>-8.6273313777081029E-2</c:v>
                </c:pt>
                <c:pt idx="568">
                  <c:v>-1.128687336169941</c:v>
                </c:pt>
                <c:pt idx="569">
                  <c:v>-1.4400290958614121</c:v>
                </c:pt>
                <c:pt idx="570">
                  <c:v>-1.4310694788253011</c:v>
                </c:pt>
                <c:pt idx="571">
                  <c:v>1.096489781986012</c:v>
                </c:pt>
                <c:pt idx="572">
                  <c:v>-1.1418462864103667</c:v>
                </c:pt>
                <c:pt idx="573">
                  <c:v>-0.82283215035433521</c:v>
                </c:pt>
                <c:pt idx="574">
                  <c:v>1.3808283463390545</c:v>
                </c:pt>
                <c:pt idx="575">
                  <c:v>-1.4678176384347292</c:v>
                </c:pt>
                <c:pt idx="576">
                  <c:v>-2.1509973587652791</c:v>
                </c:pt>
                <c:pt idx="577">
                  <c:v>-1.3933150917756363</c:v>
                </c:pt>
                <c:pt idx="578">
                  <c:v>-0.56140460214696475</c:v>
                </c:pt>
                <c:pt idx="579">
                  <c:v>-0.35234027336829854</c:v>
                </c:pt>
                <c:pt idx="580">
                  <c:v>-0.10115431773875905</c:v>
                </c:pt>
                <c:pt idx="581">
                  <c:v>-1.0738257201966777</c:v>
                </c:pt>
                <c:pt idx="582">
                  <c:v>0.98290678609801496</c:v>
                </c:pt>
                <c:pt idx="583">
                  <c:v>0.66515384937330246</c:v>
                </c:pt>
                <c:pt idx="584">
                  <c:v>-0.5384062557289635</c:v>
                </c:pt>
                <c:pt idx="585">
                  <c:v>0.57954104226427816</c:v>
                </c:pt>
                <c:pt idx="586">
                  <c:v>-1.3404591217727431</c:v>
                </c:pt>
                <c:pt idx="587">
                  <c:v>0.64992543155375415</c:v>
                </c:pt>
                <c:pt idx="588">
                  <c:v>0.37281911953265379</c:v>
                </c:pt>
                <c:pt idx="589">
                  <c:v>0.77789717351501331</c:v>
                </c:pt>
                <c:pt idx="590">
                  <c:v>0.2905400886094629</c:v>
                </c:pt>
                <c:pt idx="591">
                  <c:v>2.2117840172519045</c:v>
                </c:pt>
                <c:pt idx="592">
                  <c:v>2.2668375699729495</c:v>
                </c:pt>
                <c:pt idx="593">
                  <c:v>2.2167606948142549</c:v>
                </c:pt>
                <c:pt idx="594">
                  <c:v>-0.18524079804206828</c:v>
                </c:pt>
                <c:pt idx="595">
                  <c:v>2.3367629985285365</c:v>
                </c:pt>
                <c:pt idx="596">
                  <c:v>-4.1545228546089774E-2</c:v>
                </c:pt>
                <c:pt idx="597">
                  <c:v>2.6012024346080409</c:v>
                </c:pt>
                <c:pt idx="598">
                  <c:v>2.7830736529301259</c:v>
                </c:pt>
                <c:pt idx="599">
                  <c:v>-0.12207930079703466</c:v>
                </c:pt>
                <c:pt idx="600">
                  <c:v>-0.76852511882640151</c:v>
                </c:pt>
                <c:pt idx="601">
                  <c:v>-0.25849374596090691</c:v>
                </c:pt>
                <c:pt idx="602">
                  <c:v>2.218330290098999</c:v>
                </c:pt>
                <c:pt idx="603">
                  <c:v>0.58292982608765342</c:v>
                </c:pt>
                <c:pt idx="604">
                  <c:v>0.72052422933741589</c:v>
                </c:pt>
                <c:pt idx="605">
                  <c:v>2.287018744619262</c:v>
                </c:pt>
                <c:pt idx="606">
                  <c:v>-1.0626185229262992</c:v>
                </c:pt>
                <c:pt idx="607">
                  <c:v>1.9735204221613429</c:v>
                </c:pt>
                <c:pt idx="608">
                  <c:v>1.8260628951469933</c:v>
                </c:pt>
                <c:pt idx="609">
                  <c:v>2.2561599673338772</c:v>
                </c:pt>
                <c:pt idx="610">
                  <c:v>1.0187256552181498</c:v>
                </c:pt>
                <c:pt idx="611">
                  <c:v>-0.41507865323210424</c:v>
                </c:pt>
                <c:pt idx="612">
                  <c:v>-0.56454199633709656</c:v>
                </c:pt>
                <c:pt idx="613">
                  <c:v>2.4788584869107861</c:v>
                </c:pt>
                <c:pt idx="614">
                  <c:v>1.693742104005338</c:v>
                </c:pt>
                <c:pt idx="615">
                  <c:v>3.3182851908652466</c:v>
                </c:pt>
                <c:pt idx="616">
                  <c:v>0.8869302133168393</c:v>
                </c:pt>
                <c:pt idx="617">
                  <c:v>1.0858598256837713</c:v>
                </c:pt>
                <c:pt idx="618">
                  <c:v>3.2014360954804584</c:v>
                </c:pt>
                <c:pt idx="619">
                  <c:v>3.3886137232492697</c:v>
                </c:pt>
                <c:pt idx="620">
                  <c:v>1.7065614207274766</c:v>
                </c:pt>
                <c:pt idx="621">
                  <c:v>3.374340867454265</c:v>
                </c:pt>
                <c:pt idx="622">
                  <c:v>0.95891761197806424</c:v>
                </c:pt>
                <c:pt idx="623">
                  <c:v>3.2136333693498429</c:v>
                </c:pt>
                <c:pt idx="624">
                  <c:v>0.12097367420182614</c:v>
                </c:pt>
                <c:pt idx="625">
                  <c:v>1.2618850689195327</c:v>
                </c:pt>
                <c:pt idx="626">
                  <c:v>0.54017243237387014</c:v>
                </c:pt>
                <c:pt idx="627">
                  <c:v>-0.42765188521568298</c:v>
                </c:pt>
                <c:pt idx="628">
                  <c:v>2.00344151750717</c:v>
                </c:pt>
                <c:pt idx="629">
                  <c:v>2.7599703003516414</c:v>
                </c:pt>
                <c:pt idx="630">
                  <c:v>3.0589617360805033</c:v>
                </c:pt>
                <c:pt idx="631">
                  <c:v>1.2265220198608251</c:v>
                </c:pt>
                <c:pt idx="632">
                  <c:v>-0.56058343986236459</c:v>
                </c:pt>
                <c:pt idx="633">
                  <c:v>2.9210645021047519</c:v>
                </c:pt>
                <c:pt idx="634">
                  <c:v>1.404229827556378</c:v>
                </c:pt>
                <c:pt idx="635">
                  <c:v>-0.26206423616956798</c:v>
                </c:pt>
                <c:pt idx="636">
                  <c:v>0.61497236361632268</c:v>
                </c:pt>
                <c:pt idx="637">
                  <c:v>2.5393162040399169</c:v>
                </c:pt>
                <c:pt idx="638">
                  <c:v>0.90474183240555561</c:v>
                </c:pt>
                <c:pt idx="639">
                  <c:v>-0.25349503782961236</c:v>
                </c:pt>
                <c:pt idx="640">
                  <c:v>2.7437193932061756</c:v>
                </c:pt>
                <c:pt idx="641">
                  <c:v>1.220538378853627</c:v>
                </c:pt>
                <c:pt idx="642">
                  <c:v>2.9113513905245867</c:v>
                </c:pt>
                <c:pt idx="643">
                  <c:v>0.29064939216004326</c:v>
                </c:pt>
                <c:pt idx="644">
                  <c:v>3.7754867199079243</c:v>
                </c:pt>
                <c:pt idx="645">
                  <c:v>2.8945253719972204</c:v>
                </c:pt>
                <c:pt idx="646">
                  <c:v>2.1324444617891629</c:v>
                </c:pt>
                <c:pt idx="647">
                  <c:v>2.8813338579881069</c:v>
                </c:pt>
                <c:pt idx="648">
                  <c:v>3.9440759995877048</c:v>
                </c:pt>
                <c:pt idx="649">
                  <c:v>4.2641716976342039</c:v>
                </c:pt>
                <c:pt idx="650">
                  <c:v>0.53714642086590914</c:v>
                </c:pt>
                <c:pt idx="651">
                  <c:v>1.0772759469850719</c:v>
                </c:pt>
                <c:pt idx="652">
                  <c:v>3.1738113242326413</c:v>
                </c:pt>
                <c:pt idx="653">
                  <c:v>1.8684875028856851E-2</c:v>
                </c:pt>
                <c:pt idx="654">
                  <c:v>2.0541223629595571</c:v>
                </c:pt>
                <c:pt idx="655">
                  <c:v>0.46226254282323609</c:v>
                </c:pt>
                <c:pt idx="656">
                  <c:v>2.7642316334766548E-2</c:v>
                </c:pt>
                <c:pt idx="657">
                  <c:v>1.7386600256094926</c:v>
                </c:pt>
                <c:pt idx="658">
                  <c:v>0.46373956953543249</c:v>
                </c:pt>
                <c:pt idx="659">
                  <c:v>0.53620619900286925</c:v>
                </c:pt>
                <c:pt idx="660">
                  <c:v>2.2854991061767453</c:v>
                </c:pt>
                <c:pt idx="661">
                  <c:v>-2.8762130568644295E-2</c:v>
                </c:pt>
                <c:pt idx="662">
                  <c:v>0.95208616558325154</c:v>
                </c:pt>
                <c:pt idx="663">
                  <c:v>1.2089921640450143</c:v>
                </c:pt>
                <c:pt idx="664">
                  <c:v>2.9684725038382673</c:v>
                </c:pt>
                <c:pt idx="665">
                  <c:v>1.7988157341666042</c:v>
                </c:pt>
                <c:pt idx="666">
                  <c:v>0.95766999868229341</c:v>
                </c:pt>
                <c:pt idx="667">
                  <c:v>3.0324519490322039</c:v>
                </c:pt>
                <c:pt idx="668">
                  <c:v>0.98477416321705924</c:v>
                </c:pt>
                <c:pt idx="669">
                  <c:v>2.7945197862874167</c:v>
                </c:pt>
                <c:pt idx="670">
                  <c:v>1.1557663895175825</c:v>
                </c:pt>
                <c:pt idx="671">
                  <c:v>4.1165555815167156</c:v>
                </c:pt>
                <c:pt idx="672">
                  <c:v>3.8237666036863089</c:v>
                </c:pt>
                <c:pt idx="673">
                  <c:v>0.44051050495718336</c:v>
                </c:pt>
                <c:pt idx="674">
                  <c:v>3.9821386060392587</c:v>
                </c:pt>
                <c:pt idx="675">
                  <c:v>3.8463790204806827</c:v>
                </c:pt>
                <c:pt idx="676">
                  <c:v>0.96841295943755945</c:v>
                </c:pt>
                <c:pt idx="677">
                  <c:v>0.85373094218658174</c:v>
                </c:pt>
                <c:pt idx="678">
                  <c:v>2.9212876360495432</c:v>
                </c:pt>
                <c:pt idx="679">
                  <c:v>1.9115295527715297</c:v>
                </c:pt>
                <c:pt idx="680">
                  <c:v>-0.3611939684158596</c:v>
                </c:pt>
                <c:pt idx="681">
                  <c:v>3.4214927051941029</c:v>
                </c:pt>
                <c:pt idx="682">
                  <c:v>3.2307444000792547</c:v>
                </c:pt>
                <c:pt idx="683">
                  <c:v>2.3938145210228949</c:v>
                </c:pt>
                <c:pt idx="684">
                  <c:v>2.0419163977093646</c:v>
                </c:pt>
                <c:pt idx="685">
                  <c:v>-0.39372344138955739</c:v>
                </c:pt>
                <c:pt idx="686">
                  <c:v>-0.50694005844105305</c:v>
                </c:pt>
                <c:pt idx="687">
                  <c:v>2.3697581224592916</c:v>
                </c:pt>
                <c:pt idx="688">
                  <c:v>2.3115618668250928</c:v>
                </c:pt>
                <c:pt idx="689">
                  <c:v>-0.1393309787905892</c:v>
                </c:pt>
                <c:pt idx="690">
                  <c:v>-0.67993854900690032</c:v>
                </c:pt>
                <c:pt idx="691">
                  <c:v>1.2181977467102065</c:v>
                </c:pt>
                <c:pt idx="692">
                  <c:v>0.2717736734461127</c:v>
                </c:pt>
                <c:pt idx="693">
                  <c:v>2.2734068577835682</c:v>
                </c:pt>
                <c:pt idx="694">
                  <c:v>1.859034709151441</c:v>
                </c:pt>
                <c:pt idx="695">
                  <c:v>2.7577110424570748</c:v>
                </c:pt>
                <c:pt idx="696">
                  <c:v>-0.26063079863080141</c:v>
                </c:pt>
                <c:pt idx="697">
                  <c:v>2.2647244560595663</c:v>
                </c:pt>
                <c:pt idx="698">
                  <c:v>1.0605299183556181</c:v>
                </c:pt>
                <c:pt idx="699">
                  <c:v>1.6875667575103357</c:v>
                </c:pt>
                <c:pt idx="700">
                  <c:v>1.458634764246554</c:v>
                </c:pt>
                <c:pt idx="701">
                  <c:v>1.3497326996991532</c:v>
                </c:pt>
                <c:pt idx="702">
                  <c:v>2.9707529902864547</c:v>
                </c:pt>
                <c:pt idx="703">
                  <c:v>2.300712916597579</c:v>
                </c:pt>
                <c:pt idx="704">
                  <c:v>1.7984915447244862</c:v>
                </c:pt>
                <c:pt idx="705">
                  <c:v>1.4141492474185746</c:v>
                </c:pt>
                <c:pt idx="706">
                  <c:v>2.6130722183546116</c:v>
                </c:pt>
                <c:pt idx="707">
                  <c:v>1.0375294556379799</c:v>
                </c:pt>
                <c:pt idx="708">
                  <c:v>1.9472142608459198</c:v>
                </c:pt>
                <c:pt idx="709">
                  <c:v>2.4398026916319289</c:v>
                </c:pt>
                <c:pt idx="710">
                  <c:v>-1.5038853157353813</c:v>
                </c:pt>
                <c:pt idx="711">
                  <c:v>-0.47598278994831489</c:v>
                </c:pt>
                <c:pt idx="712">
                  <c:v>-1.328899065512223</c:v>
                </c:pt>
                <c:pt idx="713">
                  <c:v>1.9695928372512572</c:v>
                </c:pt>
                <c:pt idx="714">
                  <c:v>1.9890038094987315</c:v>
                </c:pt>
                <c:pt idx="715">
                  <c:v>-1.172685746341033</c:v>
                </c:pt>
                <c:pt idx="716">
                  <c:v>-0.75832711636863159</c:v>
                </c:pt>
                <c:pt idx="717">
                  <c:v>-0.15173944308888743</c:v>
                </c:pt>
                <c:pt idx="718">
                  <c:v>0.35874362854855413</c:v>
                </c:pt>
                <c:pt idx="719">
                  <c:v>1.5062605784842109</c:v>
                </c:pt>
                <c:pt idx="720">
                  <c:v>1.7479484999453838</c:v>
                </c:pt>
                <c:pt idx="721">
                  <c:v>-0.58403835719890829</c:v>
                </c:pt>
                <c:pt idx="722">
                  <c:v>-1.5765746169154067</c:v>
                </c:pt>
                <c:pt idx="723">
                  <c:v>1.7266739720769095</c:v>
                </c:pt>
                <c:pt idx="724">
                  <c:v>-0.41306882669175771</c:v>
                </c:pt>
                <c:pt idx="725">
                  <c:v>-1.1334508446116853</c:v>
                </c:pt>
                <c:pt idx="726">
                  <c:v>1.3711158040494862</c:v>
                </c:pt>
                <c:pt idx="727">
                  <c:v>-1.0310444265705101</c:v>
                </c:pt>
                <c:pt idx="728">
                  <c:v>0.21308862934099615</c:v>
                </c:pt>
                <c:pt idx="729">
                  <c:v>0.10690032895369583</c:v>
                </c:pt>
                <c:pt idx="730">
                  <c:v>-1.5911243086293272</c:v>
                </c:pt>
                <c:pt idx="731">
                  <c:v>-0.93376172700051185</c:v>
                </c:pt>
                <c:pt idx="732">
                  <c:v>-0.91673081102796239</c:v>
                </c:pt>
                <c:pt idx="733">
                  <c:v>-0.6244181943380287</c:v>
                </c:pt>
                <c:pt idx="734">
                  <c:v>0.75393389792142607</c:v>
                </c:pt>
                <c:pt idx="735">
                  <c:v>-2.5307195804594071</c:v>
                </c:pt>
                <c:pt idx="736">
                  <c:v>-2.2068955359664315</c:v>
                </c:pt>
                <c:pt idx="737">
                  <c:v>-1.5749933619786756</c:v>
                </c:pt>
                <c:pt idx="738">
                  <c:v>-2.6223378977596603</c:v>
                </c:pt>
                <c:pt idx="739">
                  <c:v>-0.15145359220404764</c:v>
                </c:pt>
                <c:pt idx="740">
                  <c:v>-0.10468374809425285</c:v>
                </c:pt>
                <c:pt idx="741">
                  <c:v>-0.90508413530181109</c:v>
                </c:pt>
                <c:pt idx="742">
                  <c:v>-2.5486645978843558</c:v>
                </c:pt>
                <c:pt idx="743">
                  <c:v>-3.2331337349015055</c:v>
                </c:pt>
                <c:pt idx="744">
                  <c:v>-0.6985869305923682</c:v>
                </c:pt>
                <c:pt idx="745">
                  <c:v>-1.2920077633298099</c:v>
                </c:pt>
              </c:numCache>
            </c:numRef>
          </c:val>
          <c:smooth val="1"/>
          <c:extLst>
            <c:ext xmlns:c16="http://schemas.microsoft.com/office/drawing/2014/chart" uri="{C3380CC4-5D6E-409C-BE32-E72D297353CC}">
              <c16:uniqueId val="{00000002-C84C-40EA-9F09-B2A00E3AA167}"/>
            </c:ext>
          </c:extLst>
        </c:ser>
        <c:dLbls>
          <c:showLegendKey val="0"/>
          <c:showVal val="0"/>
          <c:showCatName val="0"/>
          <c:showSerName val="0"/>
          <c:showPercent val="0"/>
          <c:showBubbleSize val="0"/>
        </c:dLbls>
        <c:smooth val="0"/>
        <c:axId val="716269840"/>
        <c:axId val="716270320"/>
      </c:lineChart>
      <c:catAx>
        <c:axId val="716269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270320"/>
        <c:crosses val="autoZero"/>
        <c:auto val="1"/>
        <c:lblAlgn val="ctr"/>
        <c:lblOffset val="100"/>
        <c:noMultiLvlLbl val="1"/>
      </c:catAx>
      <c:valAx>
        <c:axId val="71627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Algae_Growth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26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Residuals_for</a:t>
            </a:r>
            <a:r>
              <a:rPr lang="en-US" baseline="0"/>
              <a:t>_Governing_equation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'Analyses and solution'!$AD$1</c:f>
              <c:strCache>
                <c:ptCount val="1"/>
                <c:pt idx="0">
                  <c:v>Residuals_GE</c:v>
                </c:pt>
              </c:strCache>
            </c:strRef>
          </c:tx>
          <c:spPr>
            <a:ln w="25400" cap="rnd">
              <a:noFill/>
              <a:round/>
            </a:ln>
            <a:effectLst/>
          </c:spPr>
          <c:marker>
            <c:symbol val="circle"/>
            <c:size val="5"/>
            <c:spPr>
              <a:solidFill>
                <a:schemeClr val="accent1"/>
              </a:solidFill>
              <a:ln w="9525">
                <a:solidFill>
                  <a:schemeClr val="accent1"/>
                </a:solidFill>
              </a:ln>
              <a:effectLst/>
            </c:spPr>
          </c:marker>
          <c:yVal>
            <c:numRef>
              <c:f>'Analyses and solution'!$AD$2:$AD$747</c:f>
              <c:numCache>
                <c:formatCode>General</c:formatCode>
                <c:ptCount val="746"/>
                <c:pt idx="0">
                  <c:v>-0.60144319057254325</c:v>
                </c:pt>
                <c:pt idx="1">
                  <c:v>1.112964384704509</c:v>
                </c:pt>
                <c:pt idx="2">
                  <c:v>1.8798300647421708</c:v>
                </c:pt>
                <c:pt idx="3">
                  <c:v>-0.4496637677534725</c:v>
                </c:pt>
                <c:pt idx="4">
                  <c:v>-1.4466162130670295</c:v>
                </c:pt>
                <c:pt idx="5">
                  <c:v>-1.8507882311490143E-2</c:v>
                </c:pt>
                <c:pt idx="6">
                  <c:v>0.25310996011313147</c:v>
                </c:pt>
                <c:pt idx="7">
                  <c:v>-0.94973630145358534</c:v>
                </c:pt>
                <c:pt idx="8">
                  <c:v>2.0171065929572505</c:v>
                </c:pt>
                <c:pt idx="9">
                  <c:v>0.92023125421011009</c:v>
                </c:pt>
                <c:pt idx="10">
                  <c:v>-1.6387412744433476</c:v>
                </c:pt>
                <c:pt idx="11">
                  <c:v>0.16592818407818744</c:v>
                </c:pt>
                <c:pt idx="12">
                  <c:v>-0.38742935576302262</c:v>
                </c:pt>
                <c:pt idx="13">
                  <c:v>-0.72600712367106546</c:v>
                </c:pt>
                <c:pt idx="14">
                  <c:v>0.38815595320980378</c:v>
                </c:pt>
                <c:pt idx="15">
                  <c:v>-1.5733541030727105</c:v>
                </c:pt>
                <c:pt idx="16">
                  <c:v>-0.62244214927453445</c:v>
                </c:pt>
                <c:pt idx="17">
                  <c:v>-0.71261510301452802</c:v>
                </c:pt>
                <c:pt idx="18">
                  <c:v>-0.50814972838270567</c:v>
                </c:pt>
                <c:pt idx="19">
                  <c:v>-2.4540032707269361</c:v>
                </c:pt>
                <c:pt idx="20">
                  <c:v>-0.74541667488567054</c:v>
                </c:pt>
                <c:pt idx="21">
                  <c:v>0.57860963231751139</c:v>
                </c:pt>
                <c:pt idx="22">
                  <c:v>-2.0951073443426074</c:v>
                </c:pt>
                <c:pt idx="23">
                  <c:v>-1.7086834883821496</c:v>
                </c:pt>
                <c:pt idx="24">
                  <c:v>-1.5774855325138457</c:v>
                </c:pt>
                <c:pt idx="25">
                  <c:v>1.6040749302494612</c:v>
                </c:pt>
                <c:pt idx="26">
                  <c:v>1.3137799681708593</c:v>
                </c:pt>
                <c:pt idx="27">
                  <c:v>1.6985539925585762</c:v>
                </c:pt>
                <c:pt idx="28">
                  <c:v>1.2209047584718054</c:v>
                </c:pt>
                <c:pt idx="29">
                  <c:v>0.50501253301884841</c:v>
                </c:pt>
                <c:pt idx="30">
                  <c:v>-1.2844643449230366</c:v>
                </c:pt>
                <c:pt idx="31">
                  <c:v>-1.3438546883515823</c:v>
                </c:pt>
                <c:pt idx="32">
                  <c:v>0.34825282286807369</c:v>
                </c:pt>
                <c:pt idx="33">
                  <c:v>-0.21457824337300835</c:v>
                </c:pt>
                <c:pt idx="34">
                  <c:v>-0.16512937709467312</c:v>
                </c:pt>
                <c:pt idx="35">
                  <c:v>-0.67276557477817356</c:v>
                </c:pt>
                <c:pt idx="36">
                  <c:v>-1.5914429012929938</c:v>
                </c:pt>
                <c:pt idx="37">
                  <c:v>1.9695440372216568</c:v>
                </c:pt>
                <c:pt idx="38">
                  <c:v>-0.34511857875442775</c:v>
                </c:pt>
                <c:pt idx="39">
                  <c:v>8.5965602629326732E-2</c:v>
                </c:pt>
                <c:pt idx="40">
                  <c:v>1.244651271316835</c:v>
                </c:pt>
                <c:pt idx="41">
                  <c:v>1.0989302692863987</c:v>
                </c:pt>
                <c:pt idx="42">
                  <c:v>-0.18223446892564699</c:v>
                </c:pt>
                <c:pt idx="43">
                  <c:v>-2.1435104780807537</c:v>
                </c:pt>
                <c:pt idx="44">
                  <c:v>-0.16740393890292271</c:v>
                </c:pt>
                <c:pt idx="45">
                  <c:v>-0.57813789602616872</c:v>
                </c:pt>
                <c:pt idx="46">
                  <c:v>-1.1197817225590079</c:v>
                </c:pt>
                <c:pt idx="47">
                  <c:v>-2.0322573029430377</c:v>
                </c:pt>
                <c:pt idx="48">
                  <c:v>0.12883709098021967</c:v>
                </c:pt>
                <c:pt idx="49">
                  <c:v>-2.2806947460556808</c:v>
                </c:pt>
                <c:pt idx="50">
                  <c:v>-1.2665905126293691</c:v>
                </c:pt>
                <c:pt idx="51">
                  <c:v>1.7078590652971908</c:v>
                </c:pt>
                <c:pt idx="52">
                  <c:v>-1.1997060908291584</c:v>
                </c:pt>
                <c:pt idx="53">
                  <c:v>-1.6274348425192189</c:v>
                </c:pt>
                <c:pt idx="54">
                  <c:v>-0.24804711417734993</c:v>
                </c:pt>
                <c:pt idx="55">
                  <c:v>-0.81211759156379237</c:v>
                </c:pt>
                <c:pt idx="56">
                  <c:v>2.0759772100560214</c:v>
                </c:pt>
                <c:pt idx="57">
                  <c:v>2.4161614746382245</c:v>
                </c:pt>
                <c:pt idx="58">
                  <c:v>1.0971609091231294</c:v>
                </c:pt>
                <c:pt idx="59">
                  <c:v>1.7568974105889632</c:v>
                </c:pt>
                <c:pt idx="60">
                  <c:v>2.451208394573996</c:v>
                </c:pt>
                <c:pt idx="61">
                  <c:v>-0.8353768679757323</c:v>
                </c:pt>
                <c:pt idx="62">
                  <c:v>1.9910075814150971</c:v>
                </c:pt>
                <c:pt idx="63">
                  <c:v>1.4721669411792755</c:v>
                </c:pt>
                <c:pt idx="64">
                  <c:v>-1.4126265933024236</c:v>
                </c:pt>
                <c:pt idx="65">
                  <c:v>0.77582239584390322</c:v>
                </c:pt>
                <c:pt idx="66">
                  <c:v>-0.56808430041975733</c:v>
                </c:pt>
                <c:pt idx="67">
                  <c:v>-1.0895171249734616</c:v>
                </c:pt>
                <c:pt idx="68">
                  <c:v>-1.1203282980992659</c:v>
                </c:pt>
                <c:pt idx="69">
                  <c:v>-2.2221823753260157</c:v>
                </c:pt>
                <c:pt idx="70">
                  <c:v>-0.5383329693888621</c:v>
                </c:pt>
                <c:pt idx="71">
                  <c:v>-2.134545719827778</c:v>
                </c:pt>
                <c:pt idx="72">
                  <c:v>0.71960763438563635</c:v>
                </c:pt>
                <c:pt idx="73">
                  <c:v>-1.7466308297993427</c:v>
                </c:pt>
                <c:pt idx="74">
                  <c:v>0.87479193611183614</c:v>
                </c:pt>
                <c:pt idx="75">
                  <c:v>-1.6027243077660387</c:v>
                </c:pt>
                <c:pt idx="76">
                  <c:v>0.34199275519827577</c:v>
                </c:pt>
                <c:pt idx="77">
                  <c:v>0.6874787031075007</c:v>
                </c:pt>
                <c:pt idx="78">
                  <c:v>-0.13368598338341808</c:v>
                </c:pt>
                <c:pt idx="79">
                  <c:v>-1.1607177169980529</c:v>
                </c:pt>
                <c:pt idx="80">
                  <c:v>1.1184701791336114</c:v>
                </c:pt>
                <c:pt idx="81">
                  <c:v>-1.3119322142291701</c:v>
                </c:pt>
                <c:pt idx="82">
                  <c:v>0.49957411728700407</c:v>
                </c:pt>
                <c:pt idx="83">
                  <c:v>1.2282266698272384</c:v>
                </c:pt>
                <c:pt idx="84">
                  <c:v>-0.73037147831568694</c:v>
                </c:pt>
                <c:pt idx="85">
                  <c:v>0.55380966900068085</c:v>
                </c:pt>
                <c:pt idx="86">
                  <c:v>0.77083803474784141</c:v>
                </c:pt>
                <c:pt idx="87">
                  <c:v>-1.3669132994643793</c:v>
                </c:pt>
                <c:pt idx="88">
                  <c:v>-1.2647652231589772</c:v>
                </c:pt>
                <c:pt idx="89">
                  <c:v>-1.0433673933897039</c:v>
                </c:pt>
                <c:pt idx="90">
                  <c:v>-1.385559149917845</c:v>
                </c:pt>
                <c:pt idx="91">
                  <c:v>-1.3640416287929624</c:v>
                </c:pt>
                <c:pt idx="92">
                  <c:v>1.3689452723088635</c:v>
                </c:pt>
                <c:pt idx="93">
                  <c:v>1.0441600817321222</c:v>
                </c:pt>
                <c:pt idx="94">
                  <c:v>1.6032166451450989</c:v>
                </c:pt>
                <c:pt idx="95">
                  <c:v>-2.3252875730126066</c:v>
                </c:pt>
                <c:pt idx="96">
                  <c:v>-2.2287454675216942</c:v>
                </c:pt>
                <c:pt idx="97">
                  <c:v>-0.232068410911487</c:v>
                </c:pt>
                <c:pt idx="98">
                  <c:v>0.74330347422556731</c:v>
                </c:pt>
                <c:pt idx="99">
                  <c:v>-0.58442301757567261</c:v>
                </c:pt>
                <c:pt idx="100">
                  <c:v>-2.6036109972340817</c:v>
                </c:pt>
                <c:pt idx="101">
                  <c:v>0.22021248882305589</c:v>
                </c:pt>
                <c:pt idx="102">
                  <c:v>-0.72739912400563345</c:v>
                </c:pt>
                <c:pt idx="103">
                  <c:v>1.3719674959312815</c:v>
                </c:pt>
                <c:pt idx="104">
                  <c:v>0.71899648996932441</c:v>
                </c:pt>
                <c:pt idx="105">
                  <c:v>-2.0411036537044538</c:v>
                </c:pt>
                <c:pt idx="106">
                  <c:v>0.15839576112134779</c:v>
                </c:pt>
                <c:pt idx="107">
                  <c:v>0.73863831979516981</c:v>
                </c:pt>
                <c:pt idx="108">
                  <c:v>0.87615824340422233</c:v>
                </c:pt>
                <c:pt idx="109">
                  <c:v>-0.24569391279569608</c:v>
                </c:pt>
                <c:pt idx="110">
                  <c:v>2.1432992494560299</c:v>
                </c:pt>
                <c:pt idx="111">
                  <c:v>-0.75025796436988124</c:v>
                </c:pt>
                <c:pt idx="112">
                  <c:v>0.84067463654410268</c:v>
                </c:pt>
                <c:pt idx="113">
                  <c:v>0.79684176849373323</c:v>
                </c:pt>
                <c:pt idx="114">
                  <c:v>1.9669121164591825</c:v>
                </c:pt>
                <c:pt idx="115">
                  <c:v>-1.7461139479782122</c:v>
                </c:pt>
                <c:pt idx="116">
                  <c:v>0.49987310373004323</c:v>
                </c:pt>
                <c:pt idx="117">
                  <c:v>0.52474932549847697</c:v>
                </c:pt>
                <c:pt idx="118">
                  <c:v>-4.4927555095839011E-2</c:v>
                </c:pt>
                <c:pt idx="119">
                  <c:v>-0.18862004470894966</c:v>
                </c:pt>
                <c:pt idx="120">
                  <c:v>-2.1935946825227646</c:v>
                </c:pt>
                <c:pt idx="121">
                  <c:v>1.0443706025257553</c:v>
                </c:pt>
                <c:pt idx="122">
                  <c:v>-0.64232755030913502</c:v>
                </c:pt>
                <c:pt idx="123">
                  <c:v>-1.9451084194166981</c:v>
                </c:pt>
                <c:pt idx="124">
                  <c:v>-2.2338865966468582</c:v>
                </c:pt>
                <c:pt idx="125">
                  <c:v>0.80780198474912801</c:v>
                </c:pt>
                <c:pt idx="126">
                  <c:v>-1.9562839813094488</c:v>
                </c:pt>
                <c:pt idx="127">
                  <c:v>0.56819801501990952</c:v>
                </c:pt>
                <c:pt idx="128">
                  <c:v>-2.2745962623812126</c:v>
                </c:pt>
                <c:pt idx="129">
                  <c:v>-0.47801732822279419</c:v>
                </c:pt>
                <c:pt idx="130">
                  <c:v>-1.256084275722567</c:v>
                </c:pt>
                <c:pt idx="131">
                  <c:v>-1.3817909638484736</c:v>
                </c:pt>
                <c:pt idx="132">
                  <c:v>1.2584271374567884</c:v>
                </c:pt>
                <c:pt idx="133">
                  <c:v>-0.28671197472339305</c:v>
                </c:pt>
                <c:pt idx="134">
                  <c:v>-2.0492544811328353</c:v>
                </c:pt>
                <c:pt idx="135">
                  <c:v>-1.3847152200829203</c:v>
                </c:pt>
                <c:pt idx="136">
                  <c:v>0.61955360082119615</c:v>
                </c:pt>
                <c:pt idx="137">
                  <c:v>-0.81997238543981954</c:v>
                </c:pt>
                <c:pt idx="138">
                  <c:v>-0.31934006041572971</c:v>
                </c:pt>
                <c:pt idx="139">
                  <c:v>0.34085782293838207</c:v>
                </c:pt>
                <c:pt idx="140">
                  <c:v>1.6601283435251109</c:v>
                </c:pt>
                <c:pt idx="141">
                  <c:v>-1.650678766979806</c:v>
                </c:pt>
                <c:pt idx="142">
                  <c:v>0.90955612229186844</c:v>
                </c:pt>
                <c:pt idx="143">
                  <c:v>-0.3317875725046795</c:v>
                </c:pt>
                <c:pt idx="144">
                  <c:v>-1.1869345657362906</c:v>
                </c:pt>
                <c:pt idx="145">
                  <c:v>0.8414305765111072</c:v>
                </c:pt>
                <c:pt idx="146">
                  <c:v>-1.7110397783519637</c:v>
                </c:pt>
                <c:pt idx="147">
                  <c:v>-1.34927336851311</c:v>
                </c:pt>
                <c:pt idx="148">
                  <c:v>-0.96348722246376894</c:v>
                </c:pt>
                <c:pt idx="149">
                  <c:v>-0.32080923261939098</c:v>
                </c:pt>
                <c:pt idx="150">
                  <c:v>-1.6395446210736973</c:v>
                </c:pt>
                <c:pt idx="151">
                  <c:v>0.85540595030574895</c:v>
                </c:pt>
                <c:pt idx="152">
                  <c:v>1.1585426419204055</c:v>
                </c:pt>
                <c:pt idx="153">
                  <c:v>0.41248018600490521</c:v>
                </c:pt>
                <c:pt idx="154">
                  <c:v>0.56463828976823471</c:v>
                </c:pt>
                <c:pt idx="155">
                  <c:v>0.33545078920263549</c:v>
                </c:pt>
                <c:pt idx="156">
                  <c:v>0.30199268824892922</c:v>
                </c:pt>
                <c:pt idx="157">
                  <c:v>0.95060134269401786</c:v>
                </c:pt>
                <c:pt idx="158">
                  <c:v>-0.21165140394019133</c:v>
                </c:pt>
                <c:pt idx="159">
                  <c:v>-0.80624288657745868</c:v>
                </c:pt>
                <c:pt idx="160">
                  <c:v>-1.7014548343202778</c:v>
                </c:pt>
                <c:pt idx="161">
                  <c:v>-1.7649901949630111</c:v>
                </c:pt>
                <c:pt idx="162">
                  <c:v>-8.6396951431727764E-2</c:v>
                </c:pt>
                <c:pt idx="163">
                  <c:v>0.23164040625170479</c:v>
                </c:pt>
                <c:pt idx="164">
                  <c:v>1.7157832399083324</c:v>
                </c:pt>
                <c:pt idx="165">
                  <c:v>0.79868293688532255</c:v>
                </c:pt>
                <c:pt idx="166">
                  <c:v>-0.65788551979887711</c:v>
                </c:pt>
                <c:pt idx="167">
                  <c:v>-0.50785677589388012</c:v>
                </c:pt>
                <c:pt idx="168">
                  <c:v>-0.97933603142562298</c:v>
                </c:pt>
                <c:pt idx="169">
                  <c:v>0.70455506380985344</c:v>
                </c:pt>
                <c:pt idx="170">
                  <c:v>-1.0082742936833959</c:v>
                </c:pt>
                <c:pt idx="171">
                  <c:v>0.29595123566045789</c:v>
                </c:pt>
                <c:pt idx="172">
                  <c:v>1.6766286542114308</c:v>
                </c:pt>
                <c:pt idx="173">
                  <c:v>-1.3148354772522381</c:v>
                </c:pt>
                <c:pt idx="174">
                  <c:v>-1.5713159825281879</c:v>
                </c:pt>
                <c:pt idx="175">
                  <c:v>-2.3778010723862621</c:v>
                </c:pt>
                <c:pt idx="176">
                  <c:v>-1.8109991937138226</c:v>
                </c:pt>
                <c:pt idx="177">
                  <c:v>-1.9894378211610038</c:v>
                </c:pt>
                <c:pt idx="178">
                  <c:v>0.94590673247773882</c:v>
                </c:pt>
                <c:pt idx="179">
                  <c:v>0.21712489841381277</c:v>
                </c:pt>
                <c:pt idx="180">
                  <c:v>1.0711002068397555</c:v>
                </c:pt>
                <c:pt idx="181">
                  <c:v>7.4007060132381675E-2</c:v>
                </c:pt>
                <c:pt idx="182">
                  <c:v>0.11183446314178269</c:v>
                </c:pt>
                <c:pt idx="183">
                  <c:v>-0.97383398769113416</c:v>
                </c:pt>
                <c:pt idx="184">
                  <c:v>-2.4968704045238566</c:v>
                </c:pt>
                <c:pt idx="185">
                  <c:v>-0.86109995723629851</c:v>
                </c:pt>
                <c:pt idx="186">
                  <c:v>-1.7417289977022357</c:v>
                </c:pt>
                <c:pt idx="187">
                  <c:v>-0.10909531876706069</c:v>
                </c:pt>
                <c:pt idx="188">
                  <c:v>-1.597328935677341</c:v>
                </c:pt>
                <c:pt idx="189">
                  <c:v>0.2066701778824136</c:v>
                </c:pt>
                <c:pt idx="190">
                  <c:v>1.5631453099985189</c:v>
                </c:pt>
                <c:pt idx="191">
                  <c:v>-1.1183696626673667</c:v>
                </c:pt>
                <c:pt idx="192">
                  <c:v>1.8080599462864173</c:v>
                </c:pt>
                <c:pt idx="193">
                  <c:v>1.6308484763976017</c:v>
                </c:pt>
                <c:pt idx="194">
                  <c:v>1.2714075970447789</c:v>
                </c:pt>
                <c:pt idx="195">
                  <c:v>0.68028184824704585</c:v>
                </c:pt>
                <c:pt idx="196">
                  <c:v>2.7822249076626449E-2</c:v>
                </c:pt>
                <c:pt idx="197">
                  <c:v>1.3063139286199767</c:v>
                </c:pt>
                <c:pt idx="198">
                  <c:v>0.82753868324269853</c:v>
                </c:pt>
                <c:pt idx="199">
                  <c:v>-1.6842522788612007</c:v>
                </c:pt>
                <c:pt idx="200">
                  <c:v>-2.4212051202595459</c:v>
                </c:pt>
                <c:pt idx="201">
                  <c:v>-0.93651790121656298</c:v>
                </c:pt>
                <c:pt idx="202">
                  <c:v>-0.55509035379469474</c:v>
                </c:pt>
                <c:pt idx="203">
                  <c:v>-0.12289708010260192</c:v>
                </c:pt>
                <c:pt idx="204">
                  <c:v>-1.0277828346276348</c:v>
                </c:pt>
                <c:pt idx="205">
                  <c:v>-2.6560927109258063</c:v>
                </c:pt>
                <c:pt idx="206">
                  <c:v>-1.1229820126848811</c:v>
                </c:pt>
                <c:pt idx="207">
                  <c:v>-1.9284391860772336</c:v>
                </c:pt>
                <c:pt idx="208">
                  <c:v>1.1361639498280436</c:v>
                </c:pt>
                <c:pt idx="209">
                  <c:v>-0.81107272185349188</c:v>
                </c:pt>
                <c:pt idx="210">
                  <c:v>-1.7576075053845797</c:v>
                </c:pt>
                <c:pt idx="211">
                  <c:v>0.87866519089324235</c:v>
                </c:pt>
                <c:pt idx="212">
                  <c:v>0.33759439534640201</c:v>
                </c:pt>
                <c:pt idx="213">
                  <c:v>0.82281667560528504</c:v>
                </c:pt>
                <c:pt idx="214">
                  <c:v>-1.9122638721633098</c:v>
                </c:pt>
                <c:pt idx="215">
                  <c:v>-0.16885085069749373</c:v>
                </c:pt>
                <c:pt idx="216">
                  <c:v>1.3104738139117398</c:v>
                </c:pt>
                <c:pt idx="217">
                  <c:v>0.74874210949828424</c:v>
                </c:pt>
                <c:pt idx="218">
                  <c:v>-1.5998950539076544</c:v>
                </c:pt>
                <c:pt idx="219">
                  <c:v>0.42224195743095727</c:v>
                </c:pt>
                <c:pt idx="220">
                  <c:v>1.937392982280624</c:v>
                </c:pt>
                <c:pt idx="221">
                  <c:v>1.8035191846660492</c:v>
                </c:pt>
                <c:pt idx="222">
                  <c:v>-0.6708114659265707</c:v>
                </c:pt>
                <c:pt idx="223">
                  <c:v>-1.1916049817481937</c:v>
                </c:pt>
                <c:pt idx="224">
                  <c:v>1.0635007848789417</c:v>
                </c:pt>
                <c:pt idx="225">
                  <c:v>0.66771101302336433</c:v>
                </c:pt>
                <c:pt idx="226">
                  <c:v>-0.84637890459708309</c:v>
                </c:pt>
                <c:pt idx="227">
                  <c:v>0.7144869387212065</c:v>
                </c:pt>
                <c:pt idx="228">
                  <c:v>-1.2866713856201901</c:v>
                </c:pt>
                <c:pt idx="229">
                  <c:v>-0.48245658489088505</c:v>
                </c:pt>
                <c:pt idx="230">
                  <c:v>-2.2749698867002879</c:v>
                </c:pt>
                <c:pt idx="231">
                  <c:v>0.29464291791575548</c:v>
                </c:pt>
                <c:pt idx="232">
                  <c:v>-2.7398913903946109E-2</c:v>
                </c:pt>
                <c:pt idx="233">
                  <c:v>0.78692210717583144</c:v>
                </c:pt>
                <c:pt idx="234">
                  <c:v>0.17433647796050167</c:v>
                </c:pt>
                <c:pt idx="235">
                  <c:v>-9.1446588437078091E-2</c:v>
                </c:pt>
                <c:pt idx="236">
                  <c:v>0.74951836593931631</c:v>
                </c:pt>
                <c:pt idx="237">
                  <c:v>0.37027933547146041</c:v>
                </c:pt>
                <c:pt idx="238">
                  <c:v>-1.8716764978212073</c:v>
                </c:pt>
                <c:pt idx="239">
                  <c:v>-0.98482985784218968</c:v>
                </c:pt>
                <c:pt idx="240">
                  <c:v>-4.7709745693792271E-2</c:v>
                </c:pt>
                <c:pt idx="241">
                  <c:v>-2.0069966002186881</c:v>
                </c:pt>
                <c:pt idx="242">
                  <c:v>-2.5087429585660459E-2</c:v>
                </c:pt>
                <c:pt idx="243">
                  <c:v>1.8785659868048246</c:v>
                </c:pt>
                <c:pt idx="244">
                  <c:v>0.23498172235128933</c:v>
                </c:pt>
                <c:pt idx="245">
                  <c:v>0.15303589791291472</c:v>
                </c:pt>
                <c:pt idx="246">
                  <c:v>0.7902523446360199</c:v>
                </c:pt>
                <c:pt idx="247">
                  <c:v>0.25092773917014455</c:v>
                </c:pt>
                <c:pt idx="248">
                  <c:v>1.9018749993873296</c:v>
                </c:pt>
                <c:pt idx="249">
                  <c:v>0.22551448766286519</c:v>
                </c:pt>
                <c:pt idx="250">
                  <c:v>-1.9938671596890316</c:v>
                </c:pt>
                <c:pt idx="251">
                  <c:v>1.4917638995292215</c:v>
                </c:pt>
                <c:pt idx="252">
                  <c:v>-0.82921872103359462</c:v>
                </c:pt>
                <c:pt idx="253">
                  <c:v>-1.2682668008906983</c:v>
                </c:pt>
                <c:pt idx="254">
                  <c:v>0.61481988346251448</c:v>
                </c:pt>
                <c:pt idx="255">
                  <c:v>-2.011653042189252</c:v>
                </c:pt>
                <c:pt idx="256">
                  <c:v>-1.3522674534034813</c:v>
                </c:pt>
                <c:pt idx="257">
                  <c:v>0.6961376994383599</c:v>
                </c:pt>
                <c:pt idx="258">
                  <c:v>-1.1155677985990717</c:v>
                </c:pt>
                <c:pt idx="259">
                  <c:v>-0.25381496761459665</c:v>
                </c:pt>
                <c:pt idx="260">
                  <c:v>-0.41636421799527312</c:v>
                </c:pt>
                <c:pt idx="261">
                  <c:v>-0.61964773059212952</c:v>
                </c:pt>
                <c:pt idx="262">
                  <c:v>-2.075994523205134</c:v>
                </c:pt>
                <c:pt idx="263">
                  <c:v>-0.49130399125233204</c:v>
                </c:pt>
                <c:pt idx="264">
                  <c:v>-1.9470401490043514</c:v>
                </c:pt>
                <c:pt idx="265">
                  <c:v>1.1318434455188733</c:v>
                </c:pt>
                <c:pt idx="266">
                  <c:v>-0.66017748515008101</c:v>
                </c:pt>
                <c:pt idx="267">
                  <c:v>1.3626680546228673</c:v>
                </c:pt>
                <c:pt idx="268">
                  <c:v>-0.60567503132976697</c:v>
                </c:pt>
                <c:pt idx="269">
                  <c:v>-0.86379814779549946</c:v>
                </c:pt>
                <c:pt idx="270">
                  <c:v>0.89658861620565133</c:v>
                </c:pt>
                <c:pt idx="271">
                  <c:v>1.3100847051461262</c:v>
                </c:pt>
                <c:pt idx="272">
                  <c:v>-0.33601329962952775</c:v>
                </c:pt>
                <c:pt idx="273">
                  <c:v>1.0837796961345596</c:v>
                </c:pt>
                <c:pt idx="274">
                  <c:v>1.6015458334411736</c:v>
                </c:pt>
                <c:pt idx="275">
                  <c:v>-1.378400086199667</c:v>
                </c:pt>
                <c:pt idx="276">
                  <c:v>-1.0648961247802387</c:v>
                </c:pt>
                <c:pt idx="277">
                  <c:v>0.69746431093361672</c:v>
                </c:pt>
                <c:pt idx="278">
                  <c:v>-0.28339987299477443</c:v>
                </c:pt>
                <c:pt idx="279">
                  <c:v>-0.44872944289508609</c:v>
                </c:pt>
                <c:pt idx="280">
                  <c:v>1.2241580544065176</c:v>
                </c:pt>
                <c:pt idx="281">
                  <c:v>-3.3924474696105378E-2</c:v>
                </c:pt>
                <c:pt idx="282">
                  <c:v>0.98335304628357179</c:v>
                </c:pt>
                <c:pt idx="283">
                  <c:v>1.1796804402129322</c:v>
                </c:pt>
                <c:pt idx="284">
                  <c:v>0.4889748866355248</c:v>
                </c:pt>
                <c:pt idx="285">
                  <c:v>-1.0704257941581936</c:v>
                </c:pt>
                <c:pt idx="286">
                  <c:v>-0.30476373111602406</c:v>
                </c:pt>
                <c:pt idx="287">
                  <c:v>1.0772526558515292</c:v>
                </c:pt>
                <c:pt idx="288">
                  <c:v>0.28686183963494649</c:v>
                </c:pt>
                <c:pt idx="289">
                  <c:v>-0.16678848198487195</c:v>
                </c:pt>
                <c:pt idx="290">
                  <c:v>-0.22580979599224271</c:v>
                </c:pt>
                <c:pt idx="291">
                  <c:v>0.27348145194055995</c:v>
                </c:pt>
                <c:pt idx="292">
                  <c:v>-1.268114709818656</c:v>
                </c:pt>
                <c:pt idx="293">
                  <c:v>-1.668645712787475</c:v>
                </c:pt>
                <c:pt idx="294">
                  <c:v>1.479037765359962</c:v>
                </c:pt>
                <c:pt idx="295">
                  <c:v>0.68941751944811713</c:v>
                </c:pt>
                <c:pt idx="296">
                  <c:v>0.29608249925932206</c:v>
                </c:pt>
                <c:pt idx="297">
                  <c:v>0.47594434643173145</c:v>
                </c:pt>
                <c:pt idx="298">
                  <c:v>-0.7126608207414904</c:v>
                </c:pt>
                <c:pt idx="299">
                  <c:v>0.48500772634620226</c:v>
                </c:pt>
                <c:pt idx="300">
                  <c:v>-1.264599094244689</c:v>
                </c:pt>
                <c:pt idx="301">
                  <c:v>0.37619560324726997</c:v>
                </c:pt>
                <c:pt idx="302">
                  <c:v>1.5978800760358034</c:v>
                </c:pt>
                <c:pt idx="303">
                  <c:v>1.1545511110363531</c:v>
                </c:pt>
                <c:pt idx="304">
                  <c:v>-0.30915482649703208</c:v>
                </c:pt>
                <c:pt idx="305">
                  <c:v>1.3975446775420952</c:v>
                </c:pt>
                <c:pt idx="306">
                  <c:v>1.4526265200904653</c:v>
                </c:pt>
                <c:pt idx="307">
                  <c:v>1.1348946670553843</c:v>
                </c:pt>
                <c:pt idx="308">
                  <c:v>0.92723647120605968</c:v>
                </c:pt>
                <c:pt idx="309">
                  <c:v>-1.7519336230873357</c:v>
                </c:pt>
                <c:pt idx="310">
                  <c:v>-1.6251308630632906</c:v>
                </c:pt>
                <c:pt idx="311">
                  <c:v>-1.644075343340516</c:v>
                </c:pt>
                <c:pt idx="312">
                  <c:v>0.31029492178415552</c:v>
                </c:pt>
                <c:pt idx="313">
                  <c:v>-1.8145060946330549</c:v>
                </c:pt>
                <c:pt idx="314">
                  <c:v>0.9705783117132345</c:v>
                </c:pt>
                <c:pt idx="315">
                  <c:v>-0.29518696889835283</c:v>
                </c:pt>
                <c:pt idx="316">
                  <c:v>-1.8457209339015055</c:v>
                </c:pt>
                <c:pt idx="317">
                  <c:v>6.3281223764091621E-2</c:v>
                </c:pt>
                <c:pt idx="318">
                  <c:v>0.78745786334599011</c:v>
                </c:pt>
                <c:pt idx="319">
                  <c:v>-1.6942706533652725</c:v>
                </c:pt>
                <c:pt idx="320">
                  <c:v>-0.43875717457584784</c:v>
                </c:pt>
                <c:pt idx="321">
                  <c:v>-1.128879923050313</c:v>
                </c:pt>
                <c:pt idx="322">
                  <c:v>-0.41266673172011714</c:v>
                </c:pt>
                <c:pt idx="323">
                  <c:v>-1.3419676962280125</c:v>
                </c:pt>
                <c:pt idx="324">
                  <c:v>0.80419996712581643</c:v>
                </c:pt>
                <c:pt idx="325">
                  <c:v>-0.96551763473855345</c:v>
                </c:pt>
                <c:pt idx="326">
                  <c:v>1.6808515472859877</c:v>
                </c:pt>
                <c:pt idx="327">
                  <c:v>1.8139495497830307</c:v>
                </c:pt>
                <c:pt idx="328">
                  <c:v>0.80382004423363007</c:v>
                </c:pt>
                <c:pt idx="329">
                  <c:v>0.95007810884881927</c:v>
                </c:pt>
                <c:pt idx="330">
                  <c:v>1.4240147339129212</c:v>
                </c:pt>
                <c:pt idx="331">
                  <c:v>-1.889555130528997E-2</c:v>
                </c:pt>
                <c:pt idx="332">
                  <c:v>1.1031892087726032</c:v>
                </c:pt>
                <c:pt idx="333">
                  <c:v>0.69451249153465255</c:v>
                </c:pt>
                <c:pt idx="334">
                  <c:v>-1.6762771288619014</c:v>
                </c:pt>
                <c:pt idx="335">
                  <c:v>-1.6473896883048571</c:v>
                </c:pt>
                <c:pt idx="336">
                  <c:v>1.3225369733711041</c:v>
                </c:pt>
                <c:pt idx="337">
                  <c:v>-1.273607204805808</c:v>
                </c:pt>
                <c:pt idx="338">
                  <c:v>0.58207045418003212</c:v>
                </c:pt>
                <c:pt idx="339">
                  <c:v>-2.5648066788633459</c:v>
                </c:pt>
                <c:pt idx="340">
                  <c:v>-0.27992173580991064</c:v>
                </c:pt>
                <c:pt idx="341">
                  <c:v>-0.46953156894790204</c:v>
                </c:pt>
                <c:pt idx="342">
                  <c:v>1.1702759827865385</c:v>
                </c:pt>
                <c:pt idx="343">
                  <c:v>-0.96155448602017479</c:v>
                </c:pt>
                <c:pt idx="344">
                  <c:v>0.72604395300121816</c:v>
                </c:pt>
                <c:pt idx="345">
                  <c:v>1.2518415283825757</c:v>
                </c:pt>
                <c:pt idx="346">
                  <c:v>1.6226734683008743</c:v>
                </c:pt>
                <c:pt idx="347">
                  <c:v>-0.17561951604346504</c:v>
                </c:pt>
                <c:pt idx="348">
                  <c:v>-0.70760728258032657</c:v>
                </c:pt>
                <c:pt idx="349">
                  <c:v>0.37687575885943936</c:v>
                </c:pt>
                <c:pt idx="350">
                  <c:v>-0.43165400511422192</c:v>
                </c:pt>
                <c:pt idx="351">
                  <c:v>-0.89662413973936417</c:v>
                </c:pt>
                <c:pt idx="352">
                  <c:v>0.6515612449903756</c:v>
                </c:pt>
                <c:pt idx="353">
                  <c:v>2.322196001233392</c:v>
                </c:pt>
                <c:pt idx="354">
                  <c:v>1.2539249955246135E-2</c:v>
                </c:pt>
                <c:pt idx="355">
                  <c:v>-0.99539036749144216</c:v>
                </c:pt>
                <c:pt idx="356">
                  <c:v>1.6130231206682311</c:v>
                </c:pt>
                <c:pt idx="357">
                  <c:v>-0.361122785541653</c:v>
                </c:pt>
                <c:pt idx="358">
                  <c:v>-0.6617030726362092</c:v>
                </c:pt>
                <c:pt idx="359">
                  <c:v>-1.4027018948532302</c:v>
                </c:pt>
                <c:pt idx="360">
                  <c:v>-0.17106309134855202</c:v>
                </c:pt>
                <c:pt idx="361">
                  <c:v>-2.0667227823153507</c:v>
                </c:pt>
                <c:pt idx="362">
                  <c:v>-1.4689593654849507</c:v>
                </c:pt>
                <c:pt idx="363">
                  <c:v>-0.55359503562977785</c:v>
                </c:pt>
                <c:pt idx="364">
                  <c:v>0.90556858797077666</c:v>
                </c:pt>
                <c:pt idx="365">
                  <c:v>-0.9153966206264279</c:v>
                </c:pt>
                <c:pt idx="366">
                  <c:v>0.93363099689655016</c:v>
                </c:pt>
                <c:pt idx="367">
                  <c:v>-2.4283940397019386</c:v>
                </c:pt>
                <c:pt idx="368">
                  <c:v>-1.1980541700347178</c:v>
                </c:pt>
                <c:pt idx="369">
                  <c:v>0.74401147288511815</c:v>
                </c:pt>
                <c:pt idx="370">
                  <c:v>-1.8841349517222996</c:v>
                </c:pt>
                <c:pt idx="371">
                  <c:v>-1.7282690254747521</c:v>
                </c:pt>
                <c:pt idx="372">
                  <c:v>0.2930812837431791</c:v>
                </c:pt>
                <c:pt idx="373">
                  <c:v>1.3306444985419112</c:v>
                </c:pt>
                <c:pt idx="374">
                  <c:v>0.70257193961007669</c:v>
                </c:pt>
                <c:pt idx="375">
                  <c:v>-4.2449117540952486E-3</c:v>
                </c:pt>
                <c:pt idx="376">
                  <c:v>-0.88340002618278479</c:v>
                </c:pt>
                <c:pt idx="377">
                  <c:v>2.1614466273869732</c:v>
                </c:pt>
                <c:pt idx="378">
                  <c:v>-0.60585815191653403</c:v>
                </c:pt>
                <c:pt idx="379">
                  <c:v>2.3677503253990047</c:v>
                </c:pt>
                <c:pt idx="380">
                  <c:v>-1.2831973584961487</c:v>
                </c:pt>
                <c:pt idx="381">
                  <c:v>-1.2760407950584041</c:v>
                </c:pt>
                <c:pt idx="382">
                  <c:v>-1.1901193540547688</c:v>
                </c:pt>
                <c:pt idx="383">
                  <c:v>1.2994101778067444</c:v>
                </c:pt>
                <c:pt idx="384">
                  <c:v>1.496937397124305</c:v>
                </c:pt>
                <c:pt idx="385">
                  <c:v>-1.8228044358299034</c:v>
                </c:pt>
                <c:pt idx="386">
                  <c:v>-1.8547804980285907</c:v>
                </c:pt>
                <c:pt idx="387">
                  <c:v>1.1555699283162602</c:v>
                </c:pt>
                <c:pt idx="388">
                  <c:v>0.24552580918852573</c:v>
                </c:pt>
                <c:pt idx="389">
                  <c:v>-1.8037192909109852</c:v>
                </c:pt>
                <c:pt idx="390">
                  <c:v>-2.2788559819375616</c:v>
                </c:pt>
                <c:pt idx="391">
                  <c:v>-0.30532227335381901</c:v>
                </c:pt>
                <c:pt idx="392">
                  <c:v>0.31271359548254285</c:v>
                </c:pt>
                <c:pt idx="393">
                  <c:v>-2.8624339370400875E-2</c:v>
                </c:pt>
                <c:pt idx="394">
                  <c:v>-2.4315023623812619</c:v>
                </c:pt>
                <c:pt idx="395">
                  <c:v>-1.0559671547540042</c:v>
                </c:pt>
                <c:pt idx="396">
                  <c:v>1.3798015076173806</c:v>
                </c:pt>
                <c:pt idx="397">
                  <c:v>0.56416900424710548</c:v>
                </c:pt>
                <c:pt idx="398">
                  <c:v>-1.0081285296450959</c:v>
                </c:pt>
                <c:pt idx="399">
                  <c:v>-0.52195874234243256</c:v>
                </c:pt>
                <c:pt idx="400">
                  <c:v>-0.84038329058700612</c:v>
                </c:pt>
                <c:pt idx="401">
                  <c:v>0.47615783167926118</c:v>
                </c:pt>
                <c:pt idx="402">
                  <c:v>2.2299498285903354</c:v>
                </c:pt>
                <c:pt idx="403">
                  <c:v>-0.46897563322216396</c:v>
                </c:pt>
                <c:pt idx="404">
                  <c:v>2.0797919023361873</c:v>
                </c:pt>
                <c:pt idx="405">
                  <c:v>0.84010500829169565</c:v>
                </c:pt>
                <c:pt idx="406">
                  <c:v>0.25371444306550384</c:v>
                </c:pt>
                <c:pt idx="407">
                  <c:v>1.8129428739877893</c:v>
                </c:pt>
                <c:pt idx="408">
                  <c:v>-1.2537629409856583</c:v>
                </c:pt>
                <c:pt idx="409">
                  <c:v>-0.70848027097849187</c:v>
                </c:pt>
                <c:pt idx="410">
                  <c:v>-1.0867663739572029</c:v>
                </c:pt>
                <c:pt idx="411">
                  <c:v>2.0775839875755011</c:v>
                </c:pt>
                <c:pt idx="412">
                  <c:v>-1.2866671735728472</c:v>
                </c:pt>
                <c:pt idx="413">
                  <c:v>0.96445965377038245</c:v>
                </c:pt>
                <c:pt idx="414">
                  <c:v>1.6326535620337088</c:v>
                </c:pt>
                <c:pt idx="415">
                  <c:v>-1.516946686496639</c:v>
                </c:pt>
                <c:pt idx="416">
                  <c:v>-0.83695998591103482</c:v>
                </c:pt>
                <c:pt idx="417">
                  <c:v>-1.8130454312990096E-2</c:v>
                </c:pt>
                <c:pt idx="418">
                  <c:v>-1.0829825223370886</c:v>
                </c:pt>
                <c:pt idx="419">
                  <c:v>0.1024617723037835</c:v>
                </c:pt>
                <c:pt idx="420">
                  <c:v>-0.63581399287576712</c:v>
                </c:pt>
                <c:pt idx="421">
                  <c:v>0.87185507426230213</c:v>
                </c:pt>
                <c:pt idx="422">
                  <c:v>-1.6061946893216899</c:v>
                </c:pt>
                <c:pt idx="423">
                  <c:v>-1.2341679586880421</c:v>
                </c:pt>
                <c:pt idx="424">
                  <c:v>-0.36200152105986749</c:v>
                </c:pt>
                <c:pt idx="425">
                  <c:v>-1.7268040967120197</c:v>
                </c:pt>
                <c:pt idx="426">
                  <c:v>-0.13616542231559592</c:v>
                </c:pt>
                <c:pt idx="427">
                  <c:v>0.96567520696510289</c:v>
                </c:pt>
                <c:pt idx="428">
                  <c:v>-1.3249081985350273</c:v>
                </c:pt>
                <c:pt idx="429">
                  <c:v>1.4371433423760704</c:v>
                </c:pt>
                <c:pt idx="430">
                  <c:v>-0.36392379712290701</c:v>
                </c:pt>
                <c:pt idx="431">
                  <c:v>1.1754163578272836</c:v>
                </c:pt>
                <c:pt idx="432">
                  <c:v>2.2458537830965071</c:v>
                </c:pt>
                <c:pt idx="433">
                  <c:v>1.6468179711199857</c:v>
                </c:pt>
                <c:pt idx="434">
                  <c:v>-0.71096370268627229</c:v>
                </c:pt>
                <c:pt idx="435">
                  <c:v>0.65693962741756717</c:v>
                </c:pt>
                <c:pt idx="436">
                  <c:v>0.79551411666285432</c:v>
                </c:pt>
                <c:pt idx="437">
                  <c:v>2.2315422085717227</c:v>
                </c:pt>
                <c:pt idx="438">
                  <c:v>-1.7545848750939328</c:v>
                </c:pt>
                <c:pt idx="439">
                  <c:v>-1.4080655819249346</c:v>
                </c:pt>
                <c:pt idx="440">
                  <c:v>1.7302691951831042</c:v>
                </c:pt>
                <c:pt idx="441">
                  <c:v>-0.82984615929975369</c:v>
                </c:pt>
                <c:pt idx="442">
                  <c:v>-1.0440610877256327</c:v>
                </c:pt>
                <c:pt idx="443">
                  <c:v>-1.6729143326782383</c:v>
                </c:pt>
                <c:pt idx="444">
                  <c:v>-1.8463394154620789</c:v>
                </c:pt>
                <c:pt idx="445">
                  <c:v>-2.0479838650914024</c:v>
                </c:pt>
                <c:pt idx="446">
                  <c:v>0.38970311039576533</c:v>
                </c:pt>
                <c:pt idx="447">
                  <c:v>1.1909001030351023</c:v>
                </c:pt>
                <c:pt idx="448">
                  <c:v>-0.46104511016090743</c:v>
                </c:pt>
                <c:pt idx="449">
                  <c:v>-1.7361714168935696</c:v>
                </c:pt>
                <c:pt idx="450">
                  <c:v>-1.2726703894689582</c:v>
                </c:pt>
                <c:pt idx="451">
                  <c:v>0.98405292114191045</c:v>
                </c:pt>
                <c:pt idx="452">
                  <c:v>0.2196128796812955</c:v>
                </c:pt>
                <c:pt idx="453">
                  <c:v>-0.94974318008323211</c:v>
                </c:pt>
                <c:pt idx="454">
                  <c:v>-0.87637216571882792</c:v>
                </c:pt>
                <c:pt idx="455">
                  <c:v>1.7827313231520305</c:v>
                </c:pt>
                <c:pt idx="456">
                  <c:v>-1.4356915473812961</c:v>
                </c:pt>
                <c:pt idx="457">
                  <c:v>2.2451854982423223</c:v>
                </c:pt>
                <c:pt idx="458">
                  <c:v>0.20050513699800465</c:v>
                </c:pt>
                <c:pt idx="459">
                  <c:v>1.8566082177943279</c:v>
                </c:pt>
                <c:pt idx="460">
                  <c:v>0.37522875383124976</c:v>
                </c:pt>
                <c:pt idx="461">
                  <c:v>1.5309929293330944</c:v>
                </c:pt>
                <c:pt idx="462">
                  <c:v>-0.43554560404422116</c:v>
                </c:pt>
                <c:pt idx="463">
                  <c:v>-1.4163737235144094</c:v>
                </c:pt>
                <c:pt idx="464">
                  <c:v>0.34974599291274355</c:v>
                </c:pt>
                <c:pt idx="465">
                  <c:v>1.8921163248873079</c:v>
                </c:pt>
                <c:pt idx="466">
                  <c:v>-0.66002451493099423</c:v>
                </c:pt>
                <c:pt idx="467">
                  <c:v>1.9640669633667951</c:v>
                </c:pt>
                <c:pt idx="468">
                  <c:v>-3.6844810024064145E-2</c:v>
                </c:pt>
                <c:pt idx="469">
                  <c:v>0.56788828082599085</c:v>
                </c:pt>
                <c:pt idx="470">
                  <c:v>1.4602142572867347</c:v>
                </c:pt>
                <c:pt idx="471">
                  <c:v>-1.20558570821734</c:v>
                </c:pt>
                <c:pt idx="472">
                  <c:v>-2.35568835502621</c:v>
                </c:pt>
                <c:pt idx="473">
                  <c:v>1.204711743301214</c:v>
                </c:pt>
                <c:pt idx="474">
                  <c:v>-0.22130025190417957</c:v>
                </c:pt>
                <c:pt idx="475">
                  <c:v>-2.0176569967025237</c:v>
                </c:pt>
                <c:pt idx="476">
                  <c:v>0.41047521850680724</c:v>
                </c:pt>
                <c:pt idx="477">
                  <c:v>1.7766153625433434</c:v>
                </c:pt>
                <c:pt idx="478">
                  <c:v>0.772234802780563</c:v>
                </c:pt>
                <c:pt idx="479">
                  <c:v>0.28721309171763298</c:v>
                </c:pt>
                <c:pt idx="480">
                  <c:v>1.8707492462495052</c:v>
                </c:pt>
                <c:pt idx="481">
                  <c:v>-0.37689743430157741</c:v>
                </c:pt>
                <c:pt idx="482">
                  <c:v>1.9100763871949491</c:v>
                </c:pt>
                <c:pt idx="483">
                  <c:v>-0.24025423621403519</c:v>
                </c:pt>
                <c:pt idx="484">
                  <c:v>1.4619314809929183</c:v>
                </c:pt>
                <c:pt idx="485">
                  <c:v>-0.88585819595001292</c:v>
                </c:pt>
                <c:pt idx="486">
                  <c:v>1.9567607892487509</c:v>
                </c:pt>
                <c:pt idx="487">
                  <c:v>2.3601722513892005</c:v>
                </c:pt>
                <c:pt idx="488">
                  <c:v>1.5655169262846327</c:v>
                </c:pt>
                <c:pt idx="489">
                  <c:v>0.64606544338230076</c:v>
                </c:pt>
                <c:pt idx="490">
                  <c:v>0.30075007815824772</c:v>
                </c:pt>
                <c:pt idx="491">
                  <c:v>-2.9665382383935679E-2</c:v>
                </c:pt>
                <c:pt idx="492">
                  <c:v>-0.44599282014694008</c:v>
                </c:pt>
                <c:pt idx="493">
                  <c:v>-1.6267961640992672</c:v>
                </c:pt>
                <c:pt idx="494">
                  <c:v>0.5598630624006562</c:v>
                </c:pt>
                <c:pt idx="495">
                  <c:v>1.2769928855640273</c:v>
                </c:pt>
                <c:pt idx="496">
                  <c:v>0.38401386268128501</c:v>
                </c:pt>
                <c:pt idx="497">
                  <c:v>-1.7876415949622402</c:v>
                </c:pt>
                <c:pt idx="498">
                  <c:v>1.5205838348721414</c:v>
                </c:pt>
                <c:pt idx="499">
                  <c:v>1.0346652006960602</c:v>
                </c:pt>
                <c:pt idx="500">
                  <c:v>-0.94474652782714408</c:v>
                </c:pt>
                <c:pt idx="501">
                  <c:v>-1.9798623008827221</c:v>
                </c:pt>
                <c:pt idx="502">
                  <c:v>-0.86207117474657124</c:v>
                </c:pt>
                <c:pt idx="503">
                  <c:v>1.7593395726472281</c:v>
                </c:pt>
                <c:pt idx="504">
                  <c:v>-1.7109410657767339</c:v>
                </c:pt>
                <c:pt idx="505">
                  <c:v>1.0294063910638487</c:v>
                </c:pt>
                <c:pt idx="506">
                  <c:v>-1.0714054104054958</c:v>
                </c:pt>
                <c:pt idx="507">
                  <c:v>2.0201405542228672</c:v>
                </c:pt>
                <c:pt idx="508">
                  <c:v>0.52888134108932228</c:v>
                </c:pt>
                <c:pt idx="509">
                  <c:v>2.3140161045840362</c:v>
                </c:pt>
                <c:pt idx="510">
                  <c:v>-0.13322877620961382</c:v>
                </c:pt>
                <c:pt idx="511">
                  <c:v>0.50276622023206929</c:v>
                </c:pt>
                <c:pt idx="512">
                  <c:v>0.83681667294285944</c:v>
                </c:pt>
                <c:pt idx="513">
                  <c:v>-1.0055584805945319</c:v>
                </c:pt>
                <c:pt idx="514">
                  <c:v>2.1175345631450311</c:v>
                </c:pt>
                <c:pt idx="515">
                  <c:v>0.5671337407333592</c:v>
                </c:pt>
                <c:pt idx="516">
                  <c:v>1.7846759077486496</c:v>
                </c:pt>
                <c:pt idx="517">
                  <c:v>-0.48250870915449529</c:v>
                </c:pt>
                <c:pt idx="518">
                  <c:v>0.96325957731128398</c:v>
                </c:pt>
                <c:pt idx="519">
                  <c:v>0.53597790132989775</c:v>
                </c:pt>
                <c:pt idx="520">
                  <c:v>0.82042877379381185</c:v>
                </c:pt>
                <c:pt idx="521">
                  <c:v>0.30852883992154467</c:v>
                </c:pt>
                <c:pt idx="522">
                  <c:v>-0.98963200313844801</c:v>
                </c:pt>
                <c:pt idx="523">
                  <c:v>-1.6954225091932607</c:v>
                </c:pt>
                <c:pt idx="524">
                  <c:v>-1.4904291878961295</c:v>
                </c:pt>
                <c:pt idx="525">
                  <c:v>-1.8924527816622216</c:v>
                </c:pt>
                <c:pt idx="526">
                  <c:v>1.1066663687125997</c:v>
                </c:pt>
                <c:pt idx="527">
                  <c:v>-4.8013908048677223E-2</c:v>
                </c:pt>
                <c:pt idx="528">
                  <c:v>-0.77762548231147921</c:v>
                </c:pt>
                <c:pt idx="529">
                  <c:v>1.0463918663053509</c:v>
                </c:pt>
                <c:pt idx="530">
                  <c:v>9.714382307884506E-2</c:v>
                </c:pt>
                <c:pt idx="531">
                  <c:v>-0.49538803627879702</c:v>
                </c:pt>
                <c:pt idx="532">
                  <c:v>0.78578167196760518</c:v>
                </c:pt>
                <c:pt idx="533">
                  <c:v>0.75806113901462258</c:v>
                </c:pt>
                <c:pt idx="534">
                  <c:v>-0.89480583277836345</c:v>
                </c:pt>
                <c:pt idx="535">
                  <c:v>0.38096317715748196</c:v>
                </c:pt>
                <c:pt idx="536">
                  <c:v>1.8270347252105328</c:v>
                </c:pt>
                <c:pt idx="537">
                  <c:v>0.7249571835370805</c:v>
                </c:pt>
                <c:pt idx="538">
                  <c:v>0.95467295679859188</c:v>
                </c:pt>
                <c:pt idx="539">
                  <c:v>1.1855002925344733</c:v>
                </c:pt>
                <c:pt idx="540">
                  <c:v>2.4046417088317815</c:v>
                </c:pt>
                <c:pt idx="541">
                  <c:v>2.33642528107766</c:v>
                </c:pt>
                <c:pt idx="542">
                  <c:v>1.8610571570687524</c:v>
                </c:pt>
                <c:pt idx="543">
                  <c:v>0.22439838829008885</c:v>
                </c:pt>
                <c:pt idx="544">
                  <c:v>1.8372763427128946</c:v>
                </c:pt>
                <c:pt idx="545">
                  <c:v>0.9326829400989638</c:v>
                </c:pt>
                <c:pt idx="546">
                  <c:v>0.37593306122681724</c:v>
                </c:pt>
                <c:pt idx="547">
                  <c:v>-1.4616819876159699</c:v>
                </c:pt>
                <c:pt idx="548">
                  <c:v>-0.84309609956466414</c:v>
                </c:pt>
                <c:pt idx="549">
                  <c:v>0.34629935841439075</c:v>
                </c:pt>
                <c:pt idx="550">
                  <c:v>-1.9444422439766553</c:v>
                </c:pt>
                <c:pt idx="551">
                  <c:v>-1.0947778542571367</c:v>
                </c:pt>
                <c:pt idx="552">
                  <c:v>0.76346098693526798</c:v>
                </c:pt>
                <c:pt idx="553">
                  <c:v>-1.875397140166152</c:v>
                </c:pt>
                <c:pt idx="554">
                  <c:v>5.1707944206166978E-2</c:v>
                </c:pt>
                <c:pt idx="555">
                  <c:v>1.64957316936695</c:v>
                </c:pt>
                <c:pt idx="556">
                  <c:v>-1.3724860967019765</c:v>
                </c:pt>
                <c:pt idx="557">
                  <c:v>-8.8012389591689555E-2</c:v>
                </c:pt>
                <c:pt idx="558">
                  <c:v>0.66285774194547642</c:v>
                </c:pt>
                <c:pt idx="559">
                  <c:v>-1.418332596969706</c:v>
                </c:pt>
                <c:pt idx="560">
                  <c:v>1.9698167951678265</c:v>
                </c:pt>
                <c:pt idx="561">
                  <c:v>-8.9592278867566044E-2</c:v>
                </c:pt>
                <c:pt idx="562">
                  <c:v>-0.75297870597627714</c:v>
                </c:pt>
                <c:pt idx="563">
                  <c:v>-0.95298102706652887</c:v>
                </c:pt>
                <c:pt idx="564">
                  <c:v>-0.19991239682208306</c:v>
                </c:pt>
                <c:pt idx="565">
                  <c:v>2.1687409200531693</c:v>
                </c:pt>
                <c:pt idx="566">
                  <c:v>-0.10627949631542766</c:v>
                </c:pt>
                <c:pt idx="567">
                  <c:v>0.98961880435186256</c:v>
                </c:pt>
                <c:pt idx="568">
                  <c:v>-9.9798762427112386E-2</c:v>
                </c:pt>
                <c:pt idx="569">
                  <c:v>-0.45817095715270106</c:v>
                </c:pt>
                <c:pt idx="570">
                  <c:v>-0.49625426601121081</c:v>
                </c:pt>
                <c:pt idx="571">
                  <c:v>1.9842639813020968</c:v>
                </c:pt>
                <c:pt idx="572">
                  <c:v>-0.3010967854697606</c:v>
                </c:pt>
                <c:pt idx="573">
                  <c:v>-2.9076634472662732E-2</c:v>
                </c:pt>
                <c:pt idx="574">
                  <c:v>2.1276349801410985</c:v>
                </c:pt>
                <c:pt idx="575">
                  <c:v>-0.76790040659858327</c:v>
                </c:pt>
                <c:pt idx="576">
                  <c:v>-1.4978956881687218</c:v>
                </c:pt>
                <c:pt idx="577">
                  <c:v>-0.78694080159064494</c:v>
                </c:pt>
                <c:pt idx="578">
                  <c:v>-1.655195937889431E-3</c:v>
                </c:pt>
                <c:pt idx="579">
                  <c:v>0.16090103243754506</c:v>
                </c:pt>
                <c:pt idx="580">
                  <c:v>0.36570992593447116</c:v>
                </c:pt>
                <c:pt idx="581">
                  <c:v>-0.65319328208622185</c:v>
                </c:pt>
                <c:pt idx="582">
                  <c:v>1.3574668531666685</c:v>
                </c:pt>
                <c:pt idx="583">
                  <c:v>0.9938151135859048</c:v>
                </c:pt>
                <c:pt idx="584">
                  <c:v>-0.2554561407341378</c:v>
                </c:pt>
                <c:pt idx="585">
                  <c:v>0.81698169500729989</c:v>
                </c:pt>
                <c:pt idx="586">
                  <c:v>-1.1483122670106942</c:v>
                </c:pt>
                <c:pt idx="587">
                  <c:v>0.79700807000515539</c:v>
                </c:pt>
                <c:pt idx="588">
                  <c:v>0.47508097697201634</c:v>
                </c:pt>
                <c:pt idx="589">
                  <c:v>0.83559547124988143</c:v>
                </c:pt>
                <c:pt idx="590">
                  <c:v>0.30394576250760075</c:v>
                </c:pt>
                <c:pt idx="591">
                  <c:v>2.1811816424830859</c:v>
                </c:pt>
                <c:pt idx="592">
                  <c:v>2.1925252819621157</c:v>
                </c:pt>
                <c:pt idx="593">
                  <c:v>2.099050106428054</c:v>
                </c:pt>
                <c:pt idx="594">
                  <c:v>-0.34602468305242873</c:v>
                </c:pt>
                <c:pt idx="595">
                  <c:v>2.1332441212530728</c:v>
                </c:pt>
                <c:pt idx="596">
                  <c:v>-0.28744758709102491</c:v>
                </c:pt>
                <c:pt idx="597">
                  <c:v>2.313281214786171</c:v>
                </c:pt>
                <c:pt idx="598">
                  <c:v>2.4535111995397649</c:v>
                </c:pt>
                <c:pt idx="599">
                  <c:v>-0.49289245722568076</c:v>
                </c:pt>
                <c:pt idx="600">
                  <c:v>-1.1801856534195707</c:v>
                </c:pt>
                <c:pt idx="601">
                  <c:v>-0.71058565153336595</c:v>
                </c:pt>
                <c:pt idx="602">
                  <c:v>1.7262355874890858</c:v>
                </c:pt>
                <c:pt idx="603">
                  <c:v>5.1273348093138438E-2</c:v>
                </c:pt>
                <c:pt idx="604">
                  <c:v>0.14975932281901727</c:v>
                </c:pt>
                <c:pt idx="605">
                  <c:v>1.6776109557187713</c:v>
                </c:pt>
                <c:pt idx="606">
                  <c:v>-1.7101915781013757</c:v>
                </c:pt>
                <c:pt idx="607">
                  <c:v>1.2882716541168122</c:v>
                </c:pt>
                <c:pt idx="608">
                  <c:v>1.1036397689518775</c:v>
                </c:pt>
                <c:pt idx="609">
                  <c:v>1.4970754997587807</c:v>
                </c:pt>
                <c:pt idx="610">
                  <c:v>0.2235043825840819</c:v>
                </c:pt>
                <c:pt idx="611">
                  <c:v>-1.2459008207549189</c:v>
                </c:pt>
                <c:pt idx="612">
                  <c:v>-1.4304179235896797</c:v>
                </c:pt>
                <c:pt idx="613">
                  <c:v>1.5784870080976638</c:v>
                </c:pt>
                <c:pt idx="614">
                  <c:v>0.7594441997569561</c:v>
                </c:pt>
                <c:pt idx="615">
                  <c:v>2.3506407471759729</c:v>
                </c:pt>
                <c:pt idx="616">
                  <c:v>-0.11347028502556533</c:v>
                </c:pt>
                <c:pt idx="617">
                  <c:v>5.3304192249633786E-2</c:v>
                </c:pt>
                <c:pt idx="618">
                  <c:v>2.1373365143713734</c:v>
                </c:pt>
                <c:pt idx="619">
                  <c:v>2.2935914799670734</c:v>
                </c:pt>
                <c:pt idx="620">
                  <c:v>0.58124772628373123</c:v>
                </c:pt>
                <c:pt idx="621">
                  <c:v>2.2193766830379378</c:v>
                </c:pt>
                <c:pt idx="622">
                  <c:v>-0.22504652908513911</c:v>
                </c:pt>
                <c:pt idx="623">
                  <c:v>2.0013291964027005</c:v>
                </c:pt>
                <c:pt idx="624">
                  <c:v>-1.1190013977372839</c:v>
                </c:pt>
                <c:pt idx="625">
                  <c:v>-5.0827468564822453E-3</c:v>
                </c:pt>
                <c:pt idx="626">
                  <c:v>-0.75310113819296731</c:v>
                </c:pt>
                <c:pt idx="627">
                  <c:v>-1.7465355784621153</c:v>
                </c:pt>
                <c:pt idx="628">
                  <c:v>0.65965178353084575</c:v>
                </c:pt>
                <c:pt idx="629">
                  <c:v>1.3919868618598148</c:v>
                </c:pt>
                <c:pt idx="630">
                  <c:v>1.6675049856856567</c:v>
                </c:pt>
                <c:pt idx="631">
                  <c:v>-0.18767979353089181</c:v>
                </c:pt>
                <c:pt idx="632">
                  <c:v>-1.9967944133378115</c:v>
                </c:pt>
                <c:pt idx="633">
                  <c:v>1.4635877210529564</c:v>
                </c:pt>
                <c:pt idx="634">
                  <c:v>-7.3762165452166073E-2</c:v>
                </c:pt>
                <c:pt idx="635">
                  <c:v>-1.7598138108970112</c:v>
                </c:pt>
                <c:pt idx="636">
                  <c:v>-0.90177033842187626</c:v>
                </c:pt>
                <c:pt idx="637">
                  <c:v>1.0043514409258574</c:v>
                </c:pt>
                <c:pt idx="638">
                  <c:v>-0.64766752790281679</c:v>
                </c:pt>
                <c:pt idx="639">
                  <c:v>-1.8225653497613017</c:v>
                </c:pt>
                <c:pt idx="640">
                  <c:v>1.1587777392373457</c:v>
                </c:pt>
                <c:pt idx="641">
                  <c:v>-0.37947926288192235</c:v>
                </c:pt>
                <c:pt idx="642">
                  <c:v>1.2970586390503698</c:v>
                </c:pt>
                <c:pt idx="643">
                  <c:v>-1.3371122897281431</c:v>
                </c:pt>
                <c:pt idx="644">
                  <c:v>2.1350673642936098</c:v>
                </c:pt>
                <c:pt idx="645">
                  <c:v>1.2422644513638925</c:v>
                </c:pt>
                <c:pt idx="646">
                  <c:v>0.46916271017159339</c:v>
                </c:pt>
                <c:pt idx="647">
                  <c:v>1.2078564067723292</c:v>
                </c:pt>
                <c:pt idx="648">
                  <c:v>2.2612321483131481</c:v>
                </c:pt>
                <c:pt idx="649">
                  <c:v>2.5727946836380582</c:v>
                </c:pt>
                <c:pt idx="650">
                  <c:v>-1.1619268121663495</c:v>
                </c:pt>
                <c:pt idx="651">
                  <c:v>-0.62865308752850524</c:v>
                </c:pt>
                <c:pt idx="652">
                  <c:v>1.461870146217942</c:v>
                </c:pt>
                <c:pt idx="653">
                  <c:v>-1.6984217824253811</c:v>
                </c:pt>
                <c:pt idx="654">
                  <c:v>0.33269966102973214</c:v>
                </c:pt>
                <c:pt idx="655">
                  <c:v>-1.2626242336645532</c:v>
                </c:pt>
                <c:pt idx="656">
                  <c:v>-1.6998542664925207</c:v>
                </c:pt>
                <c:pt idx="657">
                  <c:v>9.409965670784004E-3</c:v>
                </c:pt>
                <c:pt idx="658">
                  <c:v>-1.2664058151407396</c:v>
                </c:pt>
                <c:pt idx="659">
                  <c:v>-1.1939747732610684</c:v>
                </c:pt>
                <c:pt idx="660">
                  <c:v>0.55614362944013784</c:v>
                </c:pt>
                <c:pt idx="661">
                  <c:v>-1.756429921881649</c:v>
                </c:pt>
                <c:pt idx="662">
                  <c:v>-0.77303088312035051</c:v>
                </c:pt>
                <c:pt idx="663">
                  <c:v>-0.5127104573064134</c:v>
                </c:pt>
                <c:pt idx="664">
                  <c:v>1.2510483822318772</c:v>
                </c:pt>
                <c:pt idx="665">
                  <c:v>8.6534332333664921E-2</c:v>
                </c:pt>
                <c:pt idx="666">
                  <c:v>-0.74860455576880902</c:v>
                </c:pt>
                <c:pt idx="667">
                  <c:v>1.3330480371214168</c:v>
                </c:pt>
                <c:pt idx="668">
                  <c:v>-0.7068958833823924</c:v>
                </c:pt>
                <c:pt idx="669">
                  <c:v>1.1114460156043187</c:v>
                </c:pt>
                <c:pt idx="670">
                  <c:v>-0.51784974636311354</c:v>
                </c:pt>
                <c:pt idx="671">
                  <c:v>2.4532571483446883</c:v>
                </c:pt>
                <c:pt idx="672">
                  <c:v>2.1716444112472111</c:v>
                </c:pt>
                <c:pt idx="673">
                  <c:v>-1.1995786770839914</c:v>
                </c:pt>
                <c:pt idx="674">
                  <c:v>2.3549371977156675</c:v>
                </c:pt>
                <c:pt idx="675">
                  <c:v>2.2329179054202424</c:v>
                </c:pt>
                <c:pt idx="676">
                  <c:v>-0.63045782339376188</c:v>
                </c:pt>
                <c:pt idx="677">
                  <c:v>-0.72970218614571181</c:v>
                </c:pt>
                <c:pt idx="678">
                  <c:v>1.354136532428269</c:v>
                </c:pt>
                <c:pt idx="679">
                  <c:v>0.36150165747350016</c:v>
                </c:pt>
                <c:pt idx="680">
                  <c:v>-1.8932608920348901</c:v>
                </c:pt>
                <c:pt idx="681">
                  <c:v>1.9082208636466991</c:v>
                </c:pt>
                <c:pt idx="682">
                  <c:v>1.7370978663410064</c:v>
                </c:pt>
                <c:pt idx="683">
                  <c:v>0.92061940556331301</c:v>
                </c:pt>
                <c:pt idx="684">
                  <c:v>0.58999446626012464</c:v>
                </c:pt>
                <c:pt idx="685">
                  <c:v>-1.8235549960975916</c:v>
                </c:pt>
                <c:pt idx="686">
                  <c:v>-1.9138688436705547</c:v>
                </c:pt>
                <c:pt idx="687">
                  <c:v>0.98653947379268558</c:v>
                </c:pt>
                <c:pt idx="688">
                  <c:v>0.95285547188933606</c:v>
                </c:pt>
                <c:pt idx="689">
                  <c:v>-1.472728475549113</c:v>
                </c:pt>
                <c:pt idx="690">
                  <c:v>-1.9872361971483841</c:v>
                </c:pt>
                <c:pt idx="691">
                  <c:v>-6.2215016084373076E-2</c:v>
                </c:pt>
                <c:pt idx="692">
                  <c:v>-0.98097529904235792</c:v>
                </c:pt>
                <c:pt idx="693">
                  <c:v>1.0490942324322816</c:v>
                </c:pt>
                <c:pt idx="694">
                  <c:v>0.66392442504611715</c:v>
                </c:pt>
                <c:pt idx="695">
                  <c:v>1.5925623182129982</c:v>
                </c:pt>
                <c:pt idx="696">
                  <c:v>-1.3950657307810364</c:v>
                </c:pt>
                <c:pt idx="697">
                  <c:v>1.1617483529045334</c:v>
                </c:pt>
                <c:pt idx="698">
                  <c:v>-1.0249721184010241E-2</c:v>
                </c:pt>
                <c:pt idx="699">
                  <c:v>0.6497136090314175</c:v>
                </c:pt>
                <c:pt idx="700">
                  <c:v>0.45443032431802166</c:v>
                </c:pt>
                <c:pt idx="701">
                  <c:v>0.37989117524374727</c:v>
                </c:pt>
                <c:pt idx="702">
                  <c:v>2.035980379273747</c:v>
                </c:pt>
                <c:pt idx="703">
                  <c:v>1.4017068119379843</c:v>
                </c:pt>
                <c:pt idx="704">
                  <c:v>0.9359409404979111</c:v>
                </c:pt>
                <c:pt idx="705">
                  <c:v>0.5887343474916289</c:v>
                </c:pt>
                <c:pt idx="706">
                  <c:v>1.8254642474394522</c:v>
                </c:pt>
                <c:pt idx="707">
                  <c:v>0.28839047284531283</c:v>
                </c:pt>
                <c:pt idx="708">
                  <c:v>1.2371969757839594</c:v>
                </c:pt>
                <c:pt idx="709">
                  <c:v>1.7695502831023653</c:v>
                </c:pt>
                <c:pt idx="710">
                  <c:v>-2.1337393783940239</c:v>
                </c:pt>
                <c:pt idx="711">
                  <c:v>-1.064814922820311</c:v>
                </c:pt>
                <c:pt idx="712">
                  <c:v>-1.8760957433183911</c:v>
                </c:pt>
                <c:pt idx="713">
                  <c:v>1.4646349107338104</c:v>
                </c:pt>
                <c:pt idx="714">
                  <c:v>1.5268775338582135</c:v>
                </c:pt>
                <c:pt idx="715">
                  <c:v>-1.5913980328416333</c:v>
                </c:pt>
                <c:pt idx="716">
                  <c:v>-1.1330537985484099</c:v>
                </c:pt>
                <c:pt idx="717">
                  <c:v>-0.48191978762735843</c:v>
                </c:pt>
                <c:pt idx="718">
                  <c:v>7.3659317355815546E-2</c:v>
                </c:pt>
                <c:pt idx="719">
                  <c:v>1.2668108060358474</c:v>
                </c:pt>
                <c:pt idx="720">
                  <c:v>1.5546604317528931</c:v>
                </c:pt>
                <c:pt idx="721">
                  <c:v>-0.73064904194265878</c:v>
                </c:pt>
                <c:pt idx="722">
                  <c:v>-1.6760038685770784</c:v>
                </c:pt>
                <c:pt idx="723">
                  <c:v>1.6749184335605865</c:v>
                </c:pt>
                <c:pt idx="724">
                  <c:v>-0.41667027831084624</c:v>
                </c:pt>
                <c:pt idx="725">
                  <c:v>-1.0884298753270798</c:v>
                </c:pt>
                <c:pt idx="726">
                  <c:v>1.4652153584090346</c:v>
                </c:pt>
                <c:pt idx="727">
                  <c:v>-0.88742241950930101</c:v>
                </c:pt>
                <c:pt idx="728">
                  <c:v>0.4066645368923183</c:v>
                </c:pt>
                <c:pt idx="729">
                  <c:v>0.35084904510151382</c:v>
                </c:pt>
                <c:pt idx="730">
                  <c:v>-1.2963965318213955</c:v>
                </c:pt>
                <c:pt idx="731">
                  <c:v>-0.5878614063567742</c:v>
                </c:pt>
                <c:pt idx="732">
                  <c:v>-0.51927734155902883</c:v>
                </c:pt>
                <c:pt idx="733">
                  <c:v>-0.17504395496194292</c:v>
                </c:pt>
                <c:pt idx="734">
                  <c:v>1.2555834422645553</c:v>
                </c:pt>
                <c:pt idx="735">
                  <c:v>-1.9764533805910665</c:v>
                </c:pt>
                <c:pt idx="736">
                  <c:v>-1.5996846093338597</c:v>
                </c:pt>
                <c:pt idx="737">
                  <c:v>-0.91452300779078399</c:v>
                </c:pt>
                <c:pt idx="738">
                  <c:v>-1.9083068730881401</c:v>
                </c:pt>
                <c:pt idx="739">
                  <c:v>0.61642580433995242</c:v>
                </c:pt>
                <c:pt idx="740">
                  <c:v>0.71731810025643661</c:v>
                </c:pt>
                <c:pt idx="741">
                  <c:v>-2.8699452796432823E-2</c:v>
                </c:pt>
                <c:pt idx="742">
                  <c:v>-1.6176504687892344</c:v>
                </c:pt>
                <c:pt idx="743">
                  <c:v>-2.2472573851964217</c:v>
                </c:pt>
                <c:pt idx="744">
                  <c:v>0.34237051067012203</c:v>
                </c:pt>
                <c:pt idx="745">
                  <c:v>-0.19576432343133021</c:v>
                </c:pt>
              </c:numCache>
            </c:numRef>
          </c:yVal>
          <c:smooth val="0"/>
          <c:extLst>
            <c:ext xmlns:c16="http://schemas.microsoft.com/office/drawing/2014/chart" uri="{C3380CC4-5D6E-409C-BE32-E72D297353CC}">
              <c16:uniqueId val="{00000000-E1CC-4389-BCBB-5A5D3F160F2C}"/>
            </c:ext>
          </c:extLst>
        </c:ser>
        <c:dLbls>
          <c:showLegendKey val="0"/>
          <c:showVal val="0"/>
          <c:showCatName val="0"/>
          <c:showSerName val="0"/>
          <c:showPercent val="0"/>
          <c:showBubbleSize val="0"/>
        </c:dLbls>
        <c:axId val="1015403616"/>
        <c:axId val="1015405536"/>
      </c:scatterChart>
      <c:valAx>
        <c:axId val="1015403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05536"/>
        <c:crosses val="autoZero"/>
        <c:crossBetween val="midCat"/>
      </c:valAx>
      <c:valAx>
        <c:axId val="10154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036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Governing</a:t>
            </a:r>
            <a:r>
              <a:rPr lang="en-IN" baseline="0"/>
              <a:t> Equation with Algae growth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'Analyses and solution'!$B$1</c:f>
              <c:strCache>
                <c:ptCount val="1"/>
                <c:pt idx="0">
                  <c:v>Algal Growth</c:v>
                </c:pt>
              </c:strCache>
            </c:strRef>
          </c:tx>
          <c:spPr>
            <a:ln w="28575" cap="rnd">
              <a:solidFill>
                <a:schemeClr val="accent1"/>
              </a:solidFill>
              <a:round/>
            </a:ln>
            <a:effectLst/>
          </c:spPr>
          <c:marker>
            <c:symbol val="none"/>
          </c:marker>
          <c:cat>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cat>
          <c:val>
            <c:numRef>
              <c:f>'Analyses and solution'!$B$2:$B$747</c:f>
              <c:numCache>
                <c:formatCode>General</c:formatCode>
                <c:ptCount val="746"/>
                <c:pt idx="0">
                  <c:v>6.9345063332049524</c:v>
                </c:pt>
                <c:pt idx="1">
                  <c:v>8.5979184250940595</c:v>
                </c:pt>
                <c:pt idx="2">
                  <c:v>9.3137399550813367</c:v>
                </c:pt>
                <c:pt idx="3">
                  <c:v>6.9331676928037371</c:v>
                </c:pt>
                <c:pt idx="4">
                  <c:v>5.8851169344294476</c:v>
                </c:pt>
                <c:pt idx="5">
                  <c:v>7.2621214708212793</c:v>
                </c:pt>
                <c:pt idx="6">
                  <c:v>7.4826444410775661</c:v>
                </c:pt>
                <c:pt idx="7">
                  <c:v>6.2287266305579045</c:v>
                </c:pt>
                <c:pt idx="8">
                  <c:v>9.1445356937726849</c:v>
                </c:pt>
                <c:pt idx="9">
                  <c:v>7.9966786256509614</c:v>
                </c:pt>
                <c:pt idx="10">
                  <c:v>5.3867908390365873</c:v>
                </c:pt>
                <c:pt idx="11">
                  <c:v>7.1406258621392098</c:v>
                </c:pt>
                <c:pt idx="12">
                  <c:v>6.5365290380992427</c:v>
                </c:pt>
                <c:pt idx="13">
                  <c:v>6.1473214394604678</c:v>
                </c:pt>
                <c:pt idx="14">
                  <c:v>7.2109784109234614</c:v>
                </c:pt>
                <c:pt idx="15">
                  <c:v>5.1991002120134127</c:v>
                </c:pt>
                <c:pt idx="16">
                  <c:v>6.0997961851297688</c:v>
                </c:pt>
                <c:pt idx="17">
                  <c:v>5.9595735695428171</c:v>
                </c:pt>
                <c:pt idx="18">
                  <c:v>6.1141697118530818</c:v>
                </c:pt>
                <c:pt idx="19">
                  <c:v>4.1186414272850795</c:v>
                </c:pt>
                <c:pt idx="20">
                  <c:v>5.7777617775489691</c:v>
                </c:pt>
                <c:pt idx="21">
                  <c:v>7.0525442844553865</c:v>
                </c:pt>
                <c:pt idx="22">
                  <c:v>4.3298198396244043</c:v>
                </c:pt>
                <c:pt idx="23">
                  <c:v>4.6674863807388984</c:v>
                </c:pt>
                <c:pt idx="24">
                  <c:v>4.7501909267997062</c:v>
                </c:pt>
                <c:pt idx="25">
                  <c:v>7.8835355632022983</c:v>
                </c:pt>
                <c:pt idx="26">
                  <c:v>7.5453159595133448</c:v>
                </c:pt>
                <c:pt idx="27">
                  <c:v>7.8824700474618803</c:v>
                </c:pt>
                <c:pt idx="28">
                  <c:v>7.3575190178895351</c:v>
                </c:pt>
                <c:pt idx="29">
                  <c:v>6.5946564853166052</c:v>
                </c:pt>
                <c:pt idx="30">
                  <c:v>4.7585540439543745</c:v>
                </c:pt>
                <c:pt idx="31">
                  <c:v>4.6528960403792174</c:v>
                </c:pt>
                <c:pt idx="32">
                  <c:v>6.2991068548848217</c:v>
                </c:pt>
                <c:pt idx="33">
                  <c:v>5.6907630124780653</c:v>
                </c:pt>
                <c:pt idx="34">
                  <c:v>5.695095873612793</c:v>
                </c:pt>
                <c:pt idx="35">
                  <c:v>5.1427531820698169</c:v>
                </c:pt>
                <c:pt idx="36">
                  <c:v>4.1797914994912215</c:v>
                </c:pt>
                <c:pt idx="37">
                  <c:v>7.6969287289915744</c:v>
                </c:pt>
                <c:pt idx="38">
                  <c:v>5.3388634395719565</c:v>
                </c:pt>
                <c:pt idx="39">
                  <c:v>5.7270042474305516</c:v>
                </c:pt>
                <c:pt idx="40">
                  <c:v>6.8432179792785295</c:v>
                </c:pt>
                <c:pt idx="41">
                  <c:v>6.6555084829098403</c:v>
                </c:pt>
                <c:pt idx="42">
                  <c:v>5.3328505643899966</c:v>
                </c:pt>
                <c:pt idx="43">
                  <c:v>3.3305884229026752</c:v>
                </c:pt>
                <c:pt idx="44">
                  <c:v>5.2662274708256049</c:v>
                </c:pt>
                <c:pt idx="45">
                  <c:v>4.8155561125628683</c:v>
                </c:pt>
                <c:pt idx="46">
                  <c:v>4.2345162768002034</c:v>
                </c:pt>
                <c:pt idx="47">
                  <c:v>3.2831972305071049</c:v>
                </c:pt>
                <c:pt idx="48">
                  <c:v>5.4060116997724386</c:v>
                </c:pt>
                <c:pt idx="49">
                  <c:v>2.9587743207245385</c:v>
                </c:pt>
                <c:pt idx="50">
                  <c:v>3.9357580766325073</c:v>
                </c:pt>
                <c:pt idx="51">
                  <c:v>6.8736827608679647</c:v>
                </c:pt>
                <c:pt idx="52">
                  <c:v>3.9301986487752139</c:v>
                </c:pt>
                <c:pt idx="53">
                  <c:v>3.4671670644287698</c:v>
                </c:pt>
                <c:pt idx="54">
                  <c:v>4.8118780978681963</c:v>
                </c:pt>
                <c:pt idx="55">
                  <c:v>4.2137669038540402</c:v>
                </c:pt>
                <c:pt idx="56">
                  <c:v>7.0684666309851192</c:v>
                </c:pt>
                <c:pt idx="57">
                  <c:v>7.3759109477409277</c:v>
                </c:pt>
                <c:pt idx="58">
                  <c:v>6.0248348636097244</c:v>
                </c:pt>
                <c:pt idx="59">
                  <c:v>6.6531693936582821</c:v>
                </c:pt>
                <c:pt idx="60">
                  <c:v>7.3167608843213081</c:v>
                </c:pt>
                <c:pt idx="61">
                  <c:v>4.000147347868416</c:v>
                </c:pt>
                <c:pt idx="62">
                  <c:v>6.7972032920975494</c:v>
                </c:pt>
                <c:pt idx="63">
                  <c:v>6.2497422703884169</c:v>
                </c:pt>
                <c:pt idx="64">
                  <c:v>3.3370446363722417</c:v>
                </c:pt>
                <c:pt idx="65">
                  <c:v>5.4983137672107718</c:v>
                </c:pt>
                <c:pt idx="66">
                  <c:v>4.1279592119803823</c:v>
                </c:pt>
                <c:pt idx="67">
                  <c:v>3.5808180825869584</c:v>
                </c:pt>
                <c:pt idx="68">
                  <c:v>3.5250455081074401</c:v>
                </c:pt>
                <c:pt idx="69">
                  <c:v>2.3989840749035878</c:v>
                </c:pt>
                <c:pt idx="70">
                  <c:v>4.0593871026786594</c:v>
                </c:pt>
                <c:pt idx="71">
                  <c:v>2.4404956729532552</c:v>
                </c:pt>
                <c:pt idx="72">
                  <c:v>5.2727445545715979</c:v>
                </c:pt>
                <c:pt idx="73">
                  <c:v>2.7853821172463498</c:v>
                </c:pt>
                <c:pt idx="74">
                  <c:v>5.3864674854350634</c:v>
                </c:pt>
                <c:pt idx="75">
                  <c:v>2.8894062767274127</c:v>
                </c:pt>
                <c:pt idx="76">
                  <c:v>4.8153764451143752</c:v>
                </c:pt>
                <c:pt idx="77">
                  <c:v>5.1429189843773591</c:v>
                </c:pt>
                <c:pt idx="78">
                  <c:v>4.3046195676646217</c:v>
                </c:pt>
                <c:pt idx="79">
                  <c:v>3.2612667501182102</c:v>
                </c:pt>
                <c:pt idx="80">
                  <c:v>5.524951950466134</c:v>
                </c:pt>
                <c:pt idx="81">
                  <c:v>3.0798697640008585</c:v>
                </c:pt>
                <c:pt idx="82">
                  <c:v>4.8775234910502139</c:v>
                </c:pt>
                <c:pt idx="83">
                  <c:v>5.5931546839444275</c:v>
                </c:pt>
                <c:pt idx="84">
                  <c:v>3.6223702462654077</c:v>
                </c:pt>
                <c:pt idx="85">
                  <c:v>4.8952037674861897</c:v>
                </c:pt>
                <c:pt idx="86">
                  <c:v>5.1017265309521784</c:v>
                </c:pt>
                <c:pt idx="87">
                  <c:v>2.9543147447570148</c:v>
                </c:pt>
                <c:pt idx="88">
                  <c:v>3.0476504111029818</c:v>
                </c:pt>
                <c:pt idx="89">
                  <c:v>3.2610865290998303</c:v>
                </c:pt>
                <c:pt idx="90">
                  <c:v>2.9117861788501962</c:v>
                </c:pt>
                <c:pt idx="91">
                  <c:v>2.9270504071966861</c:v>
                </c:pt>
                <c:pt idx="92">
                  <c:v>5.6546412617772948</c:v>
                </c:pt>
                <c:pt idx="93">
                  <c:v>5.3253189781321382</c:v>
                </c:pt>
                <c:pt idx="94">
                  <c:v>5.8806988705324663</c:v>
                </c:pt>
                <c:pt idx="95">
                  <c:v>1.9493796330202553</c:v>
                </c:pt>
                <c:pt idx="96">
                  <c:v>2.0439693610750345</c:v>
                </c:pt>
                <c:pt idx="97">
                  <c:v>4.0395574328105033</c:v>
                </c:pt>
                <c:pt idx="98">
                  <c:v>5.0147042364515215</c:v>
                </c:pt>
                <c:pt idx="99">
                  <c:v>3.6876168373826514</c:v>
                </c:pt>
                <c:pt idx="100">
                  <c:v>1.6699321554918762</c:v>
                </c:pt>
                <c:pt idx="101">
                  <c:v>4.4961229351073779</c:v>
                </c:pt>
                <c:pt idx="102">
                  <c:v>3.551742162389969</c:v>
                </c:pt>
                <c:pt idx="103">
                  <c:v>5.6552024798847818</c:v>
                </c:pt>
                <c:pt idx="104">
                  <c:v>5.0071871001439607</c:v>
                </c:pt>
                <c:pt idx="105">
                  <c:v>2.2529033431520942</c:v>
                </c:pt>
                <c:pt idx="106">
                  <c:v>4.4590784978235245</c:v>
                </c:pt>
                <c:pt idx="107">
                  <c:v>5.0468545035059513</c:v>
                </c:pt>
                <c:pt idx="108">
                  <c:v>5.1927636970393634</c:v>
                </c:pt>
                <c:pt idx="109">
                  <c:v>4.0801545117092584</c:v>
                </c:pt>
                <c:pt idx="110">
                  <c:v>6.4792419866722852</c:v>
                </c:pt>
                <c:pt idx="111">
                  <c:v>3.5966278318168277</c:v>
                </c:pt>
                <c:pt idx="112">
                  <c:v>5.1993494066206871</c:v>
                </c:pt>
                <c:pt idx="113">
                  <c:v>5.1681483610689618</c:v>
                </c:pt>
                <c:pt idx="114">
                  <c:v>6.3516900797119735</c:v>
                </c:pt>
                <c:pt idx="115">
                  <c:v>2.6529714004987803</c:v>
                </c:pt>
                <c:pt idx="116">
                  <c:v>4.9140980861247092</c:v>
                </c:pt>
                <c:pt idx="117">
                  <c:v>4.954942193476283</c:v>
                </c:pt>
                <c:pt idx="118">
                  <c:v>4.402057223037982</c:v>
                </c:pt>
                <c:pt idx="119">
                  <c:v>4.2759762121707574</c:v>
                </c:pt>
                <c:pt idx="120">
                  <c:v>2.2894279380570222</c:v>
                </c:pt>
                <c:pt idx="121">
                  <c:v>5.5466295617724466</c:v>
                </c:pt>
                <c:pt idx="122">
                  <c:v>3.8799725875960789</c:v>
                </c:pt>
                <c:pt idx="123">
                  <c:v>2.5980323786019577</c:v>
                </c:pt>
                <c:pt idx="124">
                  <c:v>2.3308887623304244</c:v>
                </c:pt>
                <c:pt idx="125">
                  <c:v>5.3950000043975734</c:v>
                </c:pt>
                <c:pt idx="126">
                  <c:v>2.6541187786785319</c:v>
                </c:pt>
                <c:pt idx="127">
                  <c:v>5.2025813577323099</c:v>
                </c:pt>
                <c:pt idx="128">
                  <c:v>2.3845370526502174</c:v>
                </c:pt>
                <c:pt idx="129">
                  <c:v>4.2066286822176178</c:v>
                </c:pt>
                <c:pt idx="130">
                  <c:v>3.4548302748495008</c:v>
                </c:pt>
                <c:pt idx="131">
                  <c:v>3.3561408832586368</c:v>
                </c:pt>
                <c:pt idx="132">
                  <c:v>6.0241177411999676</c:v>
                </c:pt>
                <c:pt idx="133">
                  <c:v>4.5074713434981479</c:v>
                </c:pt>
                <c:pt idx="134">
                  <c:v>2.7741478032781677</c:v>
                </c:pt>
                <c:pt idx="135">
                  <c:v>3.4686243743655365</c:v>
                </c:pt>
                <c:pt idx="136">
                  <c:v>5.50354074175665</c:v>
                </c:pt>
                <c:pt idx="137">
                  <c:v>4.0953642337503933</c:v>
                </c:pt>
                <c:pt idx="138">
                  <c:v>4.6280394691386855</c:v>
                </c:pt>
                <c:pt idx="139">
                  <c:v>5.3209650026925557</c:v>
                </c:pt>
                <c:pt idx="140">
                  <c:v>6.6736390308396025</c:v>
                </c:pt>
                <c:pt idx="141">
                  <c:v>3.396902215046758</c:v>
                </c:pt>
                <c:pt idx="142">
                  <c:v>5.991864930759089</c:v>
                </c:pt>
                <c:pt idx="143">
                  <c:v>4.7858971560651362</c:v>
                </c:pt>
                <c:pt idx="144">
                  <c:v>3.9667645585095626</c:v>
                </c:pt>
                <c:pt idx="145">
                  <c:v>6.031772776567724</c:v>
                </c:pt>
                <c:pt idx="146">
                  <c:v>3.5165642075820998</c:v>
                </c:pt>
                <c:pt idx="147">
                  <c:v>3.9162009714371084</c:v>
                </c:pt>
                <c:pt idx="148">
                  <c:v>4.3404557286705465</c:v>
                </c:pt>
                <c:pt idx="149">
                  <c:v>5.0221901097174984</c:v>
                </c:pt>
                <c:pt idx="150">
                  <c:v>3.7430882520663289</c:v>
                </c:pt>
                <c:pt idx="151">
                  <c:v>6.278238693118718</c:v>
                </c:pt>
                <c:pt idx="152">
                  <c:v>6.6221306352326534</c:v>
                </c:pt>
                <c:pt idx="153">
                  <c:v>5.9173676983304171</c:v>
                </c:pt>
                <c:pt idx="154">
                  <c:v>6.1113583261264477</c:v>
                </c:pt>
                <c:pt idx="155">
                  <c:v>5.924524943064915</c:v>
                </c:pt>
                <c:pt idx="156">
                  <c:v>5.9339309966548477</c:v>
                </c:pt>
                <c:pt idx="157">
                  <c:v>6.6259021445776778</c:v>
                </c:pt>
                <c:pt idx="158">
                  <c:v>5.5074983938255686</c:v>
                </c:pt>
                <c:pt idx="159">
                  <c:v>4.9572304378085832</c:v>
                </c:pt>
                <c:pt idx="160">
                  <c:v>4.1068044439470102</c:v>
                </c:pt>
                <c:pt idx="161">
                  <c:v>4.0885052325202276</c:v>
                </c:pt>
                <c:pt idx="162">
                  <c:v>5.8127724636245404</c:v>
                </c:pt>
                <c:pt idx="163">
                  <c:v>6.1769091686415036</c:v>
                </c:pt>
                <c:pt idx="164">
                  <c:v>7.7075641126428316</c:v>
                </c:pt>
                <c:pt idx="165">
                  <c:v>6.8373759715726248</c:v>
                </c:pt>
                <c:pt idx="166">
                  <c:v>5.4281069059233875</c:v>
                </c:pt>
                <c:pt idx="167">
                  <c:v>5.625809339858419</c:v>
                </c:pt>
                <c:pt idx="168">
                  <c:v>5.2023650392951604</c:v>
                </c:pt>
                <c:pt idx="169">
                  <c:v>6.9346392200319009</c:v>
                </c:pt>
                <c:pt idx="170">
                  <c:v>5.2705278474663313</c:v>
                </c:pt>
                <c:pt idx="171">
                  <c:v>6.6237929370324586</c:v>
                </c:pt>
                <c:pt idx="172">
                  <c:v>8.0538180776440704</c:v>
                </c:pt>
                <c:pt idx="173">
                  <c:v>5.1119963310246499</c:v>
                </c:pt>
                <c:pt idx="174">
                  <c:v>4.9054392924729235</c:v>
                </c:pt>
                <c:pt idx="175">
                  <c:v>4.1491450922389195</c:v>
                </c:pt>
                <c:pt idx="176">
                  <c:v>4.7663915501727301</c:v>
                </c:pt>
                <c:pt idx="177">
                  <c:v>4.6386373878939589</c:v>
                </c:pt>
                <c:pt idx="178">
                  <c:v>7.624892422244459</c:v>
                </c:pt>
                <c:pt idx="179">
                  <c:v>6.9472331512913064</c:v>
                </c:pt>
                <c:pt idx="180">
                  <c:v>7.8525291131722907</c:v>
                </c:pt>
                <c:pt idx="181">
                  <c:v>6.9069406631856562</c:v>
                </c:pt>
                <c:pt idx="182">
                  <c:v>6.9964427079809814</c:v>
                </c:pt>
                <c:pt idx="183">
                  <c:v>5.962604698592787</c:v>
                </c:pt>
                <c:pt idx="184">
                  <c:v>4.4915403341805202</c:v>
                </c:pt>
                <c:pt idx="185">
                  <c:v>6.1794102168457288</c:v>
                </c:pt>
                <c:pt idx="186">
                  <c:v>5.3509937313127631</c:v>
                </c:pt>
                <c:pt idx="187">
                  <c:v>7.0359387899129864</c:v>
                </c:pt>
                <c:pt idx="188">
                  <c:v>5.6001010551259069</c:v>
                </c:pt>
                <c:pt idx="189">
                  <c:v>7.45656620752073</c:v>
                </c:pt>
                <c:pt idx="190">
                  <c:v>8.8655631699499615</c:v>
                </c:pt>
                <c:pt idx="191">
                  <c:v>6.2366114383441769</c:v>
                </c:pt>
                <c:pt idx="192">
                  <c:v>9.2156313068712308</c:v>
                </c:pt>
                <c:pt idx="193">
                  <c:v>9.0910227153300855</c:v>
                </c:pt>
                <c:pt idx="194">
                  <c:v>8.7841829298554259</c:v>
                </c:pt>
                <c:pt idx="195">
                  <c:v>8.2456420877181174</c:v>
                </c:pt>
                <c:pt idx="196">
                  <c:v>7.6457368097384979</c:v>
                </c:pt>
                <c:pt idx="197">
                  <c:v>8.9767378352469063</c:v>
                </c:pt>
                <c:pt idx="198">
                  <c:v>8.5504125833456524</c:v>
                </c:pt>
                <c:pt idx="199">
                  <c:v>6.0909979014518782</c:v>
                </c:pt>
                <c:pt idx="200">
                  <c:v>5.4063332866963192</c:v>
                </c:pt>
                <c:pt idx="201">
                  <c:v>6.9432063629720746</c:v>
                </c:pt>
                <c:pt idx="202">
                  <c:v>7.3767031108093102</c:v>
                </c:pt>
                <c:pt idx="203">
                  <c:v>7.8608346730959004</c:v>
                </c:pt>
                <c:pt idx="204">
                  <c:v>7.007742076704579</c:v>
                </c:pt>
                <c:pt idx="205">
                  <c:v>5.4310660497525056</c:v>
                </c:pt>
                <c:pt idx="206">
                  <c:v>7.015637154476499</c:v>
                </c:pt>
                <c:pt idx="207">
                  <c:v>6.2614528588062308</c:v>
                </c:pt>
                <c:pt idx="208">
                  <c:v>9.3771273098647647</c:v>
                </c:pt>
                <c:pt idx="209">
                  <c:v>7.4807464129481289</c:v>
                </c:pt>
                <c:pt idx="210">
                  <c:v>6.5848379458449946</c:v>
                </c:pt>
                <c:pt idx="211">
                  <c:v>9.2714936460021864</c:v>
                </c:pt>
                <c:pt idx="212">
                  <c:v>8.7805487551597476</c:v>
                </c:pt>
                <c:pt idx="213">
                  <c:v>9.3156261257364683</c:v>
                </c:pt>
                <c:pt idx="214">
                  <c:v>6.6301162139120251</c:v>
                </c:pt>
                <c:pt idx="215">
                  <c:v>8.4228018559744608</c:v>
                </c:pt>
                <c:pt idx="216">
                  <c:v>9.9510876476390564</c:v>
                </c:pt>
                <c:pt idx="217">
                  <c:v>9.4379921850699695</c:v>
                </c:pt>
                <c:pt idx="218">
                  <c:v>7.137653076871465</c:v>
                </c:pt>
                <c:pt idx="219">
                  <c:v>9.2077367492931987</c:v>
                </c:pt>
                <c:pt idx="220">
                  <c:v>10.770469931221513</c:v>
                </c:pt>
                <c:pt idx="221">
                  <c:v>10.683800778049719</c:v>
                </c:pt>
                <c:pt idx="222">
                  <c:v>8.2562843554948167</c:v>
                </c:pt>
                <c:pt idx="223">
                  <c:v>7.7819018559831399</c:v>
                </c:pt>
                <c:pt idx="224">
                  <c:v>10.083002743870408</c:v>
                </c:pt>
                <c:pt idx="225">
                  <c:v>9.7327796304268333</c:v>
                </c:pt>
                <c:pt idx="226">
                  <c:v>8.2638154595866524</c:v>
                </c:pt>
                <c:pt idx="227">
                  <c:v>9.8693538117424779</c:v>
                </c:pt>
                <c:pt idx="228">
                  <c:v>7.9124025578814088</c:v>
                </c:pt>
                <c:pt idx="229">
                  <c:v>8.7603469196047925</c:v>
                </c:pt>
                <c:pt idx="230">
                  <c:v>7.0110737308126359</c:v>
                </c:pt>
                <c:pt idx="231">
                  <c:v>9.6234253979331328</c:v>
                </c:pt>
                <c:pt idx="232">
                  <c:v>9.343609514802159</c:v>
                </c:pt>
                <c:pt idx="233">
                  <c:v>10.199632049924773</c:v>
                </c:pt>
                <c:pt idx="234">
                  <c:v>9.6282121249491368</c:v>
                </c:pt>
                <c:pt idx="235">
                  <c:v>9.4030477266634698</c:v>
                </c:pt>
                <c:pt idx="236">
                  <c:v>10.284073238650322</c:v>
                </c:pt>
                <c:pt idx="237">
                  <c:v>9.9443257359448953</c:v>
                </c:pt>
                <c:pt idx="238">
                  <c:v>7.7412816392802455</c:v>
                </c:pt>
                <c:pt idx="239">
                  <c:v>8.666449624515856</c:v>
                </c:pt>
                <c:pt idx="240">
                  <c:v>9.6412902543062078</c:v>
                </c:pt>
                <c:pt idx="241">
                  <c:v>7.7191128204581165</c:v>
                </c:pt>
                <c:pt idx="242">
                  <c:v>9.7375102151975081</c:v>
                </c:pt>
                <c:pt idx="243">
                  <c:v>11.677020732069243</c:v>
                </c:pt>
                <c:pt idx="244">
                  <c:v>10.068652692725223</c:v>
                </c:pt>
                <c:pt idx="245">
                  <c:v>10.021272644294829</c:v>
                </c:pt>
                <c:pt idx="246">
                  <c:v>10.692395024870699</c:v>
                </c:pt>
                <c:pt idx="247">
                  <c:v>10.18630730133394</c:v>
                </c:pt>
                <c:pt idx="248">
                  <c:v>11.869813367631616</c:v>
                </c:pt>
                <c:pt idx="249">
                  <c:v>10.225324750564079</c:v>
                </c:pt>
                <c:pt idx="250">
                  <c:v>8.0371194416749177</c:v>
                </c:pt>
                <c:pt idx="251">
                  <c:v>11.553222831596676</c:v>
                </c:pt>
                <c:pt idx="252">
                  <c:v>9.2620002779662727</c:v>
                </c:pt>
                <c:pt idx="253">
                  <c:v>8.8519919431050997</c:v>
                </c:pt>
                <c:pt idx="254">
                  <c:v>10.763390192437164</c:v>
                </c:pt>
                <c:pt idx="255">
                  <c:v>8.1644929959341184</c:v>
                </c:pt>
                <c:pt idx="256">
                  <c:v>8.8507110266195372</c:v>
                </c:pt>
                <c:pt idx="257">
                  <c:v>10.925198089156915</c:v>
                </c:pt>
                <c:pt idx="258">
                  <c:v>9.1388169321322099</c:v>
                </c:pt>
                <c:pt idx="259">
                  <c:v>10.025129709398776</c:v>
                </c:pt>
                <c:pt idx="260">
                  <c:v>9.8863693968486857</c:v>
                </c:pt>
                <c:pt idx="261">
                  <c:v>9.7060974140740974</c:v>
                </c:pt>
                <c:pt idx="262">
                  <c:v>8.2719785596599031</c:v>
                </c:pt>
                <c:pt idx="263">
                  <c:v>9.8781074722322124</c:v>
                </c:pt>
                <c:pt idx="264">
                  <c:v>8.4430143908810287</c:v>
                </c:pt>
                <c:pt idx="265">
                  <c:v>11.541740231859777</c:v>
                </c:pt>
                <c:pt idx="266">
                  <c:v>9.7687554144220012</c:v>
                </c:pt>
                <c:pt idx="267">
                  <c:v>11.809825854843464</c:v>
                </c:pt>
                <c:pt idx="268">
                  <c:v>9.8588916029299778</c:v>
                </c:pt>
                <c:pt idx="269">
                  <c:v>9.6173566265472417</c:v>
                </c:pt>
                <c:pt idx="270">
                  <c:v>11.393506437293718</c:v>
                </c:pt>
                <c:pt idx="271">
                  <c:v>11.821936309447622</c:v>
                </c:pt>
                <c:pt idx="272">
                  <c:v>10.189938884504919</c:v>
                </c:pt>
                <c:pt idx="273">
                  <c:v>11.622995548312923</c:v>
                </c:pt>
                <c:pt idx="274">
                  <c:v>12.153184965935985</c:v>
                </c:pt>
                <c:pt idx="275">
                  <c:v>9.1848186963813134</c:v>
                </c:pt>
                <c:pt idx="276">
                  <c:v>9.5090556694901327</c:v>
                </c:pt>
                <c:pt idx="277">
                  <c:v>11.281299705501988</c:v>
                </c:pt>
                <c:pt idx="278">
                  <c:v>10.309467173427745</c:v>
                </c:pt>
                <c:pt idx="279">
                  <c:v>10.152315006532124</c:v>
                </c:pt>
                <c:pt idx="280">
                  <c:v>11.832523594869226</c:v>
                </c:pt>
                <c:pt idx="281">
                  <c:v>10.580904019572092</c:v>
                </c:pt>
                <c:pt idx="282">
                  <c:v>11.603784770232368</c:v>
                </c:pt>
                <c:pt idx="283">
                  <c:v>11.804854321629291</c:v>
                </c:pt>
                <c:pt idx="284">
                  <c:v>11.118028744399448</c:v>
                </c:pt>
                <c:pt idx="285">
                  <c:v>9.561644989415548</c:v>
                </c:pt>
                <c:pt idx="286">
                  <c:v>10.329460298042752</c:v>
                </c:pt>
                <c:pt idx="287">
                  <c:v>11.71276586058914</c:v>
                </c:pt>
                <c:pt idx="288">
                  <c:v>10.922800000177661</c:v>
                </c:pt>
                <c:pt idx="289">
                  <c:v>10.468710504877183</c:v>
                </c:pt>
                <c:pt idx="290">
                  <c:v>10.408386218021764</c:v>
                </c:pt>
                <c:pt idx="291">
                  <c:v>10.905511264196166</c:v>
                </c:pt>
                <c:pt idx="292">
                  <c:v>9.3608864818054887</c:v>
                </c:pt>
                <c:pt idx="293">
                  <c:v>8.9564654889246924</c:v>
                </c:pt>
                <c:pt idx="294">
                  <c:v>12.099398896735888</c:v>
                </c:pt>
                <c:pt idx="295">
                  <c:v>11.30417002782549</c:v>
                </c:pt>
                <c:pt idx="296">
                  <c:v>10.904369598219109</c:v>
                </c:pt>
                <c:pt idx="297">
                  <c:v>11.076911253788898</c:v>
                </c:pt>
                <c:pt idx="298">
                  <c:v>9.8801333544960208</c:v>
                </c:pt>
                <c:pt idx="299">
                  <c:v>11.06877910742635</c:v>
                </c:pt>
                <c:pt idx="300">
                  <c:v>9.3093021452425919</c:v>
                </c:pt>
                <c:pt idx="301">
                  <c:v>10.939382303677224</c:v>
                </c:pt>
                <c:pt idx="302">
                  <c:v>12.149511024464436</c:v>
                </c:pt>
                <c:pt idx="303">
                  <c:v>11.693788512704991</c:v>
                </c:pt>
                <c:pt idx="304">
                  <c:v>10.216854884553634</c:v>
                </c:pt>
                <c:pt idx="305">
                  <c:v>11.909496436718776</c:v>
                </c:pt>
                <c:pt idx="306">
                  <c:v>11.949694179361895</c:v>
                </c:pt>
                <c:pt idx="307">
                  <c:v>11.616256421095301</c:v>
                </c:pt>
                <c:pt idx="308">
                  <c:v>11.392075085667177</c:v>
                </c:pt>
                <c:pt idx="309">
                  <c:v>8.695569415430958</c:v>
                </c:pt>
                <c:pt idx="310">
                  <c:v>8.8042291868029583</c:v>
                </c:pt>
                <c:pt idx="311">
                  <c:v>8.766339553095392</c:v>
                </c:pt>
                <c:pt idx="312">
                  <c:v>10.700967970760736</c:v>
                </c:pt>
                <c:pt idx="313">
                  <c:v>8.5556341049033033</c:v>
                </c:pt>
                <c:pt idx="314">
                  <c:v>11.319400571594246</c:v>
                </c:pt>
                <c:pt idx="315">
                  <c:v>10.031538390953529</c:v>
                </c:pt>
                <c:pt idx="316">
                  <c:v>8.4581349117616806</c:v>
                </c:pt>
                <c:pt idx="317">
                  <c:v>10.343501501903303</c:v>
                </c:pt>
                <c:pt idx="318">
                  <c:v>11.043283294237909</c:v>
                </c:pt>
                <c:pt idx="319">
                  <c:v>8.5364076350741431</c:v>
                </c:pt>
                <c:pt idx="320">
                  <c:v>9.7660288696900182</c:v>
                </c:pt>
                <c:pt idx="321">
                  <c:v>9.0492761757730307</c:v>
                </c:pt>
                <c:pt idx="322">
                  <c:v>9.738129325756077</c:v>
                </c:pt>
                <c:pt idx="323">
                  <c:v>8.7807460321604776</c:v>
                </c:pt>
                <c:pt idx="324">
                  <c:v>10.89811708748096</c:v>
                </c:pt>
                <c:pt idx="325">
                  <c:v>9.0988968058387361</c:v>
                </c:pt>
                <c:pt idx="326">
                  <c:v>11.715065639668552</c:v>
                </c:pt>
                <c:pt idx="327">
                  <c:v>11.817274222673934</c:v>
                </c:pt>
                <c:pt idx="328">
                  <c:v>10.775575014860127</c:v>
                </c:pt>
                <c:pt idx="329">
                  <c:v>10.889592071925428</c:v>
                </c:pt>
                <c:pt idx="330">
                  <c:v>11.330625548110788</c:v>
                </c:pt>
                <c:pt idx="331">
                  <c:v>9.8541593205655076</c:v>
                </c:pt>
                <c:pt idx="332">
                  <c:v>10.942044874075837</c:v>
                </c:pt>
                <c:pt idx="333">
                  <c:v>10.498535393918042</c:v>
                </c:pt>
                <c:pt idx="334">
                  <c:v>8.0922893381213807</c:v>
                </c:pt>
                <c:pt idx="335">
                  <c:v>8.0851067279084106</c:v>
                </c:pt>
                <c:pt idx="336">
                  <c:v>11.018359950999582</c:v>
                </c:pt>
                <c:pt idx="337">
                  <c:v>8.3849493415820771</c:v>
                </c:pt>
                <c:pt idx="338">
                  <c:v>10.202778136546865</c:v>
                </c:pt>
                <c:pt idx="339">
                  <c:v>7.0174804283604599</c:v>
                </c:pt>
                <c:pt idx="340">
                  <c:v>9.2633839656123449</c:v>
                </c:pt>
                <c:pt idx="341">
                  <c:v>9.0342429322604207</c:v>
                </c:pt>
                <c:pt idx="342">
                  <c:v>10.633980678331815</c:v>
                </c:pt>
                <c:pt idx="343">
                  <c:v>8.4615531369853834</c:v>
                </c:pt>
                <c:pt idx="344">
                  <c:v>10.108038721622448</c:v>
                </c:pt>
                <c:pt idx="345">
                  <c:v>10.592219289076356</c:v>
                </c:pt>
                <c:pt idx="346">
                  <c:v>10.920941835864975</c:v>
                </c:pt>
                <c:pt idx="347">
                  <c:v>9.0800589783001229</c:v>
                </c:pt>
                <c:pt idx="348">
                  <c:v>8.5050128970269139</c:v>
                </c:pt>
                <c:pt idx="349">
                  <c:v>9.5459813509091234</c:v>
                </c:pt>
                <c:pt idx="350">
                  <c:v>8.6934930219908466</c:v>
                </c:pt>
                <c:pt idx="351">
                  <c:v>8.1841327637923698</c:v>
                </c:pt>
                <c:pt idx="352">
                  <c:v>9.6875090049530215</c:v>
                </c:pt>
                <c:pt idx="353">
                  <c:v>11.312928252655905</c:v>
                </c:pt>
                <c:pt idx="354">
                  <c:v>8.9576623957678514</c:v>
                </c:pt>
                <c:pt idx="355">
                  <c:v>7.9037429528727188</c:v>
                </c:pt>
                <c:pt idx="356">
                  <c:v>10.465798878729728</c:v>
                </c:pt>
                <c:pt idx="357">
                  <c:v>8.4449407584940293</c:v>
                </c:pt>
                <c:pt idx="358">
                  <c:v>8.0973067892936665</c:v>
                </c:pt>
                <c:pt idx="359">
                  <c:v>7.3089260953840558</c:v>
                </c:pt>
                <c:pt idx="360">
                  <c:v>8.4928682072642339</c:v>
                </c:pt>
                <c:pt idx="361">
                  <c:v>6.5492104618438542</c:v>
                </c:pt>
                <c:pt idx="362">
                  <c:v>7.0986880022043799</c:v>
                </c:pt>
                <c:pt idx="363">
                  <c:v>7.9654922543348814</c:v>
                </c:pt>
                <c:pt idx="364">
                  <c:v>9.375835295882716</c:v>
                </c:pt>
                <c:pt idx="365">
                  <c:v>7.5058027701921333</c:v>
                </c:pt>
                <c:pt idx="366">
                  <c:v>9.3055301734043869</c:v>
                </c:pt>
                <c:pt idx="367">
                  <c:v>5.8939859277933149</c:v>
                </c:pt>
                <c:pt idx="368">
                  <c:v>7.0746015570920271</c:v>
                </c:pt>
                <c:pt idx="369">
                  <c:v>8.9667519485852161</c:v>
                </c:pt>
                <c:pt idx="370">
                  <c:v>6.2885133348481821</c:v>
                </c:pt>
                <c:pt idx="371">
                  <c:v>6.3941242567665437</c:v>
                </c:pt>
                <c:pt idx="372">
                  <c:v>8.3650709141845176</c:v>
                </c:pt>
                <c:pt idx="373">
                  <c:v>9.3520960387313252</c:v>
                </c:pt>
                <c:pt idx="374">
                  <c:v>8.673365197457553</c:v>
                </c:pt>
                <c:pt idx="375">
                  <c:v>7.915784151409305</c:v>
                </c:pt>
                <c:pt idx="376">
                  <c:v>6.9857732391216913</c:v>
                </c:pt>
                <c:pt idx="377">
                  <c:v>9.9796868262697007</c:v>
                </c:pt>
                <c:pt idx="378">
                  <c:v>7.1613860680566379</c:v>
                </c:pt>
                <c:pt idx="379">
                  <c:v>10.08395002752512</c:v>
                </c:pt>
                <c:pt idx="380">
                  <c:v>6.381923673878438</c:v>
                </c:pt>
                <c:pt idx="381">
                  <c:v>6.3379818121796365</c:v>
                </c:pt>
                <c:pt idx="382">
                  <c:v>6.3727994746686374</c:v>
                </c:pt>
                <c:pt idx="383">
                  <c:v>8.8112342781313711</c:v>
                </c:pt>
                <c:pt idx="384">
                  <c:v>8.9576902201460964</c:v>
                </c:pt>
                <c:pt idx="385">
                  <c:v>5.5869149554510349</c:v>
                </c:pt>
                <c:pt idx="386">
                  <c:v>5.5039576910271073</c:v>
                </c:pt>
                <c:pt idx="387">
                  <c:v>8.4633935141080929</c:v>
                </c:pt>
                <c:pt idx="388">
                  <c:v>7.5025157416243493</c:v>
                </c:pt>
                <c:pt idx="389">
                  <c:v>5.402532266537607</c:v>
                </c:pt>
                <c:pt idx="390">
                  <c:v>4.8767667808878894</c:v>
                </c:pt>
                <c:pt idx="391">
                  <c:v>6.7997955467696114</c:v>
                </c:pt>
                <c:pt idx="392">
                  <c:v>7.36746456197959</c:v>
                </c:pt>
                <c:pt idx="393">
                  <c:v>6.9759120613732275</c:v>
                </c:pt>
                <c:pt idx="394">
                  <c:v>4.5229859169780315</c:v>
                </c:pt>
                <c:pt idx="395">
                  <c:v>5.8486535578526784</c:v>
                </c:pt>
                <c:pt idx="396">
                  <c:v>8.2347492682129193</c:v>
                </c:pt>
                <c:pt idx="397">
                  <c:v>7.3696524336243039</c:v>
                </c:pt>
                <c:pt idx="398">
                  <c:v>5.7481131374090246</c:v>
                </c:pt>
                <c:pt idx="399">
                  <c:v>6.185277617563079</c:v>
                </c:pt>
                <c:pt idx="400">
                  <c:v>5.8180980379430878</c:v>
                </c:pt>
                <c:pt idx="401">
                  <c:v>7.0861481556864172</c:v>
                </c:pt>
                <c:pt idx="402">
                  <c:v>8.7917268526672263</c:v>
                </c:pt>
                <c:pt idx="403">
                  <c:v>6.0448793961189491</c:v>
                </c:pt>
                <c:pt idx="404">
                  <c:v>8.5460297618215861</c:v>
                </c:pt>
                <c:pt idx="405">
                  <c:v>7.2590439578154049</c:v>
                </c:pt>
                <c:pt idx="406">
                  <c:v>6.6256860891320297</c:v>
                </c:pt>
                <c:pt idx="407">
                  <c:v>8.1382920776013297</c:v>
                </c:pt>
                <c:pt idx="408">
                  <c:v>5.0253218398862849</c:v>
                </c:pt>
                <c:pt idx="409">
                  <c:v>5.5247111661228132</c:v>
                </c:pt>
                <c:pt idx="410">
                  <c:v>5.100915754528887</c:v>
                </c:pt>
                <c:pt idx="411">
                  <c:v>8.2201536921123015</c:v>
                </c:pt>
                <c:pt idx="412">
                  <c:v>4.8111997309479033</c:v>
                </c:pt>
                <c:pt idx="413">
                  <c:v>7.0180460076938402</c:v>
                </c:pt>
                <c:pt idx="414">
                  <c:v>7.6423941229753698</c:v>
                </c:pt>
                <c:pt idx="415">
                  <c:v>4.4493952265122401</c:v>
                </c:pt>
                <c:pt idx="416">
                  <c:v>5.0864426874435162</c:v>
                </c:pt>
                <c:pt idx="417">
                  <c:v>5.8628045232846704</c:v>
                </c:pt>
                <c:pt idx="418">
                  <c:v>4.7559683080387183</c:v>
                </c:pt>
                <c:pt idx="419">
                  <c:v>5.8999238743144442</c:v>
                </c:pt>
                <c:pt idx="420">
                  <c:v>5.1206665323349618</c:v>
                </c:pt>
                <c:pt idx="421">
                  <c:v>6.5878727660746463</c:v>
                </c:pt>
                <c:pt idx="422">
                  <c:v>4.0698903602380962</c:v>
                </c:pt>
                <c:pt idx="423">
                  <c:v>4.4025259402373846</c:v>
                </c:pt>
                <c:pt idx="424">
                  <c:v>5.2358538689109118</c:v>
                </c:pt>
                <c:pt idx="425">
                  <c:v>3.8327764225373131</c:v>
                </c:pt>
                <c:pt idx="426">
                  <c:v>5.3857147044364293</c:v>
                </c:pt>
                <c:pt idx="427">
                  <c:v>6.4504400998613063</c:v>
                </c:pt>
                <c:pt idx="428">
                  <c:v>4.1233371370238823</c:v>
                </c:pt>
                <c:pt idx="429">
                  <c:v>6.8494751495313899</c:v>
                </c:pt>
                <c:pt idx="430">
                  <c:v>5.0131106946402246</c:v>
                </c:pt>
                <c:pt idx="431">
                  <c:v>6.5177797601210106</c:v>
                </c:pt>
                <c:pt idx="432">
                  <c:v>7.5541821608073736</c:v>
                </c:pt>
                <c:pt idx="433">
                  <c:v>6.9217570514176998</c:v>
                </c:pt>
                <c:pt idx="434">
                  <c:v>4.5312412902866512</c:v>
                </c:pt>
                <c:pt idx="435">
                  <c:v>5.8670750440741273</c:v>
                </c:pt>
                <c:pt idx="436">
                  <c:v>5.9742535843494267</c:v>
                </c:pt>
                <c:pt idx="437">
                  <c:v>7.3795682838582541</c:v>
                </c:pt>
                <c:pt idx="438">
                  <c:v>3.3634191039914185</c:v>
                </c:pt>
                <c:pt idx="439">
                  <c:v>3.6806161447647332</c:v>
                </c:pt>
                <c:pt idx="440">
                  <c:v>6.7903368664926633</c:v>
                </c:pt>
                <c:pt idx="441">
                  <c:v>4.2023238101385134</c:v>
                </c:pt>
                <c:pt idx="442">
                  <c:v>3.960935490860916</c:v>
                </c:pt>
                <c:pt idx="443">
                  <c:v>3.3056409223940797</c:v>
                </c:pt>
                <c:pt idx="444">
                  <c:v>3.1065141364040776</c:v>
                </c:pt>
                <c:pt idx="445">
                  <c:v>2.8799149514019122</c:v>
                </c:pt>
                <c:pt idx="446">
                  <c:v>5.2934012993885471</c:v>
                </c:pt>
                <c:pt idx="447">
                  <c:v>6.071158702969087</c:v>
                </c:pt>
                <c:pt idx="448">
                  <c:v>4.3965416583307757</c:v>
                </c:pt>
                <c:pt idx="449">
                  <c:v>3.0995177836859926</c:v>
                </c:pt>
                <c:pt idx="450">
                  <c:v>3.541901797574126</c:v>
                </c:pt>
                <c:pt idx="451">
                  <c:v>5.7782947230539845</c:v>
                </c:pt>
                <c:pt idx="452">
                  <c:v>4.994316780394815</c:v>
                </c:pt>
                <c:pt idx="453">
                  <c:v>3.8062209387618497</c:v>
                </c:pt>
                <c:pt idx="454">
                  <c:v>3.8616557042909099</c:v>
                </c:pt>
                <c:pt idx="455">
                  <c:v>6.5036316678640418</c:v>
                </c:pt>
                <c:pt idx="456">
                  <c:v>3.2688949614349054</c:v>
                </c:pt>
                <c:pt idx="457">
                  <c:v>6.9342766004093246</c:v>
                </c:pt>
                <c:pt idx="458">
                  <c:v>4.8749237742709184</c:v>
                </c:pt>
                <c:pt idx="459">
                  <c:v>6.5171816158471252</c:v>
                </c:pt>
                <c:pt idx="460">
                  <c:v>5.0227881924771722</c:v>
                </c:pt>
                <c:pt idx="461">
                  <c:v>6.1663735116189375</c:v>
                </c:pt>
                <c:pt idx="462">
                  <c:v>4.1884948161941953</c:v>
                </c:pt>
                <c:pt idx="463">
                  <c:v>3.1971685872898412</c:v>
                </c:pt>
                <c:pt idx="464">
                  <c:v>4.9536353712986063</c:v>
                </c:pt>
                <c:pt idx="465">
                  <c:v>6.4872008375071175</c:v>
                </c:pt>
                <c:pt idx="466">
                  <c:v>3.927105852643042</c:v>
                </c:pt>
                <c:pt idx="467">
                  <c:v>6.5440963243774366</c:v>
                </c:pt>
                <c:pt idx="468">
                  <c:v>4.5369388636902368</c:v>
                </c:pt>
                <c:pt idx="469">
                  <c:v>5.1362835297124949</c:v>
                </c:pt>
                <c:pt idx="470">
                  <c:v>6.0240800488925217</c:v>
                </c:pt>
                <c:pt idx="471">
                  <c:v>3.3546110601367749</c:v>
                </c:pt>
                <c:pt idx="472">
                  <c:v>2.2017010515833224</c:v>
                </c:pt>
                <c:pt idx="473">
                  <c:v>5.7601564378064207</c:v>
                </c:pt>
                <c:pt idx="474">
                  <c:v>4.3330631286507693</c:v>
                </c:pt>
                <c:pt idx="475">
                  <c:v>2.536488976742783</c:v>
                </c:pt>
                <c:pt idx="476">
                  <c:v>4.9652679604010599</c:v>
                </c:pt>
                <c:pt idx="477">
                  <c:v>6.3329190771199002</c:v>
                </c:pt>
                <c:pt idx="478">
                  <c:v>5.3309134828963733</c:v>
                </c:pt>
                <c:pt idx="479">
                  <c:v>4.8491302788607795</c:v>
                </c:pt>
                <c:pt idx="480">
                  <c:v>6.4367677906721177</c:v>
                </c:pt>
                <c:pt idx="481">
                  <c:v>4.1940843867416033</c:v>
                </c:pt>
                <c:pt idx="482">
                  <c:v>6.4868822338722749</c:v>
                </c:pt>
                <c:pt idx="483">
                  <c:v>4.3432349756920727</c:v>
                </c:pt>
                <c:pt idx="484">
                  <c:v>6.0529617496035879</c:v>
                </c:pt>
                <c:pt idx="485">
                  <c:v>3.7135689344800284</c:v>
                </c:pt>
                <c:pt idx="486">
                  <c:v>6.565438462533856</c:v>
                </c:pt>
                <c:pt idx="487">
                  <c:v>6.9789517873578166</c:v>
                </c:pt>
                <c:pt idx="488">
                  <c:v>6.1952470470857053</c:v>
                </c:pt>
                <c:pt idx="489">
                  <c:v>5.2875920377345782</c:v>
                </c:pt>
                <c:pt idx="490">
                  <c:v>4.9549159663866309</c:v>
                </c:pt>
                <c:pt idx="491">
                  <c:v>4.6379793175402719</c:v>
                </c:pt>
                <c:pt idx="492">
                  <c:v>4.2359666735936266</c:v>
                </c:pt>
                <c:pt idx="493">
                  <c:v>3.0703103376671352</c:v>
                </c:pt>
                <c:pt idx="494">
                  <c:v>5.2729447873260451</c:v>
                </c:pt>
                <c:pt idx="495">
                  <c:v>6.0068738196507994</c:v>
                </c:pt>
                <c:pt idx="496">
                  <c:v>5.1315135339213747</c:v>
                </c:pt>
                <c:pt idx="497">
                  <c:v>2.9782916557712458</c:v>
                </c:pt>
                <c:pt idx="498">
                  <c:v>6.3057605954473956</c:v>
                </c:pt>
                <c:pt idx="499">
                  <c:v>5.8398902644942972</c:v>
                </c:pt>
                <c:pt idx="500">
                  <c:v>3.8813262720595967</c:v>
                </c:pt>
                <c:pt idx="501">
                  <c:v>2.8678520853827996</c:v>
                </c:pt>
                <c:pt idx="502">
                  <c:v>4.0080728451039063</c:v>
                </c:pt>
                <c:pt idx="503">
                  <c:v>6.6526952513077919</c:v>
                </c:pt>
                <c:pt idx="504">
                  <c:v>3.206402057713809</c:v>
                </c:pt>
                <c:pt idx="505">
                  <c:v>5.9715062907078877</c:v>
                </c:pt>
                <c:pt idx="506">
                  <c:v>3.8962139283209964</c:v>
                </c:pt>
                <c:pt idx="507">
                  <c:v>7.0140351147202828</c:v>
                </c:pt>
                <c:pt idx="508">
                  <c:v>5.5497998158708857</c:v>
                </c:pt>
                <c:pt idx="509">
                  <c:v>7.362699888022382</c:v>
                </c:pt>
                <c:pt idx="510">
                  <c:v>4.9439542061794581</c:v>
                </c:pt>
                <c:pt idx="511">
                  <c:v>5.6091745839334157</c:v>
                </c:pt>
                <c:pt idx="512">
                  <c:v>5.9731686906729795</c:v>
                </c:pt>
                <c:pt idx="513">
                  <c:v>4.1614473547202397</c:v>
                </c:pt>
                <c:pt idx="514">
                  <c:v>7.3158960731766118</c:v>
                </c:pt>
                <c:pt idx="515">
                  <c:v>5.7975442812343969</c:v>
                </c:pt>
                <c:pt idx="516">
                  <c:v>7.0478201404979082</c:v>
                </c:pt>
                <c:pt idx="517">
                  <c:v>4.8140449934684488</c:v>
                </c:pt>
                <c:pt idx="518">
                  <c:v>6.293889455568408</c:v>
                </c:pt>
                <c:pt idx="519">
                  <c:v>5.901341403924981</c:v>
                </c:pt>
                <c:pt idx="520">
                  <c:v>6.2211739097534906</c:v>
                </c:pt>
                <c:pt idx="521">
                  <c:v>5.7452939985969858</c:v>
                </c:pt>
                <c:pt idx="522">
                  <c:v>4.4837817706021692</c:v>
                </c:pt>
                <c:pt idx="523">
                  <c:v>3.8152585003552622</c:v>
                </c:pt>
                <c:pt idx="524">
                  <c:v>4.0581275347612138</c:v>
                </c:pt>
                <c:pt idx="525">
                  <c:v>3.6945778189454952</c:v>
                </c:pt>
                <c:pt idx="526">
                  <c:v>6.732758533499819</c:v>
                </c:pt>
                <c:pt idx="527">
                  <c:v>5.6177168652923486</c:v>
                </c:pt>
                <c:pt idx="528">
                  <c:v>4.9283101418164552</c:v>
                </c:pt>
                <c:pt idx="529">
                  <c:v>6.7930876240262075</c:v>
                </c:pt>
                <c:pt idx="530">
                  <c:v>5.8851438835299117</c:v>
                </c:pt>
                <c:pt idx="531">
                  <c:v>5.3344492312164302</c:v>
                </c:pt>
                <c:pt idx="532">
                  <c:v>6.657977637972075</c:v>
                </c:pt>
                <c:pt idx="533">
                  <c:v>6.6731257372891424</c:v>
                </c:pt>
                <c:pt idx="534">
                  <c:v>5.0636256321777715</c:v>
                </c:pt>
                <c:pt idx="535">
                  <c:v>6.3832479054622899</c:v>
                </c:pt>
                <c:pt idx="536">
                  <c:v>7.8736471406795268</c:v>
                </c:pt>
                <c:pt idx="537">
                  <c:v>6.816359605352865</c:v>
                </c:pt>
                <c:pt idx="538">
                  <c:v>7.0913154710918631</c:v>
                </c:pt>
                <c:pt idx="539">
                  <c:v>7.3678206273629652</c:v>
                </c:pt>
                <c:pt idx="540">
                  <c:v>8.6330651125919751</c:v>
                </c:pt>
                <c:pt idx="541">
                  <c:v>8.6113644043829467</c:v>
                </c:pt>
                <c:pt idx="542">
                  <c:v>8.1829119381269191</c:v>
                </c:pt>
                <c:pt idx="543">
                  <c:v>6.5935559418119558</c:v>
                </c:pt>
                <c:pt idx="544">
                  <c:v>8.2541108523829205</c:v>
                </c:pt>
                <c:pt idx="545">
                  <c:v>7.3975555546377603</c:v>
                </c:pt>
                <c:pt idx="546">
                  <c:v>6.889191794074363</c:v>
                </c:pt>
                <c:pt idx="547">
                  <c:v>5.1002976450315254</c:v>
                </c:pt>
                <c:pt idx="548">
                  <c:v>5.7679258894324805</c:v>
                </c:pt>
                <c:pt idx="549">
                  <c:v>7.0066717460779824</c:v>
                </c:pt>
                <c:pt idx="550">
                  <c:v>4.76557508487193</c:v>
                </c:pt>
                <c:pt idx="551">
                  <c:v>5.6651653766812862</c:v>
                </c:pt>
                <c:pt idx="552">
                  <c:v>7.5735974212117574</c:v>
                </c:pt>
                <c:pt idx="553">
                  <c:v>4.9851860647914155</c:v>
                </c:pt>
                <c:pt idx="554">
                  <c:v>6.9629776828488383</c:v>
                </c:pt>
                <c:pt idx="555">
                  <c:v>8.6117553337604971</c:v>
                </c:pt>
                <c:pt idx="556">
                  <c:v>5.6408204518236023</c:v>
                </c:pt>
                <c:pt idx="557">
                  <c:v>6.9766165088864964</c:v>
                </c:pt>
                <c:pt idx="558">
                  <c:v>7.7789929086470497</c:v>
                </c:pt>
                <c:pt idx="559">
                  <c:v>5.7494786575889902</c:v>
                </c:pt>
                <c:pt idx="560">
                  <c:v>9.1894598114093284</c:v>
                </c:pt>
                <c:pt idx="561">
                  <c:v>7.1820239838326243</c:v>
                </c:pt>
                <c:pt idx="562">
                  <c:v>6.5707380596082885</c:v>
                </c:pt>
                <c:pt idx="563">
                  <c:v>6.4229492341296899</c:v>
                </c:pt>
                <c:pt idx="564">
                  <c:v>7.2283300576285416</c:v>
                </c:pt>
                <c:pt idx="565">
                  <c:v>9.6493799429010245</c:v>
                </c:pt>
                <c:pt idx="566">
                  <c:v>7.4268261241355811</c:v>
                </c:pt>
                <c:pt idx="567">
                  <c:v>8.5752466862229184</c:v>
                </c:pt>
                <c:pt idx="568">
                  <c:v>7.5383926638300593</c:v>
                </c:pt>
                <c:pt idx="569">
                  <c:v>7.2326109041385891</c:v>
                </c:pt>
                <c:pt idx="570">
                  <c:v>7.2471305211746992</c:v>
                </c:pt>
                <c:pt idx="571">
                  <c:v>9.7802497819860115</c:v>
                </c:pt>
                <c:pt idx="572">
                  <c:v>7.5474737135896337</c:v>
                </c:pt>
                <c:pt idx="573">
                  <c:v>7.8720478496456661</c:v>
                </c:pt>
                <c:pt idx="574">
                  <c:v>10.081268346339055</c:v>
                </c:pt>
                <c:pt idx="575">
                  <c:v>7.2381823615652703</c:v>
                </c:pt>
                <c:pt idx="576">
                  <c:v>6.5605626412347213</c:v>
                </c:pt>
                <c:pt idx="577">
                  <c:v>7.323804908224365</c:v>
                </c:pt>
                <c:pt idx="578">
                  <c:v>8.1612753978530357</c:v>
                </c:pt>
                <c:pt idx="579">
                  <c:v>8.375899726631701</c:v>
                </c:pt>
                <c:pt idx="580">
                  <c:v>8.6326456822612414</c:v>
                </c:pt>
                <c:pt idx="581">
                  <c:v>7.6655342798033237</c:v>
                </c:pt>
                <c:pt idx="582">
                  <c:v>9.7278267860980154</c:v>
                </c:pt>
                <c:pt idx="583">
                  <c:v>9.4156338493733021</c:v>
                </c:pt>
                <c:pt idx="584">
                  <c:v>8.217633744271037</c:v>
                </c:pt>
                <c:pt idx="585">
                  <c:v>9.3411410422642778</c:v>
                </c:pt>
                <c:pt idx="586">
                  <c:v>7.4267008782272574</c:v>
                </c:pt>
                <c:pt idx="587">
                  <c:v>9.4226454315537538</c:v>
                </c:pt>
                <c:pt idx="588">
                  <c:v>9.1510991195326543</c:v>
                </c:pt>
                <c:pt idx="589">
                  <c:v>9.561737173515013</c:v>
                </c:pt>
                <c:pt idx="590">
                  <c:v>9.0799400886094634</c:v>
                </c:pt>
                <c:pt idx="591">
                  <c:v>11.006744017251904</c:v>
                </c:pt>
                <c:pt idx="592">
                  <c:v>11.06735756997295</c:v>
                </c:pt>
                <c:pt idx="593">
                  <c:v>11.022840694814255</c:v>
                </c:pt>
                <c:pt idx="594">
                  <c:v>8.6263992019579323</c:v>
                </c:pt>
                <c:pt idx="595">
                  <c:v>11.153962998528536</c:v>
                </c:pt>
                <c:pt idx="596">
                  <c:v>8.7812147714539108</c:v>
                </c:pt>
                <c:pt idx="597">
                  <c:v>11.429522434608041</c:v>
                </c:pt>
                <c:pt idx="598">
                  <c:v>11.616953652930126</c:v>
                </c:pt>
                <c:pt idx="599">
                  <c:v>8.7173606992029651</c:v>
                </c:pt>
                <c:pt idx="600">
                  <c:v>8.0764748811735991</c:v>
                </c:pt>
                <c:pt idx="601">
                  <c:v>8.5920662540390929</c:v>
                </c:pt>
                <c:pt idx="602">
                  <c:v>11.074450290099</c:v>
                </c:pt>
                <c:pt idx="603">
                  <c:v>9.4446098260876532</c:v>
                </c:pt>
                <c:pt idx="604">
                  <c:v>9.5877642293374166</c:v>
                </c:pt>
                <c:pt idx="605">
                  <c:v>11.159818744619262</c:v>
                </c:pt>
                <c:pt idx="606">
                  <c:v>7.8157414770737015</c:v>
                </c:pt>
                <c:pt idx="607">
                  <c:v>10.857440422161343</c:v>
                </c:pt>
                <c:pt idx="608">
                  <c:v>10.715542895146994</c:v>
                </c:pt>
                <c:pt idx="609">
                  <c:v>11.151199967333877</c:v>
                </c:pt>
                <c:pt idx="610">
                  <c:v>9.9193256552181506</c:v>
                </c:pt>
                <c:pt idx="611">
                  <c:v>8.4910813467678956</c:v>
                </c:pt>
                <c:pt idx="612">
                  <c:v>8.3471780036629042</c:v>
                </c:pt>
                <c:pt idx="613">
                  <c:v>11.396138486910786</c:v>
                </c:pt>
                <c:pt idx="614">
                  <c:v>10.616582104005339</c:v>
                </c:pt>
                <c:pt idx="615">
                  <c:v>12.246685190865247</c:v>
                </c:pt>
                <c:pt idx="616">
                  <c:v>9.8208902133168401</c:v>
                </c:pt>
                <c:pt idx="617">
                  <c:v>10.025379825683771</c:v>
                </c:pt>
                <c:pt idx="618">
                  <c:v>12.146516095480459</c:v>
                </c:pt>
                <c:pt idx="619">
                  <c:v>12.33925372324927</c:v>
                </c:pt>
                <c:pt idx="620">
                  <c:v>10.662761420727477</c:v>
                </c:pt>
                <c:pt idx="621">
                  <c:v>12.336100867454265</c:v>
                </c:pt>
                <c:pt idx="622">
                  <c:v>9.9262376119780651</c:v>
                </c:pt>
                <c:pt idx="623">
                  <c:v>12.186513369349843</c:v>
                </c:pt>
                <c:pt idx="624">
                  <c:v>9.099413674201827</c:v>
                </c:pt>
                <c:pt idx="625">
                  <c:v>10.245885068919533</c:v>
                </c:pt>
                <c:pt idx="626">
                  <c:v>9.529732432373871</c:v>
                </c:pt>
                <c:pt idx="627">
                  <c:v>8.567468114784317</c:v>
                </c:pt>
                <c:pt idx="628">
                  <c:v>11.004121517507171</c:v>
                </c:pt>
                <c:pt idx="629">
                  <c:v>11.766210300351641</c:v>
                </c:pt>
                <c:pt idx="630">
                  <c:v>12.070761736080504</c:v>
                </c:pt>
                <c:pt idx="631">
                  <c:v>10.243882019860825</c:v>
                </c:pt>
                <c:pt idx="632">
                  <c:v>8.4623365601376346</c:v>
                </c:pt>
                <c:pt idx="633">
                  <c:v>11.949544502104752</c:v>
                </c:pt>
                <c:pt idx="634">
                  <c:v>10.438269827556379</c:v>
                </c:pt>
                <c:pt idx="635">
                  <c:v>8.7775357638304321</c:v>
                </c:pt>
                <c:pt idx="636">
                  <c:v>9.6601323636163219</c:v>
                </c:pt>
                <c:pt idx="637">
                  <c:v>11.590036204039917</c:v>
                </c:pt>
                <c:pt idx="638">
                  <c:v>9.9610218324055566</c:v>
                </c:pt>
                <c:pt idx="639">
                  <c:v>8.8083449621703878</c:v>
                </c:pt>
                <c:pt idx="640">
                  <c:v>11.811119393206175</c:v>
                </c:pt>
                <c:pt idx="641">
                  <c:v>10.293498378853627</c:v>
                </c:pt>
                <c:pt idx="642">
                  <c:v>11.989871390524588</c:v>
                </c:pt>
                <c:pt idx="643">
                  <c:v>9.3747293921600434</c:v>
                </c:pt>
                <c:pt idx="644">
                  <c:v>12.865126719907924</c:v>
                </c:pt>
                <c:pt idx="645">
                  <c:v>11.989725371997221</c:v>
                </c:pt>
                <c:pt idx="646">
                  <c:v>11.233204461789164</c:v>
                </c:pt>
                <c:pt idx="647">
                  <c:v>11.987653857988107</c:v>
                </c:pt>
                <c:pt idx="648">
                  <c:v>13.055955999587704</c:v>
                </c:pt>
                <c:pt idx="649">
                  <c:v>13.381611697634204</c:v>
                </c:pt>
                <c:pt idx="650">
                  <c:v>9.6601464208659102</c:v>
                </c:pt>
                <c:pt idx="651">
                  <c:v>10.205835946985072</c:v>
                </c:pt>
                <c:pt idx="652">
                  <c:v>12.307931324232641</c:v>
                </c:pt>
                <c:pt idx="653">
                  <c:v>9.1583648750288571</c:v>
                </c:pt>
                <c:pt idx="654">
                  <c:v>11.199362362959558</c:v>
                </c:pt>
                <c:pt idx="655">
                  <c:v>9.6130625428232364</c:v>
                </c:pt>
                <c:pt idx="656">
                  <c:v>9.1840023163347659</c:v>
                </c:pt>
                <c:pt idx="657">
                  <c:v>10.900580025609493</c:v>
                </c:pt>
                <c:pt idx="658">
                  <c:v>9.6312195695354337</c:v>
                </c:pt>
                <c:pt idx="659">
                  <c:v>9.7092461990028696</c:v>
                </c:pt>
                <c:pt idx="660">
                  <c:v>11.464099106176745</c:v>
                </c:pt>
                <c:pt idx="661">
                  <c:v>9.155397869431356</c:v>
                </c:pt>
                <c:pt idx="662">
                  <c:v>10.141806165583253</c:v>
                </c:pt>
                <c:pt idx="663">
                  <c:v>10.404272164045015</c:v>
                </c:pt>
                <c:pt idx="664">
                  <c:v>12.169312503838267</c:v>
                </c:pt>
                <c:pt idx="665">
                  <c:v>11.005215734166605</c:v>
                </c:pt>
                <c:pt idx="666">
                  <c:v>10.169629998682295</c:v>
                </c:pt>
                <c:pt idx="667">
                  <c:v>12.249971949032204</c:v>
                </c:pt>
                <c:pt idx="668">
                  <c:v>10.207854163217059</c:v>
                </c:pt>
                <c:pt idx="669">
                  <c:v>12.023159786287417</c:v>
                </c:pt>
                <c:pt idx="670">
                  <c:v>10.389966389517584</c:v>
                </c:pt>
                <c:pt idx="671">
                  <c:v>13.356315581516716</c:v>
                </c:pt>
                <c:pt idx="672">
                  <c:v>13.069086603686308</c:v>
                </c:pt>
                <c:pt idx="673">
                  <c:v>9.6913905049571838</c:v>
                </c:pt>
                <c:pt idx="674">
                  <c:v>13.23857860603926</c:v>
                </c:pt>
                <c:pt idx="675">
                  <c:v>13.108379020480683</c:v>
                </c:pt>
                <c:pt idx="676">
                  <c:v>10.235972959437559</c:v>
                </c:pt>
                <c:pt idx="677">
                  <c:v>10.126850942186582</c:v>
                </c:pt>
                <c:pt idx="678">
                  <c:v>12.199967636049543</c:v>
                </c:pt>
                <c:pt idx="679">
                  <c:v>11.19576955277153</c:v>
                </c:pt>
                <c:pt idx="680">
                  <c:v>8.92860603158414</c:v>
                </c:pt>
                <c:pt idx="681">
                  <c:v>12.716852705194103</c:v>
                </c:pt>
                <c:pt idx="682">
                  <c:v>12.531664400079254</c:v>
                </c:pt>
                <c:pt idx="683">
                  <c:v>11.700294521022895</c:v>
                </c:pt>
                <c:pt idx="684">
                  <c:v>11.353956397709364</c:v>
                </c:pt>
                <c:pt idx="685">
                  <c:v>8.9238765586104432</c:v>
                </c:pt>
                <c:pt idx="686">
                  <c:v>8.8162199415589466</c:v>
                </c:pt>
                <c:pt idx="687">
                  <c:v>11.698478122459292</c:v>
                </c:pt>
                <c:pt idx="688">
                  <c:v>11.645841866825092</c:v>
                </c:pt>
                <c:pt idx="689">
                  <c:v>9.2005090212094114</c:v>
                </c:pt>
                <c:pt idx="690">
                  <c:v>8.6654614509930994</c:v>
                </c:pt>
                <c:pt idx="691">
                  <c:v>10.569157746710207</c:v>
                </c:pt>
                <c:pt idx="692">
                  <c:v>9.6282936734461124</c:v>
                </c:pt>
                <c:pt idx="693">
                  <c:v>11.635486857783569</c:v>
                </c:pt>
                <c:pt idx="694">
                  <c:v>11.226674709151441</c:v>
                </c:pt>
                <c:pt idx="695">
                  <c:v>12.130911042457075</c:v>
                </c:pt>
                <c:pt idx="696">
                  <c:v>9.1181292013691984</c:v>
                </c:pt>
                <c:pt idx="697">
                  <c:v>11.649044456059567</c:v>
                </c:pt>
                <c:pt idx="698">
                  <c:v>10.450409918355618</c:v>
                </c:pt>
                <c:pt idx="699">
                  <c:v>11.083006757510336</c:v>
                </c:pt>
                <c:pt idx="700">
                  <c:v>10.859634764246554</c:v>
                </c:pt>
                <c:pt idx="701">
                  <c:v>10.756292699699154</c:v>
                </c:pt>
                <c:pt idx="702">
                  <c:v>12.382872990286454</c:v>
                </c:pt>
                <c:pt idx="703">
                  <c:v>11.71839291659758</c:v>
                </c:pt>
                <c:pt idx="704">
                  <c:v>11.221731544724486</c:v>
                </c:pt>
                <c:pt idx="705">
                  <c:v>10.842949247418575</c:v>
                </c:pt>
                <c:pt idx="706">
                  <c:v>12.047432218354611</c:v>
                </c:pt>
                <c:pt idx="707">
                  <c:v>10.477449455637981</c:v>
                </c:pt>
                <c:pt idx="708">
                  <c:v>11.39269426084592</c:v>
                </c:pt>
                <c:pt idx="709">
                  <c:v>11.89084269163193</c:v>
                </c:pt>
                <c:pt idx="710">
                  <c:v>7.9527146842646186</c:v>
                </c:pt>
                <c:pt idx="711">
                  <c:v>8.9861772100516859</c:v>
                </c:pt>
                <c:pt idx="712">
                  <c:v>8.1388209344877769</c:v>
                </c:pt>
                <c:pt idx="713">
                  <c:v>11.442872837251258</c:v>
                </c:pt>
                <c:pt idx="714">
                  <c:v>11.467843809498731</c:v>
                </c:pt>
                <c:pt idx="715">
                  <c:v>8.3117142536589679</c:v>
                </c:pt>
                <c:pt idx="716">
                  <c:v>8.7316328836313684</c:v>
                </c:pt>
                <c:pt idx="717">
                  <c:v>9.3437805569111134</c:v>
                </c:pt>
                <c:pt idx="718">
                  <c:v>9.8598236285485541</c:v>
                </c:pt>
                <c:pt idx="719">
                  <c:v>11.012900578484212</c:v>
                </c:pt>
                <c:pt idx="720">
                  <c:v>11.260148499945384</c:v>
                </c:pt>
                <c:pt idx="721">
                  <c:v>8.9337216428010908</c:v>
                </c:pt>
                <c:pt idx="722">
                  <c:v>7.9467453830845933</c:v>
                </c:pt>
                <c:pt idx="723">
                  <c:v>11.25555397207691</c:v>
                </c:pt>
                <c:pt idx="724">
                  <c:v>9.1213711733082423</c:v>
                </c:pt>
                <c:pt idx="725">
                  <c:v>8.4065491553883138</c:v>
                </c:pt>
                <c:pt idx="726">
                  <c:v>10.916675804049486</c:v>
                </c:pt>
                <c:pt idx="727">
                  <c:v>8.5200755734294908</c:v>
                </c:pt>
                <c:pt idx="728">
                  <c:v>9.7697686293409962</c:v>
                </c:pt>
                <c:pt idx="729">
                  <c:v>9.669140328953695</c:v>
                </c:pt>
                <c:pt idx="730">
                  <c:v>7.9766756913706729</c:v>
                </c:pt>
                <c:pt idx="731">
                  <c:v>8.6395982729994891</c:v>
                </c:pt>
                <c:pt idx="732">
                  <c:v>8.6621891889720377</c:v>
                </c:pt>
                <c:pt idx="733">
                  <c:v>8.9600618056619705</c:v>
                </c:pt>
                <c:pt idx="734">
                  <c:v>10.343973897921426</c:v>
                </c:pt>
                <c:pt idx="735">
                  <c:v>7.0648804195405939</c:v>
                </c:pt>
                <c:pt idx="736">
                  <c:v>7.3942644640335686</c:v>
                </c:pt>
                <c:pt idx="737">
                  <c:v>8.0317266380213237</c:v>
                </c:pt>
                <c:pt idx="738">
                  <c:v>6.9899421022403398</c:v>
                </c:pt>
                <c:pt idx="739">
                  <c:v>9.4663864077959534</c:v>
                </c:pt>
                <c:pt idx="740">
                  <c:v>9.5187162519057473</c:v>
                </c:pt>
                <c:pt idx="741">
                  <c:v>8.7238758646981882</c:v>
                </c:pt>
                <c:pt idx="742">
                  <c:v>7.0858554021156444</c:v>
                </c:pt>
                <c:pt idx="743">
                  <c:v>6.4069462650984956</c:v>
                </c:pt>
                <c:pt idx="744">
                  <c:v>8.947053069407632</c:v>
                </c:pt>
                <c:pt idx="745">
                  <c:v>8.3591922366701894</c:v>
                </c:pt>
              </c:numCache>
            </c:numRef>
          </c:val>
          <c:smooth val="0"/>
          <c:extLst>
            <c:ext xmlns:c16="http://schemas.microsoft.com/office/drawing/2014/chart" uri="{C3380CC4-5D6E-409C-BE32-E72D297353CC}">
              <c16:uniqueId val="{00000000-A2D7-48E2-B51D-4370440AEDBB}"/>
            </c:ext>
          </c:extLst>
        </c:ser>
        <c:ser>
          <c:idx val="1"/>
          <c:order val="1"/>
          <c:tx>
            <c:strRef>
              <c:f>'Analyses and solution'!$AC$1</c:f>
              <c:strCache>
                <c:ptCount val="1"/>
                <c:pt idx="0">
                  <c:v>Governing equation</c:v>
                </c:pt>
              </c:strCache>
            </c:strRef>
          </c:tx>
          <c:spPr>
            <a:ln w="28575" cap="rnd">
              <a:solidFill>
                <a:schemeClr val="accent2"/>
              </a:solidFill>
              <a:round/>
            </a:ln>
            <a:effectLst/>
          </c:spPr>
          <c:marker>
            <c:symbol val="none"/>
          </c:marker>
          <c:cat>
            <c:numRef>
              <c:f>'Analyses and solution'!$A$2:$A$747</c:f>
              <c:numCache>
                <c:formatCode>General</c:formatCode>
                <c:ptCount val="7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numCache>
            </c:numRef>
          </c:cat>
          <c:val>
            <c:numRef>
              <c:f>'Analyses and solution'!$AC$2:$AC$747</c:f>
              <c:numCache>
                <c:formatCode>General</c:formatCode>
                <c:ptCount val="746"/>
                <c:pt idx="0">
                  <c:v>7.5359495237774956</c:v>
                </c:pt>
                <c:pt idx="1">
                  <c:v>7.4849540403895505</c:v>
                </c:pt>
                <c:pt idx="2">
                  <c:v>7.4339098903391658</c:v>
                </c:pt>
                <c:pt idx="3">
                  <c:v>7.3828314605572096</c:v>
                </c:pt>
                <c:pt idx="4">
                  <c:v>7.3317331474964771</c:v>
                </c:pt>
                <c:pt idx="5">
                  <c:v>7.2806293531327695</c:v>
                </c:pt>
                <c:pt idx="6">
                  <c:v>7.2295344809644346</c:v>
                </c:pt>
                <c:pt idx="7">
                  <c:v>7.1784629320114899</c:v>
                </c:pt>
                <c:pt idx="8">
                  <c:v>7.1274291008154345</c:v>
                </c:pt>
                <c:pt idx="9">
                  <c:v>7.0764473714408513</c:v>
                </c:pt>
                <c:pt idx="10">
                  <c:v>7.0255321134799349</c:v>
                </c:pt>
                <c:pt idx="11">
                  <c:v>6.9746976780610224</c:v>
                </c:pt>
                <c:pt idx="12">
                  <c:v>6.9239583938622653</c:v>
                </c:pt>
                <c:pt idx="13">
                  <c:v>6.8733285631315333</c:v>
                </c:pt>
                <c:pt idx="14">
                  <c:v>6.8228224577136576</c:v>
                </c:pt>
                <c:pt idx="15">
                  <c:v>6.7724543150861232</c:v>
                </c:pt>
                <c:pt idx="16">
                  <c:v>6.7222383344043033</c:v>
                </c:pt>
                <c:pt idx="17">
                  <c:v>6.6721886725573452</c:v>
                </c:pt>
                <c:pt idx="18">
                  <c:v>6.6223194402357874</c:v>
                </c:pt>
                <c:pt idx="19">
                  <c:v>6.5726446980120157</c:v>
                </c:pt>
                <c:pt idx="20">
                  <c:v>6.5231784524346397</c:v>
                </c:pt>
                <c:pt idx="21">
                  <c:v>6.4739346521378751</c:v>
                </c:pt>
                <c:pt idx="22">
                  <c:v>6.4249271839670117</c:v>
                </c:pt>
                <c:pt idx="23">
                  <c:v>6.376169869121048</c:v>
                </c:pt>
                <c:pt idx="24">
                  <c:v>6.3276764593135519</c:v>
                </c:pt>
                <c:pt idx="25">
                  <c:v>6.2794606329528371</c:v>
                </c:pt>
                <c:pt idx="26">
                  <c:v>6.2315359913424855</c:v>
                </c:pt>
                <c:pt idx="27">
                  <c:v>6.1839160549033041</c:v>
                </c:pt>
                <c:pt idx="28">
                  <c:v>6.1366142594177298</c:v>
                </c:pt>
                <c:pt idx="29">
                  <c:v>6.0896439522977568</c:v>
                </c:pt>
                <c:pt idx="30">
                  <c:v>6.0430183888774112</c:v>
                </c:pt>
                <c:pt idx="31">
                  <c:v>5.9967507287307997</c:v>
                </c:pt>
                <c:pt idx="32">
                  <c:v>5.950854032016748</c:v>
                </c:pt>
                <c:pt idx="33">
                  <c:v>5.9053412558510736</c:v>
                </c:pt>
                <c:pt idx="34">
                  <c:v>5.8602252507074661</c:v>
                </c:pt>
                <c:pt idx="35">
                  <c:v>5.8155187568479905</c:v>
                </c:pt>
                <c:pt idx="36">
                  <c:v>5.7712344007842153</c:v>
                </c:pt>
                <c:pt idx="37">
                  <c:v>5.7273846917699176</c:v>
                </c:pt>
                <c:pt idx="38">
                  <c:v>5.6839820183263843</c:v>
                </c:pt>
                <c:pt idx="39">
                  <c:v>5.6410386448012249</c:v>
                </c:pt>
                <c:pt idx="40">
                  <c:v>5.5985667079616945</c:v>
                </c:pt>
                <c:pt idx="41">
                  <c:v>5.5565782136234416</c:v>
                </c:pt>
                <c:pt idx="42">
                  <c:v>5.5150850333156436</c:v>
                </c:pt>
                <c:pt idx="43">
                  <c:v>5.4740989009834289</c:v>
                </c:pt>
                <c:pt idx="44">
                  <c:v>5.4336314097285277</c:v>
                </c:pt>
                <c:pt idx="45">
                  <c:v>5.393694008589037</c:v>
                </c:pt>
                <c:pt idx="46">
                  <c:v>5.3542979993592112</c:v>
                </c:pt>
                <c:pt idx="47">
                  <c:v>5.3154545334501426</c:v>
                </c:pt>
                <c:pt idx="48">
                  <c:v>5.2771746087922189</c:v>
                </c:pt>
                <c:pt idx="49">
                  <c:v>5.2394690667802193</c:v>
                </c:pt>
                <c:pt idx="50">
                  <c:v>5.2023485892618764</c:v>
                </c:pt>
                <c:pt idx="51">
                  <c:v>5.1658236955707739</c:v>
                </c:pt>
                <c:pt idx="52">
                  <c:v>5.1299047396043722</c:v>
                </c:pt>
                <c:pt idx="53">
                  <c:v>5.0946019069479886</c:v>
                </c:pt>
                <c:pt idx="54">
                  <c:v>5.0599252120455462</c:v>
                </c:pt>
                <c:pt idx="55">
                  <c:v>5.0258844954178326</c:v>
                </c:pt>
                <c:pt idx="56">
                  <c:v>4.9924894209290978</c:v>
                </c:pt>
                <c:pt idx="57">
                  <c:v>4.9597494731027032</c:v>
                </c:pt>
                <c:pt idx="58">
                  <c:v>4.9276739544865951</c:v>
                </c:pt>
                <c:pt idx="59">
                  <c:v>4.8962719830693189</c:v>
                </c:pt>
                <c:pt idx="60">
                  <c:v>4.8655524897473121</c:v>
                </c:pt>
                <c:pt idx="61">
                  <c:v>4.8355242158441483</c:v>
                </c:pt>
                <c:pt idx="62">
                  <c:v>4.8061957106824522</c:v>
                </c:pt>
                <c:pt idx="63">
                  <c:v>4.7775753292091414</c:v>
                </c:pt>
                <c:pt idx="64">
                  <c:v>4.7496712296746653</c:v>
                </c:pt>
                <c:pt idx="65">
                  <c:v>4.7224913713668686</c:v>
                </c:pt>
                <c:pt idx="66">
                  <c:v>4.6960435124001396</c:v>
                </c:pt>
                <c:pt idx="67">
                  <c:v>4.6703352075604201</c:v>
                </c:pt>
                <c:pt idx="68">
                  <c:v>4.645373806206706</c:v>
                </c:pt>
                <c:pt idx="69">
                  <c:v>4.6211664502296035</c:v>
                </c:pt>
                <c:pt idx="70">
                  <c:v>4.5977200720675215</c:v>
                </c:pt>
                <c:pt idx="71">
                  <c:v>4.5750413927810332</c:v>
                </c:pt>
                <c:pt idx="72">
                  <c:v>4.5531369201859615</c:v>
                </c:pt>
                <c:pt idx="73">
                  <c:v>4.5320129470456925</c:v>
                </c:pt>
                <c:pt idx="74">
                  <c:v>4.5116755493232272</c:v>
                </c:pt>
                <c:pt idx="75">
                  <c:v>4.4921305844934514</c:v>
                </c:pt>
                <c:pt idx="76">
                  <c:v>4.4733836899160995</c:v>
                </c:pt>
                <c:pt idx="77">
                  <c:v>4.4554402812698584</c:v>
                </c:pt>
                <c:pt idx="78">
                  <c:v>4.4383055510480398</c:v>
                </c:pt>
                <c:pt idx="79">
                  <c:v>4.4219844671162631</c:v>
                </c:pt>
                <c:pt idx="80">
                  <c:v>4.4064817713325226</c:v>
                </c:pt>
                <c:pt idx="81">
                  <c:v>4.3918019782300286</c:v>
                </c:pt>
                <c:pt idx="82">
                  <c:v>4.3779493737632098</c:v>
                </c:pt>
                <c:pt idx="83">
                  <c:v>4.3649280141171891</c:v>
                </c:pt>
                <c:pt idx="84">
                  <c:v>4.3527417245810947</c:v>
                </c:pt>
                <c:pt idx="85">
                  <c:v>4.3413940984855088</c:v>
                </c:pt>
                <c:pt idx="86">
                  <c:v>4.330888496204337</c:v>
                </c:pt>
                <c:pt idx="87">
                  <c:v>4.3212280442213942</c:v>
                </c:pt>
                <c:pt idx="88">
                  <c:v>4.3124156342619591</c:v>
                </c:pt>
                <c:pt idx="89">
                  <c:v>4.3044539224895342</c:v>
                </c:pt>
                <c:pt idx="90">
                  <c:v>4.2973453287680412</c:v>
                </c:pt>
                <c:pt idx="91">
                  <c:v>4.2910920359896485</c:v>
                </c:pt>
                <c:pt idx="92">
                  <c:v>4.2856959894684312</c:v>
                </c:pt>
                <c:pt idx="93">
                  <c:v>4.281158896400016</c:v>
                </c:pt>
                <c:pt idx="94">
                  <c:v>4.2774822253873674</c:v>
                </c:pt>
                <c:pt idx="95">
                  <c:v>4.2746672060328619</c:v>
                </c:pt>
                <c:pt idx="96">
                  <c:v>4.2727148285967287</c:v>
                </c:pt>
                <c:pt idx="97">
                  <c:v>4.2716258437219903</c:v>
                </c:pt>
                <c:pt idx="98">
                  <c:v>4.2714007622259542</c:v>
                </c:pt>
                <c:pt idx="99">
                  <c:v>4.2720398549583241</c:v>
                </c:pt>
                <c:pt idx="100">
                  <c:v>4.2735431527259582</c:v>
                </c:pt>
                <c:pt idx="101">
                  <c:v>4.275910446284322</c:v>
                </c:pt>
                <c:pt idx="102">
                  <c:v>4.2791412863956024</c:v>
                </c:pt>
                <c:pt idx="103">
                  <c:v>4.2832349839535002</c:v>
                </c:pt>
                <c:pt idx="104">
                  <c:v>4.2881906101746363</c:v>
                </c:pt>
                <c:pt idx="105">
                  <c:v>4.294006996856548</c:v>
                </c:pt>
                <c:pt idx="106">
                  <c:v>4.3006827367021767</c:v>
                </c:pt>
                <c:pt idx="107">
                  <c:v>4.3082161837107815</c:v>
                </c:pt>
                <c:pt idx="108">
                  <c:v>4.316605453635141</c:v>
                </c:pt>
                <c:pt idx="109">
                  <c:v>4.3258484245049544</c:v>
                </c:pt>
                <c:pt idx="110">
                  <c:v>4.3359427372162553</c:v>
                </c:pt>
                <c:pt idx="111">
                  <c:v>4.3468857961867089</c:v>
                </c:pt>
                <c:pt idx="112">
                  <c:v>4.3586747700765844</c:v>
                </c:pt>
                <c:pt idx="113">
                  <c:v>4.3713065925752286</c:v>
                </c:pt>
                <c:pt idx="114">
                  <c:v>4.384777963252791</c:v>
                </c:pt>
                <c:pt idx="115">
                  <c:v>4.3990853484769925</c:v>
                </c:pt>
                <c:pt idx="116">
                  <c:v>4.414224982394666</c:v>
                </c:pt>
                <c:pt idx="117">
                  <c:v>4.430192867977806</c:v>
                </c:pt>
                <c:pt idx="118">
                  <c:v>4.446984778133821</c:v>
                </c:pt>
                <c:pt idx="119">
                  <c:v>4.4645962568797071</c:v>
                </c:pt>
                <c:pt idx="120">
                  <c:v>4.4830226205797867</c:v>
                </c:pt>
                <c:pt idx="121">
                  <c:v>4.5022589592466913</c:v>
                </c:pt>
                <c:pt idx="122">
                  <c:v>4.5223001379052139</c:v>
                </c:pt>
                <c:pt idx="123">
                  <c:v>4.5431407980186558</c:v>
                </c:pt>
                <c:pt idx="124">
                  <c:v>4.5647753589772826</c:v>
                </c:pt>
                <c:pt idx="125">
                  <c:v>4.5871980196484454</c:v>
                </c:pt>
                <c:pt idx="126">
                  <c:v>4.6104027599879807</c:v>
                </c:pt>
                <c:pt idx="127">
                  <c:v>4.6343833427124004</c:v>
                </c:pt>
                <c:pt idx="128">
                  <c:v>4.65913331503143</c:v>
                </c:pt>
                <c:pt idx="129">
                  <c:v>4.684646010440412</c:v>
                </c:pt>
                <c:pt idx="130">
                  <c:v>4.7109145505720678</c:v>
                </c:pt>
                <c:pt idx="131">
                  <c:v>4.7379318471071104</c:v>
                </c:pt>
                <c:pt idx="132">
                  <c:v>4.7656906037431792</c:v>
                </c:pt>
                <c:pt idx="133">
                  <c:v>4.794183318221541</c:v>
                </c:pt>
                <c:pt idx="134">
                  <c:v>4.8234022844110029</c:v>
                </c:pt>
                <c:pt idx="135">
                  <c:v>4.8533395944484568</c:v>
                </c:pt>
                <c:pt idx="136">
                  <c:v>4.8839871409354538</c:v>
                </c:pt>
                <c:pt idx="137">
                  <c:v>4.9153366191902128</c:v>
                </c:pt>
                <c:pt idx="138">
                  <c:v>4.9473795295544152</c:v>
                </c:pt>
                <c:pt idx="139">
                  <c:v>4.9801071797541736</c:v>
                </c:pt>
                <c:pt idx="140">
                  <c:v>5.0135106873144917</c:v>
                </c:pt>
                <c:pt idx="141">
                  <c:v>5.047580982026564</c:v>
                </c:pt>
                <c:pt idx="142">
                  <c:v>5.0823088084672206</c:v>
                </c:pt>
                <c:pt idx="143">
                  <c:v>5.1176847285698157</c:v>
                </c:pt>
                <c:pt idx="144">
                  <c:v>5.1536991242458532</c:v>
                </c:pt>
                <c:pt idx="145">
                  <c:v>5.1903422000566168</c:v>
                </c:pt>
                <c:pt idx="146">
                  <c:v>5.2276039859340635</c:v>
                </c:pt>
                <c:pt idx="147">
                  <c:v>5.2654743399502184</c:v>
                </c:pt>
                <c:pt idx="148">
                  <c:v>5.3039429511343155</c:v>
                </c:pt>
                <c:pt idx="149">
                  <c:v>5.3429993423368893</c:v>
                </c:pt>
                <c:pt idx="150">
                  <c:v>5.3826328731400261</c:v>
                </c:pt>
                <c:pt idx="151">
                  <c:v>5.422832742812969</c:v>
                </c:pt>
                <c:pt idx="152">
                  <c:v>5.463587993312248</c:v>
                </c:pt>
                <c:pt idx="153">
                  <c:v>5.5048875123255119</c:v>
                </c:pt>
                <c:pt idx="154">
                  <c:v>5.546720036358213</c:v>
                </c:pt>
                <c:pt idx="155">
                  <c:v>5.5890741538622795</c:v>
                </c:pt>
                <c:pt idx="156">
                  <c:v>5.6319383084059185</c:v>
                </c:pt>
                <c:pt idx="157">
                  <c:v>5.6753008018836599</c:v>
                </c:pt>
                <c:pt idx="158">
                  <c:v>5.7191497977657599</c:v>
                </c:pt>
                <c:pt idx="159">
                  <c:v>5.7634733243860419</c:v>
                </c:pt>
                <c:pt idx="160">
                  <c:v>5.8082592782672879</c:v>
                </c:pt>
                <c:pt idx="161">
                  <c:v>5.8534954274832387</c:v>
                </c:pt>
                <c:pt idx="162">
                  <c:v>5.8991694150562681</c:v>
                </c:pt>
                <c:pt idx="163">
                  <c:v>5.9452687623897988</c:v>
                </c:pt>
                <c:pt idx="164">
                  <c:v>5.9917808727344992</c:v>
                </c:pt>
                <c:pt idx="165">
                  <c:v>6.0386930346873022</c:v>
                </c:pt>
                <c:pt idx="166">
                  <c:v>6.0859924257222646</c:v>
                </c:pt>
                <c:pt idx="167">
                  <c:v>6.1336661157522991</c:v>
                </c:pt>
                <c:pt idx="168">
                  <c:v>6.1817010707207833</c:v>
                </c:pt>
                <c:pt idx="169">
                  <c:v>6.2300841562220475</c:v>
                </c:pt>
                <c:pt idx="170">
                  <c:v>6.2788021411497272</c:v>
                </c:pt>
                <c:pt idx="171">
                  <c:v>6.3278417013720007</c:v>
                </c:pt>
                <c:pt idx="172">
                  <c:v>6.3771894234326396</c:v>
                </c:pt>
                <c:pt idx="173">
                  <c:v>6.426831808276888</c:v>
                </c:pt>
                <c:pt idx="174">
                  <c:v>6.4767552750011115</c:v>
                </c:pt>
                <c:pt idx="175">
                  <c:v>6.5269461646251816</c:v>
                </c:pt>
                <c:pt idx="176">
                  <c:v>6.5773907438865526</c:v>
                </c:pt>
                <c:pt idx="177">
                  <c:v>6.6280752090549626</c:v>
                </c:pt>
                <c:pt idx="178">
                  <c:v>6.6789856897667201</c:v>
                </c:pt>
                <c:pt idx="179">
                  <c:v>6.7301082528774936</c:v>
                </c:pt>
                <c:pt idx="180">
                  <c:v>6.7814289063325353</c:v>
                </c:pt>
                <c:pt idx="181">
                  <c:v>6.8329336030532746</c:v>
                </c:pt>
                <c:pt idx="182">
                  <c:v>6.8846082448391988</c:v>
                </c:pt>
                <c:pt idx="183">
                  <c:v>6.9364386862839211</c:v>
                </c:pt>
                <c:pt idx="184">
                  <c:v>6.9884107387043768</c:v>
                </c:pt>
                <c:pt idx="185">
                  <c:v>7.0405101740820273</c:v>
                </c:pt>
                <c:pt idx="186">
                  <c:v>7.0927227290149988</c:v>
                </c:pt>
                <c:pt idx="187">
                  <c:v>7.1450341086800471</c:v>
                </c:pt>
                <c:pt idx="188">
                  <c:v>7.197429990803248</c:v>
                </c:pt>
                <c:pt idx="189">
                  <c:v>7.2498960296383164</c:v>
                </c:pt>
                <c:pt idx="190">
                  <c:v>7.3024178599514427</c:v>
                </c:pt>
                <c:pt idx="191">
                  <c:v>7.3549811010115436</c:v>
                </c:pt>
                <c:pt idx="192">
                  <c:v>7.4075713605848135</c:v>
                </c:pt>
                <c:pt idx="193">
                  <c:v>7.4601742389324839</c:v>
                </c:pt>
                <c:pt idx="194">
                  <c:v>7.512775332810647</c:v>
                </c:pt>
                <c:pt idx="195">
                  <c:v>7.5653602394710715</c:v>
                </c:pt>
                <c:pt idx="196">
                  <c:v>7.6179145606618714</c:v>
                </c:pt>
                <c:pt idx="197">
                  <c:v>7.6704239066269295</c:v>
                </c:pt>
                <c:pt idx="198">
                  <c:v>7.7228739001029538</c:v>
                </c:pt>
                <c:pt idx="199">
                  <c:v>7.7752501803130789</c:v>
                </c:pt>
                <c:pt idx="200">
                  <c:v>7.8275384069558651</c:v>
                </c:pt>
                <c:pt idx="201">
                  <c:v>7.8797242641886376</c:v>
                </c:pt>
                <c:pt idx="202">
                  <c:v>7.9317934646040049</c:v>
                </c:pt>
                <c:pt idx="203">
                  <c:v>7.9837317531985024</c:v>
                </c:pt>
                <c:pt idx="204">
                  <c:v>8.0355249113322138</c:v>
                </c:pt>
                <c:pt idx="205">
                  <c:v>8.087158760678312</c:v>
                </c:pt>
                <c:pt idx="206">
                  <c:v>8.1386191671613801</c:v>
                </c:pt>
                <c:pt idx="207">
                  <c:v>8.1898920448834645</c:v>
                </c:pt>
                <c:pt idx="208">
                  <c:v>8.2409633600367211</c:v>
                </c:pt>
                <c:pt idx="209">
                  <c:v>8.2918191348016208</c:v>
                </c:pt>
                <c:pt idx="210">
                  <c:v>8.3424454512295743</c:v>
                </c:pt>
                <c:pt idx="211">
                  <c:v>8.392828455108944</c:v>
                </c:pt>
                <c:pt idx="212">
                  <c:v>8.4429543598133456</c:v>
                </c:pt>
                <c:pt idx="213">
                  <c:v>8.4928094501311833</c:v>
                </c:pt>
                <c:pt idx="214">
                  <c:v>8.5423800860753349</c:v>
                </c:pt>
                <c:pt idx="215">
                  <c:v>8.5916527066719546</c:v>
                </c:pt>
                <c:pt idx="216">
                  <c:v>8.6406138337273166</c:v>
                </c:pt>
                <c:pt idx="217">
                  <c:v>8.6892500755716853</c:v>
                </c:pt>
                <c:pt idx="218">
                  <c:v>8.7375481307791194</c:v>
                </c:pt>
                <c:pt idx="219">
                  <c:v>8.7854947918622415</c:v>
                </c:pt>
                <c:pt idx="220">
                  <c:v>8.8330769489408887</c:v>
                </c:pt>
                <c:pt idx="221">
                  <c:v>8.8802815933836694</c:v>
                </c:pt>
                <c:pt idx="222">
                  <c:v>8.9270958214213874</c:v>
                </c:pt>
                <c:pt idx="223">
                  <c:v>8.9735068377313336</c:v>
                </c:pt>
                <c:pt idx="224">
                  <c:v>9.0195019589914658</c:v>
                </c:pt>
                <c:pt idx="225">
                  <c:v>9.0650686174034689</c:v>
                </c:pt>
                <c:pt idx="226">
                  <c:v>9.1101943641837355</c:v>
                </c:pt>
                <c:pt idx="227">
                  <c:v>9.1548668730212714</c:v>
                </c:pt>
                <c:pt idx="228">
                  <c:v>9.1990739435015989</c:v>
                </c:pt>
                <c:pt idx="229">
                  <c:v>9.2428035044956776</c:v>
                </c:pt>
                <c:pt idx="230">
                  <c:v>9.2860436175129237</c:v>
                </c:pt>
                <c:pt idx="231">
                  <c:v>9.3287824800173773</c:v>
                </c:pt>
                <c:pt idx="232">
                  <c:v>9.3710084287061051</c:v>
                </c:pt>
                <c:pt idx="233">
                  <c:v>9.4127099427489416</c:v>
                </c:pt>
                <c:pt idx="234">
                  <c:v>9.4538756469886351</c:v>
                </c:pt>
                <c:pt idx="235">
                  <c:v>9.4944943151005479</c:v>
                </c:pt>
                <c:pt idx="236">
                  <c:v>9.5345548727110057</c:v>
                </c:pt>
                <c:pt idx="237">
                  <c:v>9.5740464004734349</c:v>
                </c:pt>
                <c:pt idx="238">
                  <c:v>9.6129581371014527</c:v>
                </c:pt>
                <c:pt idx="239">
                  <c:v>9.6512794823580457</c:v>
                </c:pt>
                <c:pt idx="240">
                  <c:v>9.6890000000000001</c:v>
                </c:pt>
                <c:pt idx="241">
                  <c:v>9.7261094206768046</c:v>
                </c:pt>
                <c:pt idx="242">
                  <c:v>9.7625976447831686</c:v>
                </c:pt>
                <c:pt idx="243">
                  <c:v>9.7984547452644186</c:v>
                </c:pt>
                <c:pt idx="244">
                  <c:v>9.8336709703739338</c:v>
                </c:pt>
                <c:pt idx="245">
                  <c:v>9.8682367463819141</c:v>
                </c:pt>
                <c:pt idx="246">
                  <c:v>9.9021426802346788</c:v>
                </c:pt>
                <c:pt idx="247">
                  <c:v>9.9353795621637957</c:v>
                </c:pt>
                <c:pt idx="248">
                  <c:v>9.9679383682442868</c:v>
                </c:pt>
                <c:pt idx="249">
                  <c:v>9.9998102629012138</c:v>
                </c:pt>
                <c:pt idx="250">
                  <c:v>10.030986601363949</c:v>
                </c:pt>
                <c:pt idx="251">
                  <c:v>10.061458932067454</c:v>
                </c:pt>
                <c:pt idx="252">
                  <c:v>10.091218998999867</c:v>
                </c:pt>
                <c:pt idx="253">
                  <c:v>10.120258743995798</c:v>
                </c:pt>
                <c:pt idx="254">
                  <c:v>10.14857030897465</c:v>
                </c:pt>
                <c:pt idx="255">
                  <c:v>10.17614603812337</c:v>
                </c:pt>
                <c:pt idx="256">
                  <c:v>10.202978480023019</c:v>
                </c:pt>
                <c:pt idx="257">
                  <c:v>10.229060389718555</c:v>
                </c:pt>
                <c:pt idx="258">
                  <c:v>10.254384730731282</c:v>
                </c:pt>
                <c:pt idx="259">
                  <c:v>10.278944677013373</c:v>
                </c:pt>
                <c:pt idx="260">
                  <c:v>10.302733614843959</c:v>
                </c:pt>
                <c:pt idx="261">
                  <c:v>10.325745144666227</c:v>
                </c:pt>
                <c:pt idx="262">
                  <c:v>10.347973082865037</c:v>
                </c:pt>
                <c:pt idx="263">
                  <c:v>10.369411463484544</c:v>
                </c:pt>
                <c:pt idx="264">
                  <c:v>10.39005453988538</c:v>
                </c:pt>
                <c:pt idx="265">
                  <c:v>10.409896786340903</c:v>
                </c:pt>
                <c:pt idx="266">
                  <c:v>10.428932899572082</c:v>
                </c:pt>
                <c:pt idx="267">
                  <c:v>10.447157800220596</c:v>
                </c:pt>
                <c:pt idx="268">
                  <c:v>10.464566634259745</c:v>
                </c:pt>
                <c:pt idx="269">
                  <c:v>10.481154774342741</c:v>
                </c:pt>
                <c:pt idx="270">
                  <c:v>10.496917821088067</c:v>
                </c:pt>
                <c:pt idx="271">
                  <c:v>10.511851604301496</c:v>
                </c:pt>
                <c:pt idx="272">
                  <c:v>10.525952184134447</c:v>
                </c:pt>
                <c:pt idx="273">
                  <c:v>10.539215852178364</c:v>
                </c:pt>
                <c:pt idx="274">
                  <c:v>10.551639132494811</c:v>
                </c:pt>
                <c:pt idx="275">
                  <c:v>10.56321878258098</c:v>
                </c:pt>
                <c:pt idx="276">
                  <c:v>10.573951794270371</c:v>
                </c:pt>
                <c:pt idx="277">
                  <c:v>10.583835394568371</c:v>
                </c:pt>
                <c:pt idx="278">
                  <c:v>10.592867046422519</c:v>
                </c:pt>
                <c:pt idx="279">
                  <c:v>10.60104444942721</c:v>
                </c:pt>
                <c:pt idx="280">
                  <c:v>10.608365540462708</c:v>
                </c:pt>
                <c:pt idx="281">
                  <c:v>10.614828494268197</c:v>
                </c:pt>
                <c:pt idx="282">
                  <c:v>10.620431723948796</c:v>
                </c:pt>
                <c:pt idx="283">
                  <c:v>10.625173881416359</c:v>
                </c:pt>
                <c:pt idx="284">
                  <c:v>10.629053857763923</c:v>
                </c:pt>
                <c:pt idx="285">
                  <c:v>10.632070783573742</c:v>
                </c:pt>
                <c:pt idx="286">
                  <c:v>10.634224029158776</c:v>
                </c:pt>
                <c:pt idx="287">
                  <c:v>10.635513204737611</c:v>
                </c:pt>
                <c:pt idx="288">
                  <c:v>10.635938160542715</c:v>
                </c:pt>
                <c:pt idx="289">
                  <c:v>10.635498986862055</c:v>
                </c:pt>
                <c:pt idx="290">
                  <c:v>10.634196014014007</c:v>
                </c:pt>
                <c:pt idx="291">
                  <c:v>10.632029812255606</c:v>
                </c:pt>
                <c:pt idx="292">
                  <c:v>10.629001191624145</c:v>
                </c:pt>
                <c:pt idx="293">
                  <c:v>10.625111201712167</c:v>
                </c:pt>
                <c:pt idx="294">
                  <c:v>10.620361131375926</c:v>
                </c:pt>
                <c:pt idx="295">
                  <c:v>10.614752508377373</c:v>
                </c:pt>
                <c:pt idx="296">
                  <c:v>10.608287098959787</c:v>
                </c:pt>
                <c:pt idx="297">
                  <c:v>10.600966907357167</c:v>
                </c:pt>
                <c:pt idx="298">
                  <c:v>10.592794175237511</c:v>
                </c:pt>
                <c:pt idx="299">
                  <c:v>10.583771381080147</c:v>
                </c:pt>
                <c:pt idx="300">
                  <c:v>10.573901239487281</c:v>
                </c:pt>
                <c:pt idx="301">
                  <c:v>10.563186700429954</c:v>
                </c:pt>
                <c:pt idx="302">
                  <c:v>10.551630948428633</c:v>
                </c:pt>
                <c:pt idx="303">
                  <c:v>10.539237401668638</c:v>
                </c:pt>
                <c:pt idx="304">
                  <c:v>10.526009711050666</c:v>
                </c:pt>
                <c:pt idx="305">
                  <c:v>10.51195175917668</c:v>
                </c:pt>
                <c:pt idx="306">
                  <c:v>10.49706765927143</c:v>
                </c:pt>
                <c:pt idx="307">
                  <c:v>10.481361754039916</c:v>
                </c:pt>
                <c:pt idx="308">
                  <c:v>10.464838614461117</c:v>
                </c:pt>
                <c:pt idx="309">
                  <c:v>10.447503038518294</c:v>
                </c:pt>
                <c:pt idx="310">
                  <c:v>10.429360049866249</c:v>
                </c:pt>
                <c:pt idx="311">
                  <c:v>10.410414896435908</c:v>
                </c:pt>
                <c:pt idx="312">
                  <c:v>10.390673048976581</c:v>
                </c:pt>
                <c:pt idx="313">
                  <c:v>10.370140199536358</c:v>
                </c:pt>
                <c:pt idx="314">
                  <c:v>10.348822259881011</c:v>
                </c:pt>
                <c:pt idx="315">
                  <c:v>10.326725359851881</c:v>
                </c:pt>
                <c:pt idx="316">
                  <c:v>10.303855845663186</c:v>
                </c:pt>
                <c:pt idx="317">
                  <c:v>10.280220278139211</c:v>
                </c:pt>
                <c:pt idx="318">
                  <c:v>10.255825430891919</c:v>
                </c:pt>
                <c:pt idx="319">
                  <c:v>10.230678288439416</c:v>
                </c:pt>
                <c:pt idx="320">
                  <c:v>10.204786044265866</c:v>
                </c:pt>
                <c:pt idx="321">
                  <c:v>10.178156098823344</c:v>
                </c:pt>
                <c:pt idx="322">
                  <c:v>10.150796057476194</c:v>
                </c:pt>
                <c:pt idx="323">
                  <c:v>10.12271372838849</c:v>
                </c:pt>
                <c:pt idx="324">
                  <c:v>10.093917120355144</c:v>
                </c:pt>
                <c:pt idx="325">
                  <c:v>10.06441444057729</c:v>
                </c:pt>
                <c:pt idx="326">
                  <c:v>10.034214092382564</c:v>
                </c:pt>
                <c:pt idx="327">
                  <c:v>10.003324672890903</c:v>
                </c:pt>
                <c:pt idx="328">
                  <c:v>9.9717549706264972</c:v>
                </c:pt>
                <c:pt idx="329">
                  <c:v>9.9395139630766085</c:v>
                </c:pt>
                <c:pt idx="330">
                  <c:v>9.906610814197867</c:v>
                </c:pt>
                <c:pt idx="331">
                  <c:v>9.8730548718707976</c:v>
                </c:pt>
                <c:pt idx="332">
                  <c:v>9.8388556653032335</c:v>
                </c:pt>
                <c:pt idx="333">
                  <c:v>9.8040229023833891</c:v>
                </c:pt>
                <c:pt idx="334">
                  <c:v>9.7685664669832821</c:v>
                </c:pt>
                <c:pt idx="335">
                  <c:v>9.7324964162132677</c:v>
                </c:pt>
                <c:pt idx="336">
                  <c:v>9.6958229776284774</c:v>
                </c:pt>
                <c:pt idx="337">
                  <c:v>9.6585565463878851</c:v>
                </c:pt>
                <c:pt idx="338">
                  <c:v>9.6207076823668327</c:v>
                </c:pt>
                <c:pt idx="339">
                  <c:v>9.5822871072238058</c:v>
                </c:pt>
                <c:pt idx="340">
                  <c:v>9.5433057014222555</c:v>
                </c:pt>
                <c:pt idx="341">
                  <c:v>9.5037745012083228</c:v>
                </c:pt>
                <c:pt idx="342">
                  <c:v>9.4637046955452764</c:v>
                </c:pt>
                <c:pt idx="343">
                  <c:v>9.4231076230055582</c:v>
                </c:pt>
                <c:pt idx="344">
                  <c:v>9.3819947686212295</c:v>
                </c:pt>
                <c:pt idx="345">
                  <c:v>9.3403777606937801</c:v>
                </c:pt>
                <c:pt idx="346">
                  <c:v>9.2982683675641002</c:v>
                </c:pt>
                <c:pt idx="347">
                  <c:v>9.2556784943435879</c:v>
                </c:pt>
                <c:pt idx="348">
                  <c:v>9.2126201796072404</c:v>
                </c:pt>
                <c:pt idx="349">
                  <c:v>9.169105592049684</c:v>
                </c:pt>
                <c:pt idx="350">
                  <c:v>9.1251470271050685</c:v>
                </c:pt>
                <c:pt idx="351">
                  <c:v>9.0807569035317339</c:v>
                </c:pt>
                <c:pt idx="352">
                  <c:v>9.0359477599626459</c:v>
                </c:pt>
                <c:pt idx="353">
                  <c:v>8.9907322514225125</c:v>
                </c:pt>
                <c:pt idx="354">
                  <c:v>8.9451231458126053</c:v>
                </c:pt>
                <c:pt idx="355">
                  <c:v>8.8991333203641609</c:v>
                </c:pt>
                <c:pt idx="356">
                  <c:v>8.8527757580614974</c:v>
                </c:pt>
                <c:pt idx="357">
                  <c:v>8.8060635440356823</c:v>
                </c:pt>
                <c:pt idx="358">
                  <c:v>8.7590098619298757</c:v>
                </c:pt>
                <c:pt idx="359">
                  <c:v>8.711627990237286</c:v>
                </c:pt>
                <c:pt idx="360">
                  <c:v>8.6639312986127859</c:v>
                </c:pt>
                <c:pt idx="361">
                  <c:v>8.6159332441592049</c:v>
                </c:pt>
                <c:pt idx="362">
                  <c:v>8.5676473676893306</c:v>
                </c:pt>
                <c:pt idx="363">
                  <c:v>8.5190872899646592</c:v>
                </c:pt>
                <c:pt idx="364">
                  <c:v>8.4702667079119394</c:v>
                </c:pt>
                <c:pt idx="365">
                  <c:v>8.4211993908185612</c:v>
                </c:pt>
                <c:pt idx="366">
                  <c:v>8.3718991765078368</c:v>
                </c:pt>
                <c:pt idx="367">
                  <c:v>8.3223799674952534</c:v>
                </c:pt>
                <c:pt idx="368">
                  <c:v>8.2726557271267449</c:v>
                </c:pt>
                <c:pt idx="369">
                  <c:v>8.2227404757000979</c:v>
                </c:pt>
                <c:pt idx="370">
                  <c:v>8.1726482865704817</c:v>
                </c:pt>
                <c:pt idx="371">
                  <c:v>8.1223932822412959</c:v>
                </c:pt>
                <c:pt idx="372">
                  <c:v>8.0719896304413385</c:v>
                </c:pt>
                <c:pt idx="373">
                  <c:v>8.021451540189414</c:v>
                </c:pt>
                <c:pt idx="374">
                  <c:v>7.9707932578474763</c:v>
                </c:pt>
                <c:pt idx="375">
                  <c:v>7.9200290631634003</c:v>
                </c:pt>
                <c:pt idx="376">
                  <c:v>7.8691732653044761</c:v>
                </c:pt>
                <c:pt idx="377">
                  <c:v>7.8182401988827275</c:v>
                </c:pt>
                <c:pt idx="378">
                  <c:v>7.7672442199731719</c:v>
                </c:pt>
                <c:pt idx="379">
                  <c:v>7.7161997021261151</c:v>
                </c:pt>
                <c:pt idx="380">
                  <c:v>7.6651210323745866</c:v>
                </c:pt>
                <c:pt idx="381">
                  <c:v>7.6140226072380406</c:v>
                </c:pt>
                <c:pt idx="382">
                  <c:v>7.5629188287234062</c:v>
                </c:pt>
                <c:pt idx="383">
                  <c:v>7.5118241003246267</c:v>
                </c:pt>
                <c:pt idx="384">
                  <c:v>7.4607528230217914</c:v>
                </c:pt>
                <c:pt idx="385">
                  <c:v>7.4097193912809383</c:v>
                </c:pt>
                <c:pt idx="386">
                  <c:v>7.358738189055698</c:v>
                </c:pt>
                <c:pt idx="387">
                  <c:v>7.3078235857918328</c:v>
                </c:pt>
                <c:pt idx="388">
                  <c:v>7.2569899324358236</c:v>
                </c:pt>
                <c:pt idx="389">
                  <c:v>7.2062515574485921</c:v>
                </c:pt>
                <c:pt idx="390">
                  <c:v>7.155622762825451</c:v>
                </c:pt>
                <c:pt idx="391">
                  <c:v>7.1051178201234304</c:v>
                </c:pt>
                <c:pt idx="392">
                  <c:v>7.0547509664970471</c:v>
                </c:pt>
                <c:pt idx="393">
                  <c:v>7.0045364007436284</c:v>
                </c:pt>
                <c:pt idx="394">
                  <c:v>6.9544882793592935</c:v>
                </c:pt>
                <c:pt idx="395">
                  <c:v>6.9046207126066825</c:v>
                </c:pt>
                <c:pt idx="396">
                  <c:v>6.8549477605955387</c:v>
                </c:pt>
                <c:pt idx="397">
                  <c:v>6.8054834293771984</c:v>
                </c:pt>
                <c:pt idx="398">
                  <c:v>6.7562416670541205</c:v>
                </c:pt>
                <c:pt idx="399">
                  <c:v>6.7072363599055116</c:v>
                </c:pt>
                <c:pt idx="400">
                  <c:v>6.6584813285300939</c:v>
                </c:pt>
                <c:pt idx="401">
                  <c:v>6.609990324007156</c:v>
                </c:pt>
                <c:pt idx="402">
                  <c:v>6.5617770240768909</c:v>
                </c:pt>
                <c:pt idx="403">
                  <c:v>6.513855029341113</c:v>
                </c:pt>
                <c:pt idx="404">
                  <c:v>6.4662378594853989</c:v>
                </c:pt>
                <c:pt idx="405">
                  <c:v>6.4189389495237092</c:v>
                </c:pt>
                <c:pt idx="406">
                  <c:v>6.3719716460665259</c:v>
                </c:pt>
                <c:pt idx="407">
                  <c:v>6.3253492036135404</c:v>
                </c:pt>
                <c:pt idx="408">
                  <c:v>6.2790847808719432</c:v>
                </c:pt>
                <c:pt idx="409">
                  <c:v>6.2331914371013051</c:v>
                </c:pt>
                <c:pt idx="410">
                  <c:v>6.1876821284860899</c:v>
                </c:pt>
                <c:pt idx="411">
                  <c:v>6.1425697045368004</c:v>
                </c:pt>
                <c:pt idx="412">
                  <c:v>6.0978669045207505</c:v>
                </c:pt>
                <c:pt idx="413">
                  <c:v>6.0535863539234578</c:v>
                </c:pt>
                <c:pt idx="414">
                  <c:v>6.009740560941661</c:v>
                </c:pt>
                <c:pt idx="415">
                  <c:v>5.9663419130088791</c:v>
                </c:pt>
                <c:pt idx="416">
                  <c:v>5.9234026733545511</c:v>
                </c:pt>
                <c:pt idx="417">
                  <c:v>5.8809349775976605</c:v>
                </c:pt>
                <c:pt idx="418">
                  <c:v>5.8389508303758069</c:v>
                </c:pt>
                <c:pt idx="419">
                  <c:v>5.7974621020106607</c:v>
                </c:pt>
                <c:pt idx="420">
                  <c:v>5.7564805252107289</c:v>
                </c:pt>
                <c:pt idx="421">
                  <c:v>5.7160176918123442</c:v>
                </c:pt>
                <c:pt idx="422">
                  <c:v>5.6760850495597861</c:v>
                </c:pt>
                <c:pt idx="423">
                  <c:v>5.6366938989254267</c:v>
                </c:pt>
                <c:pt idx="424">
                  <c:v>5.5978553899707792</c:v>
                </c:pt>
                <c:pt idx="425">
                  <c:v>5.5595805192493328</c:v>
                </c:pt>
                <c:pt idx="426">
                  <c:v>5.5218801267520252</c:v>
                </c:pt>
                <c:pt idx="427">
                  <c:v>5.4847648928962034</c:v>
                </c:pt>
                <c:pt idx="428">
                  <c:v>5.4482453355589096</c:v>
                </c:pt>
                <c:pt idx="429">
                  <c:v>5.4123318071553195</c:v>
                </c:pt>
                <c:pt idx="430">
                  <c:v>5.3770344917631316</c:v>
                </c:pt>
                <c:pt idx="431">
                  <c:v>5.342363402293727</c:v>
                </c:pt>
                <c:pt idx="432">
                  <c:v>5.3083283777108665</c:v>
                </c:pt>
                <c:pt idx="433">
                  <c:v>5.2749390802977141</c:v>
                </c:pt>
                <c:pt idx="434">
                  <c:v>5.2422049929729235</c:v>
                </c:pt>
                <c:pt idx="435">
                  <c:v>5.2101354166565601</c:v>
                </c:pt>
                <c:pt idx="436">
                  <c:v>5.1787394676865723</c:v>
                </c:pt>
                <c:pt idx="437">
                  <c:v>5.1480260752865314</c:v>
                </c:pt>
                <c:pt idx="438">
                  <c:v>5.1180039790853513</c:v>
                </c:pt>
                <c:pt idx="439">
                  <c:v>5.0886817266896678</c:v>
                </c:pt>
                <c:pt idx="440">
                  <c:v>5.0600676713095591</c:v>
                </c:pt>
                <c:pt idx="441">
                  <c:v>5.0321699694382671</c:v>
                </c:pt>
                <c:pt idx="442">
                  <c:v>5.0049965785865487</c:v>
                </c:pt>
                <c:pt idx="443">
                  <c:v>4.978555255072318</c:v>
                </c:pt>
                <c:pt idx="444">
                  <c:v>4.9528535518661565</c:v>
                </c:pt>
                <c:pt idx="445">
                  <c:v>4.9278988164933146</c:v>
                </c:pt>
                <c:pt idx="446">
                  <c:v>4.9036981889927818</c:v>
                </c:pt>
                <c:pt idx="447">
                  <c:v>4.8802585999339847</c:v>
                </c:pt>
                <c:pt idx="448">
                  <c:v>4.8575867684916831</c:v>
                </c:pt>
                <c:pt idx="449">
                  <c:v>4.8356892005795622</c:v>
                </c:pt>
                <c:pt idx="450">
                  <c:v>4.8145721870430842</c:v>
                </c:pt>
                <c:pt idx="451">
                  <c:v>4.7942418019120741</c:v>
                </c:pt>
                <c:pt idx="452">
                  <c:v>4.7747039007135195</c:v>
                </c:pt>
                <c:pt idx="453">
                  <c:v>4.7559641188450819</c:v>
                </c:pt>
                <c:pt idx="454">
                  <c:v>4.7380278700097378</c:v>
                </c:pt>
                <c:pt idx="455">
                  <c:v>4.7209003447120113</c:v>
                </c:pt>
                <c:pt idx="456">
                  <c:v>4.7045865088162016</c:v>
                </c:pt>
                <c:pt idx="457">
                  <c:v>4.6890911021670023</c:v>
                </c:pt>
                <c:pt idx="458">
                  <c:v>4.6744186372729137</c:v>
                </c:pt>
                <c:pt idx="459">
                  <c:v>4.6605733980527972</c:v>
                </c:pt>
                <c:pt idx="460">
                  <c:v>4.6475594386459225</c:v>
                </c:pt>
                <c:pt idx="461">
                  <c:v>4.6353805822858432</c:v>
                </c:pt>
                <c:pt idx="462">
                  <c:v>4.6240404202384164</c:v>
                </c:pt>
                <c:pt idx="463">
                  <c:v>4.6135423108042506</c:v>
                </c:pt>
                <c:pt idx="464">
                  <c:v>4.6038893783858628</c:v>
                </c:pt>
                <c:pt idx="465">
                  <c:v>4.5950845126198097</c:v>
                </c:pt>
                <c:pt idx="466">
                  <c:v>4.5871303675740362</c:v>
                </c:pt>
                <c:pt idx="467">
                  <c:v>4.5800293610106415</c:v>
                </c:pt>
                <c:pt idx="468">
                  <c:v>4.5737836737143009</c:v>
                </c:pt>
                <c:pt idx="469">
                  <c:v>4.5683952488865041</c:v>
                </c:pt>
                <c:pt idx="470">
                  <c:v>4.563865791605787</c:v>
                </c:pt>
                <c:pt idx="471">
                  <c:v>4.5601967683541149</c:v>
                </c:pt>
                <c:pt idx="472">
                  <c:v>4.5573894066095324</c:v>
                </c:pt>
                <c:pt idx="473">
                  <c:v>4.5554446945052067</c:v>
                </c:pt>
                <c:pt idx="474">
                  <c:v>4.5543633805549488</c:v>
                </c:pt>
                <c:pt idx="475">
                  <c:v>4.5541459734453067</c:v>
                </c:pt>
                <c:pt idx="476">
                  <c:v>4.5547927418942527</c:v>
                </c:pt>
                <c:pt idx="477">
                  <c:v>4.5563037145765568</c:v>
                </c:pt>
                <c:pt idx="478">
                  <c:v>4.5586786801158103</c:v>
                </c:pt>
                <c:pt idx="479">
                  <c:v>4.5619171871431465</c:v>
                </c:pt>
                <c:pt idx="480">
                  <c:v>4.5660185444226125</c:v>
                </c:pt>
                <c:pt idx="481">
                  <c:v>4.5709818210431807</c:v>
                </c:pt>
                <c:pt idx="482">
                  <c:v>4.5768058466773258</c:v>
                </c:pt>
                <c:pt idx="483">
                  <c:v>4.5834892119061079</c:v>
                </c:pt>
                <c:pt idx="484">
                  <c:v>4.5910302686106697</c:v>
                </c:pt>
                <c:pt idx="485">
                  <c:v>4.5994271304300414</c:v>
                </c:pt>
                <c:pt idx="486">
                  <c:v>4.6086776732851051</c:v>
                </c:pt>
                <c:pt idx="487">
                  <c:v>4.6187795359686161</c:v>
                </c:pt>
                <c:pt idx="488">
                  <c:v>4.6297301208010726</c:v>
                </c:pt>
                <c:pt idx="489">
                  <c:v>4.6415265943522774</c:v>
                </c:pt>
                <c:pt idx="490">
                  <c:v>4.6541658882283832</c:v>
                </c:pt>
                <c:pt idx="491">
                  <c:v>4.6676446999242076</c:v>
                </c:pt>
                <c:pt idx="492">
                  <c:v>4.6819594937405666</c:v>
                </c:pt>
                <c:pt idx="493">
                  <c:v>4.6971065017664024</c:v>
                </c:pt>
                <c:pt idx="494">
                  <c:v>4.7130817249253889</c:v>
                </c:pt>
                <c:pt idx="495">
                  <c:v>4.729880934086772</c:v>
                </c:pt>
                <c:pt idx="496">
                  <c:v>4.7474996712400896</c:v>
                </c:pt>
                <c:pt idx="497">
                  <c:v>4.7659332507334859</c:v>
                </c:pt>
                <c:pt idx="498">
                  <c:v>4.7851767605752542</c:v>
                </c:pt>
                <c:pt idx="499">
                  <c:v>4.805225063798237</c:v>
                </c:pt>
                <c:pt idx="500">
                  <c:v>4.8260727998867408</c:v>
                </c:pt>
                <c:pt idx="501">
                  <c:v>4.8477143862655216</c:v>
                </c:pt>
                <c:pt idx="502">
                  <c:v>4.8701440198504775</c:v>
                </c:pt>
                <c:pt idx="503">
                  <c:v>4.8933556786605639</c:v>
                </c:pt>
                <c:pt idx="504">
                  <c:v>4.9173431234905429</c:v>
                </c:pt>
                <c:pt idx="505">
                  <c:v>4.9420998996440391</c:v>
                </c:pt>
                <c:pt idx="506">
                  <c:v>4.9676193387264922</c:v>
                </c:pt>
                <c:pt idx="507">
                  <c:v>4.9938945604974156</c:v>
                </c:pt>
                <c:pt idx="508">
                  <c:v>5.0209184747815634</c:v>
                </c:pt>
                <c:pt idx="509">
                  <c:v>5.0486837834383458</c:v>
                </c:pt>
                <c:pt idx="510">
                  <c:v>5.077182982389072</c:v>
                </c:pt>
                <c:pt idx="511">
                  <c:v>5.1064083637013464</c:v>
                </c:pt>
                <c:pt idx="512">
                  <c:v>5.1363520177301201</c:v>
                </c:pt>
                <c:pt idx="513">
                  <c:v>5.1670058353147716</c:v>
                </c:pt>
                <c:pt idx="514">
                  <c:v>5.1983615100315808</c:v>
                </c:pt>
                <c:pt idx="515">
                  <c:v>5.2304105405010377</c:v>
                </c:pt>
                <c:pt idx="516">
                  <c:v>5.2631442327492586</c:v>
                </c:pt>
                <c:pt idx="517">
                  <c:v>5.2965537026229441</c:v>
                </c:pt>
                <c:pt idx="518">
                  <c:v>5.330629878257124</c:v>
                </c:pt>
                <c:pt idx="519">
                  <c:v>5.3653635025950832</c:v>
                </c:pt>
                <c:pt idx="520">
                  <c:v>5.4007451359596788</c:v>
                </c:pt>
                <c:pt idx="521">
                  <c:v>5.4367651586754411</c:v>
                </c:pt>
                <c:pt idx="522">
                  <c:v>5.4734137737406172</c:v>
                </c:pt>
                <c:pt idx="523">
                  <c:v>5.5106810095485228</c:v>
                </c:pt>
                <c:pt idx="524">
                  <c:v>5.5485567226573433</c:v>
                </c:pt>
                <c:pt idx="525">
                  <c:v>5.5870306006077168</c:v>
                </c:pt>
                <c:pt idx="526">
                  <c:v>5.6260921647872193</c:v>
                </c:pt>
                <c:pt idx="527">
                  <c:v>5.6657307733410258</c:v>
                </c:pt>
                <c:pt idx="528">
                  <c:v>5.7059356241279344</c:v>
                </c:pt>
                <c:pt idx="529">
                  <c:v>5.7466957577208566</c:v>
                </c:pt>
                <c:pt idx="530">
                  <c:v>5.7880000604510666</c:v>
                </c:pt>
                <c:pt idx="531">
                  <c:v>5.8298372674952272</c:v>
                </c:pt>
                <c:pt idx="532">
                  <c:v>5.8721959660044698</c:v>
                </c:pt>
                <c:pt idx="533">
                  <c:v>5.9150645982745198</c:v>
                </c:pt>
                <c:pt idx="534">
                  <c:v>5.958431464956135</c:v>
                </c:pt>
                <c:pt idx="535">
                  <c:v>6.002284728304808</c:v>
                </c:pt>
                <c:pt idx="536">
                  <c:v>6.046612415468994</c:v>
                </c:pt>
                <c:pt idx="537">
                  <c:v>6.0914024218157845</c:v>
                </c:pt>
                <c:pt idx="538">
                  <c:v>6.1366425142932712</c:v>
                </c:pt>
                <c:pt idx="539">
                  <c:v>6.1823203348284919</c:v>
                </c:pt>
                <c:pt idx="540">
                  <c:v>6.2284234037601935</c:v>
                </c:pt>
                <c:pt idx="541">
                  <c:v>6.2749391233052867</c:v>
                </c:pt>
                <c:pt idx="542">
                  <c:v>6.3218547810581667</c:v>
                </c:pt>
                <c:pt idx="543">
                  <c:v>6.369157553521867</c:v>
                </c:pt>
                <c:pt idx="544">
                  <c:v>6.4168345096700259</c:v>
                </c:pt>
                <c:pt idx="545">
                  <c:v>6.4648726145387965</c:v>
                </c:pt>
                <c:pt idx="546">
                  <c:v>6.5132587328475458</c:v>
                </c:pt>
                <c:pt idx="547">
                  <c:v>6.5619796326474953</c:v>
                </c:pt>
                <c:pt idx="548">
                  <c:v>6.6110219889971447</c:v>
                </c:pt>
                <c:pt idx="549">
                  <c:v>6.6603723876635916</c:v>
                </c:pt>
                <c:pt idx="550">
                  <c:v>6.7100173288485854</c:v>
                </c:pt>
                <c:pt idx="551">
                  <c:v>6.7599432309384229</c:v>
                </c:pt>
                <c:pt idx="552">
                  <c:v>6.8101364342764894</c:v>
                </c:pt>
                <c:pt idx="553">
                  <c:v>6.8605832049575675</c:v>
                </c:pt>
                <c:pt idx="554">
                  <c:v>6.9112697386426714</c:v>
                </c:pt>
                <c:pt idx="555">
                  <c:v>6.9621821643935471</c:v>
                </c:pt>
                <c:pt idx="556">
                  <c:v>7.0133065485255788</c:v>
                </c:pt>
                <c:pt idx="557">
                  <c:v>7.064628898478186</c:v>
                </c:pt>
                <c:pt idx="558">
                  <c:v>7.1161351667015733</c:v>
                </c:pt>
                <c:pt idx="559">
                  <c:v>7.1678112545586963</c:v>
                </c:pt>
                <c:pt idx="560">
                  <c:v>7.219643016241502</c:v>
                </c:pt>
                <c:pt idx="561">
                  <c:v>7.2716162627001903</c:v>
                </c:pt>
                <c:pt idx="562">
                  <c:v>7.3237167655845656</c:v>
                </c:pt>
                <c:pt idx="563">
                  <c:v>7.3759302611962188</c:v>
                </c:pt>
                <c:pt idx="564">
                  <c:v>7.4282424544506247</c:v>
                </c:pt>
                <c:pt idx="565">
                  <c:v>7.4806390228478552</c:v>
                </c:pt>
                <c:pt idx="566">
                  <c:v>7.5331056204510087</c:v>
                </c:pt>
                <c:pt idx="567">
                  <c:v>7.5856278818710559</c:v>
                </c:pt>
                <c:pt idx="568">
                  <c:v>7.6381914262571717</c:v>
                </c:pt>
                <c:pt idx="569">
                  <c:v>7.6907818612912902</c:v>
                </c:pt>
                <c:pt idx="570">
                  <c:v>7.7433847871859101</c:v>
                </c:pt>
                <c:pt idx="571">
                  <c:v>7.7959858006839147</c:v>
                </c:pt>
                <c:pt idx="572">
                  <c:v>7.8485704990593943</c:v>
                </c:pt>
                <c:pt idx="573">
                  <c:v>7.9011244841183288</c:v>
                </c:pt>
                <c:pt idx="574">
                  <c:v>7.9536333661979564</c:v>
                </c:pt>
                <c:pt idx="575">
                  <c:v>8.0060827681638536</c:v>
                </c:pt>
                <c:pt idx="576">
                  <c:v>8.0584583294034431</c:v>
                </c:pt>
                <c:pt idx="577">
                  <c:v>8.11074570981501</c:v>
                </c:pt>
                <c:pt idx="578">
                  <c:v>8.1629305937909251</c:v>
                </c:pt>
                <c:pt idx="579">
                  <c:v>8.214998694194156</c:v>
                </c:pt>
                <c:pt idx="580">
                  <c:v>8.2669357563267702</c:v>
                </c:pt>
                <c:pt idx="581">
                  <c:v>8.3187275618895455</c:v>
                </c:pt>
                <c:pt idx="582">
                  <c:v>8.3703599329313469</c:v>
                </c:pt>
                <c:pt idx="583">
                  <c:v>8.4218187357873973</c:v>
                </c:pt>
                <c:pt idx="584">
                  <c:v>8.4730898850051748</c:v>
                </c:pt>
                <c:pt idx="585">
                  <c:v>8.5241593472569779</c:v>
                </c:pt>
                <c:pt idx="586">
                  <c:v>8.5750131452379517</c:v>
                </c:pt>
                <c:pt idx="587">
                  <c:v>8.6256373615485984</c:v>
                </c:pt>
                <c:pt idx="588">
                  <c:v>8.676018142560638</c:v>
                </c:pt>
                <c:pt idx="589">
                  <c:v>8.7261417022651315</c:v>
                </c:pt>
                <c:pt idx="590">
                  <c:v>8.7759943261018627</c:v>
                </c:pt>
                <c:pt idx="591">
                  <c:v>8.8255623747688183</c:v>
                </c:pt>
                <c:pt idx="592">
                  <c:v>8.8748322880108343</c:v>
                </c:pt>
                <c:pt idx="593">
                  <c:v>8.9237905883862005</c:v>
                </c:pt>
                <c:pt idx="594">
                  <c:v>8.972423885010361</c:v>
                </c:pt>
                <c:pt idx="595">
                  <c:v>9.0207188772754634</c:v>
                </c:pt>
                <c:pt idx="596">
                  <c:v>9.0686623585449357</c:v>
                </c:pt>
                <c:pt idx="597">
                  <c:v>9.1162412198218696</c:v>
                </c:pt>
                <c:pt idx="598">
                  <c:v>9.1634424533903616</c:v>
                </c:pt>
                <c:pt idx="599">
                  <c:v>9.2102531564286458</c:v>
                </c:pt>
                <c:pt idx="600">
                  <c:v>9.2566605345931698</c:v>
                </c:pt>
                <c:pt idx="601">
                  <c:v>9.3026519055724588</c:v>
                </c:pt>
                <c:pt idx="602">
                  <c:v>9.3482147026099138</c:v>
                </c:pt>
                <c:pt idx="603">
                  <c:v>9.3933364779945148</c:v>
                </c:pt>
                <c:pt idx="604">
                  <c:v>9.4380049065183993</c:v>
                </c:pt>
                <c:pt idx="605">
                  <c:v>9.4822077889004905</c:v>
                </c:pt>
                <c:pt idx="606">
                  <c:v>9.5259330551750772</c:v>
                </c:pt>
                <c:pt idx="607">
                  <c:v>9.5691687680445305</c:v>
                </c:pt>
                <c:pt idx="608">
                  <c:v>9.6119031261951164</c:v>
                </c:pt>
                <c:pt idx="609">
                  <c:v>9.6541244675750963</c:v>
                </c:pt>
                <c:pt idx="610">
                  <c:v>9.6958212726340687</c:v>
                </c:pt>
                <c:pt idx="611">
                  <c:v>9.7369821675228145</c:v>
                </c:pt>
                <c:pt idx="612">
                  <c:v>9.7775959272525839</c:v>
                </c:pt>
                <c:pt idx="613">
                  <c:v>9.8176514788131222</c:v>
                </c:pt>
                <c:pt idx="614">
                  <c:v>9.8571379042483827</c:v>
                </c:pt>
                <c:pt idx="615">
                  <c:v>9.8960444436892736</c:v>
                </c:pt>
                <c:pt idx="616">
                  <c:v>9.9343604983424054</c:v>
                </c:pt>
                <c:pt idx="617">
                  <c:v>9.9720756334341374</c:v>
                </c:pt>
                <c:pt idx="618">
                  <c:v>10.009179581109086</c:v>
                </c:pt>
                <c:pt idx="619">
                  <c:v>10.045662243282196</c:v>
                </c:pt>
                <c:pt idx="620">
                  <c:v>10.081513694443746</c:v>
                </c:pt>
                <c:pt idx="621">
                  <c:v>10.116724184416327</c:v>
                </c:pt>
                <c:pt idx="622">
                  <c:v>10.151284141063204</c:v>
                </c:pt>
                <c:pt idx="623">
                  <c:v>10.185184172947142</c:v>
                </c:pt>
                <c:pt idx="624">
                  <c:v>10.218415071939111</c:v>
                </c:pt>
                <c:pt idx="625">
                  <c:v>10.250967815776015</c:v>
                </c:pt>
                <c:pt idx="626">
                  <c:v>10.282833570566838</c:v>
                </c:pt>
                <c:pt idx="627">
                  <c:v>10.314003693246432</c:v>
                </c:pt>
                <c:pt idx="628">
                  <c:v>10.344469733976325</c:v>
                </c:pt>
                <c:pt idx="629">
                  <c:v>10.374223438491827</c:v>
                </c:pt>
                <c:pt idx="630">
                  <c:v>10.403256750394847</c:v>
                </c:pt>
                <c:pt idx="631">
                  <c:v>10.431561813391717</c:v>
                </c:pt>
                <c:pt idx="632">
                  <c:v>10.459130973475446</c:v>
                </c:pt>
                <c:pt idx="633">
                  <c:v>10.485956781051796</c:v>
                </c:pt>
                <c:pt idx="634">
                  <c:v>10.512031993008545</c:v>
                </c:pt>
                <c:pt idx="635">
                  <c:v>10.537349574727443</c:v>
                </c:pt>
                <c:pt idx="636">
                  <c:v>10.561902702038198</c:v>
                </c:pt>
                <c:pt idx="637">
                  <c:v>10.58568476311406</c:v>
                </c:pt>
                <c:pt idx="638">
                  <c:v>10.608689360308373</c:v>
                </c:pt>
                <c:pt idx="639">
                  <c:v>10.630910311931689</c:v>
                </c:pt>
                <c:pt idx="640">
                  <c:v>10.652341653968829</c:v>
                </c:pt>
                <c:pt idx="641">
                  <c:v>10.67297764173555</c:v>
                </c:pt>
                <c:pt idx="642">
                  <c:v>10.692812751474218</c:v>
                </c:pt>
                <c:pt idx="643">
                  <c:v>10.711841681888187</c:v>
                </c:pt>
                <c:pt idx="644">
                  <c:v>10.730059355614314</c:v>
                </c:pt>
                <c:pt idx="645">
                  <c:v>10.747460920633328</c:v>
                </c:pt>
                <c:pt idx="646">
                  <c:v>10.764041751617571</c:v>
                </c:pt>
                <c:pt idx="647">
                  <c:v>10.779797451215778</c:v>
                </c:pt>
                <c:pt idx="648">
                  <c:v>10.794723851274556</c:v>
                </c:pt>
                <c:pt idx="649">
                  <c:v>10.808817013996146</c:v>
                </c:pt>
                <c:pt idx="650">
                  <c:v>10.82207323303226</c:v>
                </c:pt>
                <c:pt idx="651">
                  <c:v>10.834489034513577</c:v>
                </c:pt>
                <c:pt idx="652">
                  <c:v>10.846061178014699</c:v>
                </c:pt>
                <c:pt idx="653">
                  <c:v>10.856786657454238</c:v>
                </c:pt>
                <c:pt idx="654">
                  <c:v>10.866662701929826</c:v>
                </c:pt>
                <c:pt idx="655">
                  <c:v>10.87568677648779</c:v>
                </c:pt>
                <c:pt idx="656">
                  <c:v>10.883856582827287</c:v>
                </c:pt>
                <c:pt idx="657">
                  <c:v>10.891170059938709</c:v>
                </c:pt>
                <c:pt idx="658">
                  <c:v>10.897625384676173</c:v>
                </c:pt>
                <c:pt idx="659">
                  <c:v>10.903220972263938</c:v>
                </c:pt>
                <c:pt idx="660">
                  <c:v>10.907955476736607</c:v>
                </c:pt>
                <c:pt idx="661">
                  <c:v>10.911827791313005</c:v>
                </c:pt>
                <c:pt idx="662">
                  <c:v>10.914837048703603</c:v>
                </c:pt>
                <c:pt idx="663">
                  <c:v>10.916982621351428</c:v>
                </c:pt>
                <c:pt idx="664">
                  <c:v>10.91826412160639</c:v>
                </c:pt>
                <c:pt idx="665">
                  <c:v>10.91868140183294</c:v>
                </c:pt>
                <c:pt idx="666">
                  <c:v>10.918234554451104</c:v>
                </c:pt>
                <c:pt idx="667">
                  <c:v>10.916923911910787</c:v>
                </c:pt>
                <c:pt idx="668">
                  <c:v>10.914750046599451</c:v>
                </c:pt>
                <c:pt idx="669">
                  <c:v>10.911713770683098</c:v>
                </c:pt>
                <c:pt idx="670">
                  <c:v>10.907816135880697</c:v>
                </c:pt>
                <c:pt idx="671">
                  <c:v>10.903058433172028</c:v>
                </c:pt>
                <c:pt idx="672">
                  <c:v>10.897442192439097</c:v>
                </c:pt>
                <c:pt idx="673">
                  <c:v>10.890969182041175</c:v>
                </c:pt>
                <c:pt idx="674">
                  <c:v>10.883641408323593</c:v>
                </c:pt>
                <c:pt idx="675">
                  <c:v>10.875461115060441</c:v>
                </c:pt>
                <c:pt idx="676">
                  <c:v>10.866430782831321</c:v>
                </c:pt>
                <c:pt idx="677">
                  <c:v>10.856553128332294</c:v>
                </c:pt>
                <c:pt idx="678">
                  <c:v>10.845831103621274</c:v>
                </c:pt>
                <c:pt idx="679">
                  <c:v>10.83426789529803</c:v>
                </c:pt>
                <c:pt idx="680">
                  <c:v>10.82186692361903</c:v>
                </c:pt>
                <c:pt idx="681">
                  <c:v>10.808631841547404</c:v>
                </c:pt>
                <c:pt idx="682">
                  <c:v>10.794566533738248</c:v>
                </c:pt>
                <c:pt idx="683">
                  <c:v>10.779675115459582</c:v>
                </c:pt>
                <c:pt idx="684">
                  <c:v>10.76396193144924</c:v>
                </c:pt>
                <c:pt idx="685">
                  <c:v>10.747431554708035</c:v>
                </c:pt>
                <c:pt idx="686">
                  <c:v>10.730088785229501</c:v>
                </c:pt>
                <c:pt idx="687">
                  <c:v>10.711938648666607</c:v>
                </c:pt>
                <c:pt idx="688">
                  <c:v>10.692986394935756</c:v>
                </c:pt>
                <c:pt idx="689">
                  <c:v>10.673237496758524</c:v>
                </c:pt>
                <c:pt idx="690">
                  <c:v>10.652697648141483</c:v>
                </c:pt>
                <c:pt idx="691">
                  <c:v>10.63137276279458</c:v>
                </c:pt>
                <c:pt idx="692">
                  <c:v>10.60926897248847</c:v>
                </c:pt>
                <c:pt idx="693">
                  <c:v>10.586392625351287</c:v>
                </c:pt>
                <c:pt idx="694">
                  <c:v>10.562750284105324</c:v>
                </c:pt>
                <c:pt idx="695">
                  <c:v>10.538348724244077</c:v>
                </c:pt>
                <c:pt idx="696">
                  <c:v>10.513194932150235</c:v>
                </c:pt>
                <c:pt idx="697">
                  <c:v>10.487296103155034</c:v>
                </c:pt>
                <c:pt idx="698">
                  <c:v>10.460659639539628</c:v>
                </c:pt>
                <c:pt idx="699">
                  <c:v>10.433293148478919</c:v>
                </c:pt>
                <c:pt idx="700">
                  <c:v>10.405204439928532</c:v>
                </c:pt>
                <c:pt idx="701">
                  <c:v>10.376401524455407</c:v>
                </c:pt>
                <c:pt idx="702">
                  <c:v>10.346892611012708</c:v>
                </c:pt>
                <c:pt idx="703">
                  <c:v>10.316686104659595</c:v>
                </c:pt>
                <c:pt idx="704">
                  <c:v>10.285790604226575</c:v>
                </c:pt>
                <c:pt idx="705">
                  <c:v>10.254214899926946</c:v>
                </c:pt>
                <c:pt idx="706">
                  <c:v>10.221967970915159</c:v>
                </c:pt>
                <c:pt idx="707">
                  <c:v>10.189058982792668</c:v>
                </c:pt>
                <c:pt idx="708">
                  <c:v>10.15549728506196</c:v>
                </c:pt>
                <c:pt idx="709">
                  <c:v>10.121292408529564</c:v>
                </c:pt>
                <c:pt idx="710">
                  <c:v>10.086454062658643</c:v>
                </c:pt>
                <c:pt idx="711">
                  <c:v>10.050992132871997</c:v>
                </c:pt>
                <c:pt idx="712">
                  <c:v>10.014916677806168</c:v>
                </c:pt>
                <c:pt idx="713">
                  <c:v>9.9782379265174477</c:v>
                </c:pt>
                <c:pt idx="714">
                  <c:v>9.9409662756405179</c:v>
                </c:pt>
                <c:pt idx="715">
                  <c:v>9.9031122865006012</c:v>
                </c:pt>
                <c:pt idx="716">
                  <c:v>9.8646866821797783</c:v>
                </c:pt>
                <c:pt idx="717">
                  <c:v>9.8257003445384719</c:v>
                </c:pt>
                <c:pt idx="718">
                  <c:v>9.7861643111927386</c:v>
                </c:pt>
                <c:pt idx="719">
                  <c:v>9.7460897724483644</c:v>
                </c:pt>
                <c:pt idx="720">
                  <c:v>9.7054880681924907</c:v>
                </c:pt>
                <c:pt idx="721">
                  <c:v>9.6643706847437496</c:v>
                </c:pt>
                <c:pt idx="722">
                  <c:v>9.6227492516616717</c:v>
                </c:pt>
                <c:pt idx="723">
                  <c:v>9.580635538516324</c:v>
                </c:pt>
                <c:pt idx="724">
                  <c:v>9.5380414516190886</c:v>
                </c:pt>
                <c:pt idx="725">
                  <c:v>9.4949790307153936</c:v>
                </c:pt>
                <c:pt idx="726">
                  <c:v>9.4514604456404516</c:v>
                </c:pt>
                <c:pt idx="727">
                  <c:v>9.4074979929387919</c:v>
                </c:pt>
                <c:pt idx="728">
                  <c:v>9.3631040924486779</c:v>
                </c:pt>
                <c:pt idx="729">
                  <c:v>9.3182912838521812</c:v>
                </c:pt>
                <c:pt idx="730">
                  <c:v>9.2730722231920684</c:v>
                </c:pt>
                <c:pt idx="731">
                  <c:v>9.2274596793562633</c:v>
                </c:pt>
                <c:pt idx="732">
                  <c:v>9.1814665305310665</c:v>
                </c:pt>
                <c:pt idx="733">
                  <c:v>9.1351057606239134</c:v>
                </c:pt>
                <c:pt idx="734">
                  <c:v>9.0883904556568709</c:v>
                </c:pt>
                <c:pt idx="735">
                  <c:v>9.0413338001316603</c:v>
                </c:pt>
                <c:pt idx="736">
                  <c:v>8.9939490733674283</c:v>
                </c:pt>
                <c:pt idx="737">
                  <c:v>8.9462496458121077</c:v>
                </c:pt>
                <c:pt idx="738">
                  <c:v>8.8982489753284799</c:v>
                </c:pt>
                <c:pt idx="739">
                  <c:v>8.849960603456001</c:v>
                </c:pt>
                <c:pt idx="740">
                  <c:v>8.8013981516493107</c:v>
                </c:pt>
                <c:pt idx="741">
                  <c:v>8.752575317494621</c:v>
                </c:pt>
                <c:pt idx="742">
                  <c:v>8.7035058709048787</c:v>
                </c:pt>
                <c:pt idx="743">
                  <c:v>8.6542036502949173</c:v>
                </c:pt>
                <c:pt idx="744">
                  <c:v>8.60468255873751</c:v>
                </c:pt>
                <c:pt idx="745">
                  <c:v>8.5549565601015196</c:v>
                </c:pt>
              </c:numCache>
            </c:numRef>
          </c:val>
          <c:smooth val="0"/>
          <c:extLst>
            <c:ext xmlns:c16="http://schemas.microsoft.com/office/drawing/2014/chart" uri="{C3380CC4-5D6E-409C-BE32-E72D297353CC}">
              <c16:uniqueId val="{00000001-A2D7-48E2-B51D-4370440AEDBB}"/>
            </c:ext>
          </c:extLst>
        </c:ser>
        <c:dLbls>
          <c:showLegendKey val="0"/>
          <c:showVal val="0"/>
          <c:showCatName val="0"/>
          <c:showSerName val="0"/>
          <c:showPercent val="0"/>
          <c:showBubbleSize val="0"/>
        </c:dLbls>
        <c:smooth val="0"/>
        <c:axId val="1102896944"/>
        <c:axId val="1102897424"/>
      </c:lineChart>
      <c:catAx>
        <c:axId val="110289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897424"/>
        <c:crosses val="autoZero"/>
        <c:auto val="1"/>
        <c:lblAlgn val="ctr"/>
        <c:lblOffset val="100"/>
        <c:noMultiLvlLbl val="0"/>
      </c:catAx>
      <c:valAx>
        <c:axId val="110289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Algae</a:t>
                </a:r>
                <a:r>
                  <a:rPr lang="en-IN" baseline="0"/>
                  <a:t>_Growth</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89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Boxplot of Algae growth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Boxplot of Algae growth</a:t>
          </a:r>
        </a:p>
      </cx:txPr>
    </cx:title>
    <cx:plotArea>
      <cx:plotAreaRegion>
        <cx:series layoutId="boxWhisker" uniqueId="{DE67923B-6B0E-41D3-86E8-C32389BFF7C2}">
          <cx:tx>
            <cx:txData>
              <cx:f>_xlchart.v1.0</cx:f>
              <cx:v>Algal Growth</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microsoft.com/office/2014/relationships/chartEx" Target="../charts/chartEx1.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40</xdr:col>
      <xdr:colOff>35442</xdr:colOff>
      <xdr:row>2</xdr:row>
      <xdr:rowOff>120768</xdr:rowOff>
    </xdr:from>
    <xdr:to>
      <xdr:col>48</xdr:col>
      <xdr:colOff>83288</xdr:colOff>
      <xdr:row>17</xdr:row>
      <xdr:rowOff>120768</xdr:rowOff>
    </xdr:to>
    <xdr:graphicFrame macro="">
      <xdr:nvGraphicFramePr>
        <xdr:cNvPr id="2" name="Chart 1">
          <a:extLst>
            <a:ext uri="{FF2B5EF4-FFF2-40B4-BE49-F238E27FC236}">
              <a16:creationId xmlns:a16="http://schemas.microsoft.com/office/drawing/2014/main" id="{70B4CA3C-132B-628F-714C-5907BFC58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471353</xdr:colOff>
      <xdr:row>24</xdr:row>
      <xdr:rowOff>180158</xdr:rowOff>
    </xdr:from>
    <xdr:to>
      <xdr:col>52</xdr:col>
      <xdr:colOff>1937659</xdr:colOff>
      <xdr:row>39</xdr:row>
      <xdr:rowOff>180158</xdr:rowOff>
    </xdr:to>
    <xdr:graphicFrame macro="">
      <xdr:nvGraphicFramePr>
        <xdr:cNvPr id="8" name="Chart 7">
          <a:extLst>
            <a:ext uri="{FF2B5EF4-FFF2-40B4-BE49-F238E27FC236}">
              <a16:creationId xmlns:a16="http://schemas.microsoft.com/office/drawing/2014/main" id="{7279C93A-B4AA-B140-57D5-BC9215FA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593590</xdr:colOff>
      <xdr:row>24</xdr:row>
      <xdr:rowOff>176308</xdr:rowOff>
    </xdr:from>
    <xdr:to>
      <xdr:col>44</xdr:col>
      <xdr:colOff>160296</xdr:colOff>
      <xdr:row>40</xdr:row>
      <xdr:rowOff>45038</xdr:rowOff>
    </xdr:to>
    <xdr:graphicFrame macro="">
      <xdr:nvGraphicFramePr>
        <xdr:cNvPr id="19" name="Chart 18">
          <a:extLst>
            <a:ext uri="{FF2B5EF4-FFF2-40B4-BE49-F238E27FC236}">
              <a16:creationId xmlns:a16="http://schemas.microsoft.com/office/drawing/2014/main" id="{D7CDE8E1-1A1C-D37D-E122-403B12C08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212651</xdr:colOff>
      <xdr:row>0</xdr:row>
      <xdr:rowOff>150629</xdr:rowOff>
    </xdr:from>
    <xdr:to>
      <xdr:col>59</xdr:col>
      <xdr:colOff>505046</xdr:colOff>
      <xdr:row>15</xdr:row>
      <xdr:rowOff>102782</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3C2E2674-FD54-4128-9836-7773B87548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768714" y="150629"/>
              <a:ext cx="8188620" cy="26667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2387656</xdr:colOff>
      <xdr:row>25</xdr:row>
      <xdr:rowOff>47994</xdr:rowOff>
    </xdr:from>
    <xdr:to>
      <xdr:col>62</xdr:col>
      <xdr:colOff>125393</xdr:colOff>
      <xdr:row>40</xdr:row>
      <xdr:rowOff>59851</xdr:rowOff>
    </xdr:to>
    <xdr:graphicFrame macro="">
      <xdr:nvGraphicFramePr>
        <xdr:cNvPr id="29" name="Chart 28">
          <a:extLst>
            <a:ext uri="{FF2B5EF4-FFF2-40B4-BE49-F238E27FC236}">
              <a16:creationId xmlns:a16="http://schemas.microsoft.com/office/drawing/2014/main" id="{B4220DAF-1E3C-4879-9B84-E0D6B49E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272519</xdr:colOff>
      <xdr:row>53</xdr:row>
      <xdr:rowOff>61561</xdr:rowOff>
    </xdr:from>
    <xdr:to>
      <xdr:col>44</xdr:col>
      <xdr:colOff>452821</xdr:colOff>
      <xdr:row>68</xdr:row>
      <xdr:rowOff>45795</xdr:rowOff>
    </xdr:to>
    <xdr:graphicFrame macro="">
      <xdr:nvGraphicFramePr>
        <xdr:cNvPr id="37" name="Chart 36">
          <a:extLst>
            <a:ext uri="{FF2B5EF4-FFF2-40B4-BE49-F238E27FC236}">
              <a16:creationId xmlns:a16="http://schemas.microsoft.com/office/drawing/2014/main" id="{55D4AA9B-F280-47CD-93AB-0F17B2A37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542411</xdr:colOff>
      <xdr:row>53</xdr:row>
      <xdr:rowOff>165911</xdr:rowOff>
    </xdr:from>
    <xdr:to>
      <xdr:col>52</xdr:col>
      <xdr:colOff>2971801</xdr:colOff>
      <xdr:row>68</xdr:row>
      <xdr:rowOff>150145</xdr:rowOff>
    </xdr:to>
    <xdr:graphicFrame macro="">
      <xdr:nvGraphicFramePr>
        <xdr:cNvPr id="40" name="Chart 39">
          <a:extLst>
            <a:ext uri="{FF2B5EF4-FFF2-40B4-BE49-F238E27FC236}">
              <a16:creationId xmlns:a16="http://schemas.microsoft.com/office/drawing/2014/main" id="{61239BFE-BDD1-4A49-A933-70E2A93D8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83204</xdr:colOff>
      <xdr:row>54</xdr:row>
      <xdr:rowOff>21519</xdr:rowOff>
    </xdr:from>
    <xdr:to>
      <xdr:col>61</xdr:col>
      <xdr:colOff>54427</xdr:colOff>
      <xdr:row>69</xdr:row>
      <xdr:rowOff>5753</xdr:rowOff>
    </xdr:to>
    <xdr:graphicFrame macro="">
      <xdr:nvGraphicFramePr>
        <xdr:cNvPr id="41" name="Chart 40">
          <a:extLst>
            <a:ext uri="{FF2B5EF4-FFF2-40B4-BE49-F238E27FC236}">
              <a16:creationId xmlns:a16="http://schemas.microsoft.com/office/drawing/2014/main" id="{E0F416C9-C693-DE18-0E1D-4B1D6C761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85983</xdr:colOff>
      <xdr:row>74</xdr:row>
      <xdr:rowOff>141527</xdr:rowOff>
    </xdr:from>
    <xdr:to>
      <xdr:col>58</xdr:col>
      <xdr:colOff>454169</xdr:colOff>
      <xdr:row>92</xdr:row>
      <xdr:rowOff>177076</xdr:rowOff>
    </xdr:to>
    <xdr:graphicFrame macro="">
      <xdr:nvGraphicFramePr>
        <xdr:cNvPr id="46" name="Chart 45">
          <a:extLst>
            <a:ext uri="{FF2B5EF4-FFF2-40B4-BE49-F238E27FC236}">
              <a16:creationId xmlns:a16="http://schemas.microsoft.com/office/drawing/2014/main" id="{512849FB-1A07-4375-96E1-CBA57736D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40</xdr:col>
      <xdr:colOff>380999</xdr:colOff>
      <xdr:row>101</xdr:row>
      <xdr:rowOff>174173</xdr:rowOff>
    </xdr:from>
    <xdr:to>
      <xdr:col>47</xdr:col>
      <xdr:colOff>87085</xdr:colOff>
      <xdr:row>116</xdr:row>
      <xdr:rowOff>141515</xdr:rowOff>
    </xdr:to>
    <xdr:graphicFrame macro="">
      <xdr:nvGraphicFramePr>
        <xdr:cNvPr id="13" name="Chart 12">
          <a:extLst>
            <a:ext uri="{FF2B5EF4-FFF2-40B4-BE49-F238E27FC236}">
              <a16:creationId xmlns:a16="http://schemas.microsoft.com/office/drawing/2014/main" id="{8BCC1DBD-EB24-43B1-B31F-C94B5B24E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206828</xdr:colOff>
      <xdr:row>77</xdr:row>
      <xdr:rowOff>76201</xdr:rowOff>
    </xdr:from>
    <xdr:to>
      <xdr:col>44</xdr:col>
      <xdr:colOff>170969</xdr:colOff>
      <xdr:row>92</xdr:row>
      <xdr:rowOff>129989</xdr:rowOff>
    </xdr:to>
    <xdr:graphicFrame macro="">
      <xdr:nvGraphicFramePr>
        <xdr:cNvPr id="14" name="Chart 13">
          <a:extLst>
            <a:ext uri="{FF2B5EF4-FFF2-40B4-BE49-F238E27FC236}">
              <a16:creationId xmlns:a16="http://schemas.microsoft.com/office/drawing/2014/main" id="{F682D7BF-1555-4DC0-A86E-8BD3D7EDE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topLeftCell="A10" zoomScale="130" zoomScaleNormal="130" workbookViewId="0">
      <selection activeCell="A30" sqref="A30"/>
    </sheetView>
  </sheetViews>
  <sheetFormatPr defaultColWidth="8.86328125" defaultRowHeight="14.25"/>
  <cols>
    <col min="1" max="16384" width="8.86328125" style="3"/>
  </cols>
  <sheetData>
    <row r="1" spans="1:1">
      <c r="A1" s="3" t="s">
        <v>55</v>
      </c>
    </row>
    <row r="2" spans="1:1">
      <c r="A2" s="3" t="s">
        <v>56</v>
      </c>
    </row>
    <row r="3" spans="1:1">
      <c r="A3" s="3" t="s">
        <v>54</v>
      </c>
    </row>
    <row r="5" spans="1:1">
      <c r="A5" s="2" t="s">
        <v>0</v>
      </c>
    </row>
    <row r="6" spans="1:1">
      <c r="A6" s="4" t="s">
        <v>57</v>
      </c>
    </row>
    <row r="7" spans="1:1">
      <c r="A7" s="4" t="s">
        <v>58</v>
      </c>
    </row>
    <row r="8" spans="1:1">
      <c r="A8" s="5" t="s">
        <v>1</v>
      </c>
    </row>
    <row r="9" spans="1:1">
      <c r="A9" s="5" t="s">
        <v>2</v>
      </c>
    </row>
    <row r="10" spans="1:1">
      <c r="A10" s="5" t="s">
        <v>59</v>
      </c>
    </row>
    <row r="11" spans="1:1">
      <c r="A11" s="6" t="s">
        <v>3</v>
      </c>
    </row>
    <row r="12" spans="1:1">
      <c r="A12" s="6" t="s">
        <v>4</v>
      </c>
    </row>
    <row r="13" spans="1:1">
      <c r="A13" s="6" t="s">
        <v>5</v>
      </c>
    </row>
    <row r="14" spans="1:1">
      <c r="A14" s="6" t="s">
        <v>6</v>
      </c>
    </row>
    <row r="15" spans="1:1">
      <c r="A15" s="5" t="s">
        <v>25</v>
      </c>
    </row>
    <row r="16" spans="1:1">
      <c r="A16" s="6" t="s">
        <v>7</v>
      </c>
    </row>
    <row r="17" spans="1:1">
      <c r="A17" s="6" t="s">
        <v>61</v>
      </c>
    </row>
    <row r="18" spans="1:1">
      <c r="A18" s="6" t="s">
        <v>8</v>
      </c>
    </row>
    <row r="19" spans="1:1">
      <c r="A19" s="6" t="s">
        <v>62</v>
      </c>
    </row>
    <row r="21" spans="1:1">
      <c r="A21" s="7" t="s">
        <v>9</v>
      </c>
    </row>
    <row r="22" spans="1:1">
      <c r="A22" s="8" t="s">
        <v>35</v>
      </c>
    </row>
    <row r="23" spans="1:1">
      <c r="A23" s="8" t="s">
        <v>60</v>
      </c>
    </row>
    <row r="24" spans="1:1">
      <c r="A24" s="8" t="s">
        <v>26</v>
      </c>
    </row>
    <row r="25" spans="1:1">
      <c r="A25" s="9" t="s">
        <v>10</v>
      </c>
    </row>
    <row r="26" spans="1:1">
      <c r="A26" s="8" t="s">
        <v>11</v>
      </c>
    </row>
    <row r="27" spans="1:1">
      <c r="A27" s="9" t="s">
        <v>12</v>
      </c>
    </row>
    <row r="28" spans="1:1">
      <c r="A28" s="8" t="s">
        <v>63</v>
      </c>
    </row>
    <row r="29" spans="1:1">
      <c r="A29" s="9" t="s">
        <v>13</v>
      </c>
    </row>
    <row r="30" spans="1:1">
      <c r="A30" s="9" t="s">
        <v>14</v>
      </c>
    </row>
    <row r="31" spans="1:1">
      <c r="A31" s="9" t="s">
        <v>15</v>
      </c>
    </row>
    <row r="32" spans="1:1">
      <c r="A32" s="9" t="s">
        <v>16</v>
      </c>
    </row>
    <row r="33" spans="1:1">
      <c r="A33" s="9" t="s">
        <v>37</v>
      </c>
    </row>
    <row r="34" spans="1:1">
      <c r="A34" s="8" t="s">
        <v>36</v>
      </c>
    </row>
    <row r="35" spans="1:1">
      <c r="A35" s="9" t="s">
        <v>17</v>
      </c>
    </row>
    <row r="36" spans="1:1">
      <c r="A36" s="8" t="s">
        <v>18</v>
      </c>
    </row>
    <row r="37" spans="1:1">
      <c r="A37" s="10" t="s">
        <v>64</v>
      </c>
    </row>
    <row r="38" spans="1:1">
      <c r="A38" s="9" t="s">
        <v>19</v>
      </c>
    </row>
    <row r="39" spans="1:1">
      <c r="A39" s="9" t="s">
        <v>20</v>
      </c>
    </row>
    <row r="40" spans="1:1">
      <c r="A40" s="9" t="s">
        <v>65</v>
      </c>
    </row>
    <row r="42" spans="1:1">
      <c r="A42" s="11" t="s">
        <v>21</v>
      </c>
    </row>
    <row r="43" spans="1:1">
      <c r="A43" s="5" t="s">
        <v>27</v>
      </c>
    </row>
    <row r="44" spans="1:1">
      <c r="A44" s="2" t="s">
        <v>66</v>
      </c>
    </row>
    <row r="45" spans="1:1">
      <c r="A45" s="2" t="s">
        <v>34</v>
      </c>
    </row>
    <row r="47" spans="1:1">
      <c r="A47" s="3" t="s">
        <v>22</v>
      </c>
    </row>
    <row r="48" spans="1:1">
      <c r="A48" s="12" t="s">
        <v>23</v>
      </c>
    </row>
    <row r="49" spans="1:1">
      <c r="A49" s="13" t="s">
        <v>24</v>
      </c>
    </row>
    <row r="50" spans="1:1">
      <c r="A50" s="14" t="s">
        <v>28</v>
      </c>
    </row>
    <row r="51" spans="1:1">
      <c r="A51" s="13"/>
    </row>
    <row r="52" spans="1:1">
      <c r="A52"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47"/>
  <sheetViews>
    <sheetView topLeftCell="B5" zoomScale="130" zoomScaleNormal="130" workbookViewId="0">
      <selection activeCell="L21" sqref="L21"/>
    </sheetView>
  </sheetViews>
  <sheetFormatPr defaultRowHeight="14.25"/>
  <cols>
    <col min="2" max="2" width="13.1328125" bestFit="1" customWidth="1"/>
  </cols>
  <sheetData>
    <row r="1" spans="1:5">
      <c r="A1" t="s">
        <v>41</v>
      </c>
      <c r="B1" t="s">
        <v>42</v>
      </c>
      <c r="D1" t="s">
        <v>43</v>
      </c>
    </row>
    <row r="2" spans="1:5">
      <c r="A2">
        <v>0</v>
      </c>
      <c r="B2">
        <v>6.9345063332049524</v>
      </c>
      <c r="D2" t="s">
        <v>44</v>
      </c>
    </row>
    <row r="3" spans="1:5">
      <c r="A3">
        <v>1</v>
      </c>
      <c r="B3">
        <v>8.5979184250940595</v>
      </c>
      <c r="D3" t="s">
        <v>45</v>
      </c>
    </row>
    <row r="4" spans="1:5">
      <c r="A4">
        <v>2</v>
      </c>
      <c r="B4">
        <v>9.3137399550813367</v>
      </c>
    </row>
    <row r="5" spans="1:5">
      <c r="A5">
        <v>3</v>
      </c>
      <c r="B5">
        <v>6.9331676928037371</v>
      </c>
      <c r="D5" t="s">
        <v>46</v>
      </c>
    </row>
    <row r="6" spans="1:5">
      <c r="A6">
        <v>4</v>
      </c>
      <c r="B6">
        <v>5.8851169344294476</v>
      </c>
      <c r="D6" t="s">
        <v>47</v>
      </c>
    </row>
    <row r="7" spans="1:5">
      <c r="A7">
        <v>5</v>
      </c>
      <c r="B7">
        <v>7.2621214708212793</v>
      </c>
      <c r="D7" t="s">
        <v>48</v>
      </c>
    </row>
    <row r="8" spans="1:5">
      <c r="A8">
        <v>6</v>
      </c>
      <c r="B8">
        <v>7.4826444410775661</v>
      </c>
    </row>
    <row r="9" spans="1:5">
      <c r="A9">
        <v>7</v>
      </c>
      <c r="B9">
        <v>6.2287266305579045</v>
      </c>
      <c r="D9" t="s">
        <v>49</v>
      </c>
    </row>
    <row r="10" spans="1:5">
      <c r="A10">
        <v>8</v>
      </c>
      <c r="B10">
        <v>9.1445356937726849</v>
      </c>
      <c r="D10" t="s">
        <v>50</v>
      </c>
    </row>
    <row r="11" spans="1:5">
      <c r="A11">
        <v>9</v>
      </c>
      <c r="B11">
        <v>7.9966786256509614</v>
      </c>
      <c r="D11" t="s">
        <v>52</v>
      </c>
    </row>
    <row r="12" spans="1:5">
      <c r="A12">
        <v>10</v>
      </c>
      <c r="B12">
        <v>5.3867908390365873</v>
      </c>
      <c r="D12" t="s">
        <v>51</v>
      </c>
    </row>
    <row r="13" spans="1:5">
      <c r="A13">
        <v>11</v>
      </c>
      <c r="B13">
        <v>7.1406258621392098</v>
      </c>
      <c r="D13" t="s">
        <v>53</v>
      </c>
    </row>
    <row r="14" spans="1:5">
      <c r="A14">
        <v>12</v>
      </c>
      <c r="B14">
        <v>6.5365290380992427</v>
      </c>
    </row>
    <row r="15" spans="1:5">
      <c r="A15">
        <v>13</v>
      </c>
      <c r="B15">
        <v>6.1473214394604678</v>
      </c>
    </row>
    <row r="16" spans="1:5">
      <c r="A16">
        <v>14</v>
      </c>
      <c r="B16">
        <v>7.2109784109234614</v>
      </c>
      <c r="D16" t="s">
        <v>30</v>
      </c>
      <c r="E16" t="s">
        <v>29</v>
      </c>
    </row>
    <row r="17" spans="1:6">
      <c r="A17">
        <v>15</v>
      </c>
      <c r="B17">
        <v>5.1991002120134127</v>
      </c>
    </row>
    <row r="18" spans="1:6">
      <c r="A18">
        <v>16</v>
      </c>
      <c r="B18">
        <v>6.0997961851297688</v>
      </c>
      <c r="E18">
        <v>10</v>
      </c>
      <c r="F18" t="s">
        <v>39</v>
      </c>
    </row>
    <row r="19" spans="1:6">
      <c r="A19">
        <v>17</v>
      </c>
      <c r="B19">
        <v>5.9595735695428171</v>
      </c>
      <c r="E19">
        <v>10</v>
      </c>
      <c r="F19" t="s">
        <v>67</v>
      </c>
    </row>
    <row r="20" spans="1:6">
      <c r="A20">
        <v>18</v>
      </c>
      <c r="B20">
        <v>6.1141697118530818</v>
      </c>
      <c r="D20" s="1"/>
      <c r="E20">
        <v>10</v>
      </c>
      <c r="F20" t="s">
        <v>38</v>
      </c>
    </row>
    <row r="21" spans="1:6">
      <c r="A21">
        <v>19</v>
      </c>
      <c r="B21">
        <v>4.1186414272850795</v>
      </c>
      <c r="D21" s="1"/>
      <c r="E21">
        <v>10</v>
      </c>
      <c r="F21" t="s">
        <v>31</v>
      </c>
    </row>
    <row r="22" spans="1:6">
      <c r="A22">
        <v>20</v>
      </c>
      <c r="B22">
        <v>5.7777617775489691</v>
      </c>
      <c r="E22">
        <v>10</v>
      </c>
      <c r="F22" t="s">
        <v>40</v>
      </c>
    </row>
    <row r="23" spans="1:6">
      <c r="A23">
        <v>21</v>
      </c>
      <c r="B23">
        <v>7.0525442844553865</v>
      </c>
      <c r="E23" t="s">
        <v>32</v>
      </c>
    </row>
    <row r="24" spans="1:6">
      <c r="A24">
        <v>22</v>
      </c>
      <c r="B24">
        <v>4.3298198396244043</v>
      </c>
      <c r="E24" t="s">
        <v>33</v>
      </c>
    </row>
    <row r="25" spans="1:6">
      <c r="A25">
        <v>23</v>
      </c>
      <c r="B25">
        <v>4.6674863807388984</v>
      </c>
      <c r="D25">
        <f>SUM(D18:D22)*2+D23-D24</f>
        <v>0</v>
      </c>
    </row>
    <row r="26" spans="1:6">
      <c r="A26">
        <v>24</v>
      </c>
      <c r="B26">
        <v>4.7501909267997062</v>
      </c>
    </row>
    <row r="27" spans="1:6">
      <c r="A27">
        <v>25</v>
      </c>
      <c r="B27">
        <v>7.8835355632022983</v>
      </c>
    </row>
    <row r="28" spans="1:6">
      <c r="A28">
        <v>26</v>
      </c>
      <c r="B28">
        <v>7.5453159595133448</v>
      </c>
    </row>
    <row r="29" spans="1:6">
      <c r="A29">
        <v>27</v>
      </c>
      <c r="B29">
        <v>7.8824700474618803</v>
      </c>
    </row>
    <row r="30" spans="1:6">
      <c r="A30">
        <v>28</v>
      </c>
      <c r="B30">
        <v>7.3575190178895351</v>
      </c>
    </row>
    <row r="31" spans="1:6">
      <c r="A31">
        <v>29</v>
      </c>
      <c r="B31">
        <v>6.5946564853166052</v>
      </c>
    </row>
    <row r="32" spans="1:6">
      <c r="A32">
        <v>30</v>
      </c>
      <c r="B32">
        <v>4.7585540439543745</v>
      </c>
    </row>
    <row r="33" spans="1:2">
      <c r="A33">
        <v>31</v>
      </c>
      <c r="B33">
        <v>4.6528960403792174</v>
      </c>
    </row>
    <row r="34" spans="1:2">
      <c r="A34">
        <v>32</v>
      </c>
      <c r="B34">
        <v>6.2991068548848217</v>
      </c>
    </row>
    <row r="35" spans="1:2">
      <c r="A35">
        <v>33</v>
      </c>
      <c r="B35">
        <v>5.6907630124780653</v>
      </c>
    </row>
    <row r="36" spans="1:2">
      <c r="A36">
        <v>34</v>
      </c>
      <c r="B36">
        <v>5.695095873612793</v>
      </c>
    </row>
    <row r="37" spans="1:2">
      <c r="A37">
        <v>35</v>
      </c>
      <c r="B37">
        <v>5.1427531820698169</v>
      </c>
    </row>
    <row r="38" spans="1:2">
      <c r="A38">
        <v>36</v>
      </c>
      <c r="B38">
        <v>4.1797914994912215</v>
      </c>
    </row>
    <row r="39" spans="1:2">
      <c r="A39">
        <v>37</v>
      </c>
      <c r="B39">
        <v>7.6969287289915744</v>
      </c>
    </row>
    <row r="40" spans="1:2">
      <c r="A40">
        <v>38</v>
      </c>
      <c r="B40">
        <v>5.3388634395719565</v>
      </c>
    </row>
    <row r="41" spans="1:2">
      <c r="A41">
        <v>39</v>
      </c>
      <c r="B41">
        <v>5.7270042474305516</v>
      </c>
    </row>
    <row r="42" spans="1:2">
      <c r="A42">
        <v>40</v>
      </c>
      <c r="B42">
        <v>6.8432179792785295</v>
      </c>
    </row>
    <row r="43" spans="1:2">
      <c r="A43">
        <v>41</v>
      </c>
      <c r="B43">
        <v>6.6555084829098403</v>
      </c>
    </row>
    <row r="44" spans="1:2">
      <c r="A44">
        <v>42</v>
      </c>
      <c r="B44">
        <v>5.3328505643899966</v>
      </c>
    </row>
    <row r="45" spans="1:2">
      <c r="A45">
        <v>43</v>
      </c>
      <c r="B45">
        <v>3.3305884229026752</v>
      </c>
    </row>
    <row r="46" spans="1:2">
      <c r="A46">
        <v>44</v>
      </c>
      <c r="B46">
        <v>5.2662274708256049</v>
      </c>
    </row>
    <row r="47" spans="1:2">
      <c r="A47">
        <v>45</v>
      </c>
      <c r="B47">
        <v>4.8155561125628683</v>
      </c>
    </row>
    <row r="48" spans="1:2">
      <c r="A48">
        <v>46</v>
      </c>
      <c r="B48">
        <v>4.2345162768002034</v>
      </c>
    </row>
    <row r="49" spans="1:2">
      <c r="A49">
        <v>47</v>
      </c>
      <c r="B49">
        <v>3.2831972305071049</v>
      </c>
    </row>
    <row r="50" spans="1:2">
      <c r="A50">
        <v>48</v>
      </c>
      <c r="B50">
        <v>5.4060116997724386</v>
      </c>
    </row>
    <row r="51" spans="1:2">
      <c r="A51">
        <v>49</v>
      </c>
      <c r="B51">
        <v>2.9587743207245385</v>
      </c>
    </row>
    <row r="52" spans="1:2">
      <c r="A52">
        <v>50</v>
      </c>
      <c r="B52">
        <v>3.9357580766325073</v>
      </c>
    </row>
    <row r="53" spans="1:2">
      <c r="A53">
        <v>51</v>
      </c>
      <c r="B53">
        <v>6.8736827608679647</v>
      </c>
    </row>
    <row r="54" spans="1:2">
      <c r="A54">
        <v>52</v>
      </c>
      <c r="B54">
        <v>3.9301986487752139</v>
      </c>
    </row>
    <row r="55" spans="1:2">
      <c r="A55">
        <v>53</v>
      </c>
      <c r="B55">
        <v>3.4671670644287698</v>
      </c>
    </row>
    <row r="56" spans="1:2">
      <c r="A56">
        <v>54</v>
      </c>
      <c r="B56">
        <v>4.8118780978681963</v>
      </c>
    </row>
    <row r="57" spans="1:2">
      <c r="A57">
        <v>55</v>
      </c>
      <c r="B57">
        <v>4.2137669038540402</v>
      </c>
    </row>
    <row r="58" spans="1:2">
      <c r="A58">
        <v>56</v>
      </c>
      <c r="B58">
        <v>7.0684666309851192</v>
      </c>
    </row>
    <row r="59" spans="1:2">
      <c r="A59">
        <v>57</v>
      </c>
      <c r="B59">
        <v>7.3759109477409277</v>
      </c>
    </row>
    <row r="60" spans="1:2">
      <c r="A60">
        <v>58</v>
      </c>
      <c r="B60">
        <v>6.0248348636097244</v>
      </c>
    </row>
    <row r="61" spans="1:2">
      <c r="A61">
        <v>59</v>
      </c>
      <c r="B61">
        <v>6.6531693936582821</v>
      </c>
    </row>
    <row r="62" spans="1:2">
      <c r="A62">
        <v>60</v>
      </c>
      <c r="B62">
        <v>7.3167608843213081</v>
      </c>
    </row>
    <row r="63" spans="1:2">
      <c r="A63">
        <v>61</v>
      </c>
      <c r="B63">
        <v>4.000147347868416</v>
      </c>
    </row>
    <row r="64" spans="1:2">
      <c r="A64">
        <v>62</v>
      </c>
      <c r="B64">
        <v>6.7972032920975494</v>
      </c>
    </row>
    <row r="65" spans="1:2">
      <c r="A65">
        <v>63</v>
      </c>
      <c r="B65">
        <v>6.2497422703884169</v>
      </c>
    </row>
    <row r="66" spans="1:2">
      <c r="A66">
        <v>64</v>
      </c>
      <c r="B66">
        <v>3.3370446363722417</v>
      </c>
    </row>
    <row r="67" spans="1:2">
      <c r="A67">
        <v>65</v>
      </c>
      <c r="B67">
        <v>5.4983137672107718</v>
      </c>
    </row>
    <row r="68" spans="1:2">
      <c r="A68">
        <v>66</v>
      </c>
      <c r="B68">
        <v>4.1279592119803823</v>
      </c>
    </row>
    <row r="69" spans="1:2">
      <c r="A69">
        <v>67</v>
      </c>
      <c r="B69">
        <v>3.5808180825869584</v>
      </c>
    </row>
    <row r="70" spans="1:2">
      <c r="A70">
        <v>68</v>
      </c>
      <c r="B70">
        <v>3.5250455081074401</v>
      </c>
    </row>
    <row r="71" spans="1:2">
      <c r="A71">
        <v>69</v>
      </c>
      <c r="B71">
        <v>2.3989840749035878</v>
      </c>
    </row>
    <row r="72" spans="1:2">
      <c r="A72">
        <v>70</v>
      </c>
      <c r="B72">
        <v>4.0593871026786594</v>
      </c>
    </row>
    <row r="73" spans="1:2">
      <c r="A73">
        <v>71</v>
      </c>
      <c r="B73">
        <v>2.4404956729532552</v>
      </c>
    </row>
    <row r="74" spans="1:2">
      <c r="A74">
        <v>72</v>
      </c>
      <c r="B74">
        <v>5.2727445545715979</v>
      </c>
    </row>
    <row r="75" spans="1:2">
      <c r="A75">
        <v>73</v>
      </c>
      <c r="B75">
        <v>2.7853821172463498</v>
      </c>
    </row>
    <row r="76" spans="1:2">
      <c r="A76">
        <v>74</v>
      </c>
      <c r="B76">
        <v>5.3864674854350634</v>
      </c>
    </row>
    <row r="77" spans="1:2">
      <c r="A77">
        <v>75</v>
      </c>
      <c r="B77">
        <v>2.8894062767274127</v>
      </c>
    </row>
    <row r="78" spans="1:2">
      <c r="A78">
        <v>76</v>
      </c>
      <c r="B78">
        <v>4.8153764451143752</v>
      </c>
    </row>
    <row r="79" spans="1:2">
      <c r="A79">
        <v>77</v>
      </c>
      <c r="B79">
        <v>5.1429189843773591</v>
      </c>
    </row>
    <row r="80" spans="1:2">
      <c r="A80">
        <v>78</v>
      </c>
      <c r="B80">
        <v>4.3046195676646217</v>
      </c>
    </row>
    <row r="81" spans="1:2">
      <c r="A81">
        <v>79</v>
      </c>
      <c r="B81">
        <v>3.2612667501182102</v>
      </c>
    </row>
    <row r="82" spans="1:2">
      <c r="A82">
        <v>80</v>
      </c>
      <c r="B82">
        <v>5.524951950466134</v>
      </c>
    </row>
    <row r="83" spans="1:2">
      <c r="A83">
        <v>81</v>
      </c>
      <c r="B83">
        <v>3.0798697640008585</v>
      </c>
    </row>
    <row r="84" spans="1:2">
      <c r="A84">
        <v>82</v>
      </c>
      <c r="B84">
        <v>4.8775234910502139</v>
      </c>
    </row>
    <row r="85" spans="1:2">
      <c r="A85">
        <v>83</v>
      </c>
      <c r="B85">
        <v>5.5931546839444275</v>
      </c>
    </row>
    <row r="86" spans="1:2">
      <c r="A86">
        <v>84</v>
      </c>
      <c r="B86">
        <v>3.6223702462654077</v>
      </c>
    </row>
    <row r="87" spans="1:2">
      <c r="A87">
        <v>85</v>
      </c>
      <c r="B87">
        <v>4.8952037674861897</v>
      </c>
    </row>
    <row r="88" spans="1:2">
      <c r="A88">
        <v>86</v>
      </c>
      <c r="B88">
        <v>5.1017265309521784</v>
      </c>
    </row>
    <row r="89" spans="1:2">
      <c r="A89">
        <v>87</v>
      </c>
      <c r="B89">
        <v>2.9543147447570148</v>
      </c>
    </row>
    <row r="90" spans="1:2">
      <c r="A90">
        <v>88</v>
      </c>
      <c r="B90">
        <v>3.0476504111029818</v>
      </c>
    </row>
    <row r="91" spans="1:2">
      <c r="A91">
        <v>89</v>
      </c>
      <c r="B91">
        <v>3.2610865290998303</v>
      </c>
    </row>
    <row r="92" spans="1:2">
      <c r="A92">
        <v>90</v>
      </c>
      <c r="B92">
        <v>2.9117861788501962</v>
      </c>
    </row>
    <row r="93" spans="1:2">
      <c r="A93">
        <v>91</v>
      </c>
      <c r="B93">
        <v>2.9270504071966861</v>
      </c>
    </row>
    <row r="94" spans="1:2">
      <c r="A94">
        <v>92</v>
      </c>
      <c r="B94">
        <v>5.6546412617772948</v>
      </c>
    </row>
    <row r="95" spans="1:2">
      <c r="A95">
        <v>93</v>
      </c>
      <c r="B95">
        <v>5.3253189781321382</v>
      </c>
    </row>
    <row r="96" spans="1:2">
      <c r="A96">
        <v>94</v>
      </c>
      <c r="B96">
        <v>5.8806988705324663</v>
      </c>
    </row>
    <row r="97" spans="1:2">
      <c r="A97">
        <v>95</v>
      </c>
      <c r="B97">
        <v>1.9493796330202553</v>
      </c>
    </row>
    <row r="98" spans="1:2">
      <c r="A98">
        <v>96</v>
      </c>
      <c r="B98">
        <v>2.0439693610750345</v>
      </c>
    </row>
    <row r="99" spans="1:2">
      <c r="A99">
        <v>97</v>
      </c>
      <c r="B99">
        <v>4.0395574328105033</v>
      </c>
    </row>
    <row r="100" spans="1:2">
      <c r="A100">
        <v>98</v>
      </c>
      <c r="B100">
        <v>5.0147042364515215</v>
      </c>
    </row>
    <row r="101" spans="1:2">
      <c r="A101">
        <v>99</v>
      </c>
      <c r="B101">
        <v>3.6876168373826514</v>
      </c>
    </row>
    <row r="102" spans="1:2">
      <c r="A102">
        <v>100</v>
      </c>
      <c r="B102">
        <v>1.6699321554918762</v>
      </c>
    </row>
    <row r="103" spans="1:2">
      <c r="A103">
        <v>101</v>
      </c>
      <c r="B103">
        <v>4.4961229351073779</v>
      </c>
    </row>
    <row r="104" spans="1:2">
      <c r="A104">
        <v>102</v>
      </c>
      <c r="B104">
        <v>3.551742162389969</v>
      </c>
    </row>
    <row r="105" spans="1:2">
      <c r="A105">
        <v>103</v>
      </c>
      <c r="B105">
        <v>5.6552024798847818</v>
      </c>
    </row>
    <row r="106" spans="1:2">
      <c r="A106">
        <v>104</v>
      </c>
      <c r="B106">
        <v>5.0071871001439607</v>
      </c>
    </row>
    <row r="107" spans="1:2">
      <c r="A107">
        <v>105</v>
      </c>
      <c r="B107">
        <v>2.2529033431520942</v>
      </c>
    </row>
    <row r="108" spans="1:2">
      <c r="A108">
        <v>106</v>
      </c>
      <c r="B108">
        <v>4.4590784978235245</v>
      </c>
    </row>
    <row r="109" spans="1:2">
      <c r="A109">
        <v>107</v>
      </c>
      <c r="B109">
        <v>5.0468545035059513</v>
      </c>
    </row>
    <row r="110" spans="1:2">
      <c r="A110">
        <v>108</v>
      </c>
      <c r="B110">
        <v>5.1927636970393634</v>
      </c>
    </row>
    <row r="111" spans="1:2">
      <c r="A111">
        <v>109</v>
      </c>
      <c r="B111">
        <v>4.0801545117092584</v>
      </c>
    </row>
    <row r="112" spans="1:2">
      <c r="A112">
        <v>110</v>
      </c>
      <c r="B112">
        <v>6.4792419866722852</v>
      </c>
    </row>
    <row r="113" spans="1:2">
      <c r="A113">
        <v>111</v>
      </c>
      <c r="B113">
        <v>3.5966278318168277</v>
      </c>
    </row>
    <row r="114" spans="1:2">
      <c r="A114">
        <v>112</v>
      </c>
      <c r="B114">
        <v>5.1993494066206871</v>
      </c>
    </row>
    <row r="115" spans="1:2">
      <c r="A115">
        <v>113</v>
      </c>
      <c r="B115">
        <v>5.1681483610689618</v>
      </c>
    </row>
    <row r="116" spans="1:2">
      <c r="A116">
        <v>114</v>
      </c>
      <c r="B116">
        <v>6.3516900797119735</v>
      </c>
    </row>
    <row r="117" spans="1:2">
      <c r="A117">
        <v>115</v>
      </c>
      <c r="B117">
        <v>2.6529714004987803</v>
      </c>
    </row>
    <row r="118" spans="1:2">
      <c r="A118">
        <v>116</v>
      </c>
      <c r="B118">
        <v>4.9140980861247092</v>
      </c>
    </row>
    <row r="119" spans="1:2">
      <c r="A119">
        <v>117</v>
      </c>
      <c r="B119">
        <v>4.954942193476283</v>
      </c>
    </row>
    <row r="120" spans="1:2">
      <c r="A120">
        <v>118</v>
      </c>
      <c r="B120">
        <v>4.402057223037982</v>
      </c>
    </row>
    <row r="121" spans="1:2">
      <c r="A121">
        <v>119</v>
      </c>
      <c r="B121">
        <v>4.2759762121707574</v>
      </c>
    </row>
    <row r="122" spans="1:2">
      <c r="A122">
        <v>120</v>
      </c>
      <c r="B122">
        <v>2.2894279380570222</v>
      </c>
    </row>
    <row r="123" spans="1:2">
      <c r="A123">
        <v>121</v>
      </c>
      <c r="B123">
        <v>5.5466295617724466</v>
      </c>
    </row>
    <row r="124" spans="1:2">
      <c r="A124">
        <v>122</v>
      </c>
      <c r="B124">
        <v>3.8799725875960789</v>
      </c>
    </row>
    <row r="125" spans="1:2">
      <c r="A125">
        <v>123</v>
      </c>
      <c r="B125">
        <v>2.5980323786019577</v>
      </c>
    </row>
    <row r="126" spans="1:2">
      <c r="A126">
        <v>124</v>
      </c>
      <c r="B126">
        <v>2.3308887623304244</v>
      </c>
    </row>
    <row r="127" spans="1:2">
      <c r="A127">
        <v>125</v>
      </c>
      <c r="B127">
        <v>5.3950000043975734</v>
      </c>
    </row>
    <row r="128" spans="1:2">
      <c r="A128">
        <v>126</v>
      </c>
      <c r="B128">
        <v>2.6541187786785319</v>
      </c>
    </row>
    <row r="129" spans="1:2">
      <c r="A129">
        <v>127</v>
      </c>
      <c r="B129">
        <v>5.2025813577323099</v>
      </c>
    </row>
    <row r="130" spans="1:2">
      <c r="A130">
        <v>128</v>
      </c>
      <c r="B130">
        <v>2.3845370526502174</v>
      </c>
    </row>
    <row r="131" spans="1:2">
      <c r="A131">
        <v>129</v>
      </c>
      <c r="B131">
        <v>4.2066286822176178</v>
      </c>
    </row>
    <row r="132" spans="1:2">
      <c r="A132">
        <v>130</v>
      </c>
      <c r="B132">
        <v>3.4548302748495008</v>
      </c>
    </row>
    <row r="133" spans="1:2">
      <c r="A133">
        <v>131</v>
      </c>
      <c r="B133">
        <v>3.3561408832586368</v>
      </c>
    </row>
    <row r="134" spans="1:2">
      <c r="A134">
        <v>132</v>
      </c>
      <c r="B134">
        <v>6.0241177411999676</v>
      </c>
    </row>
    <row r="135" spans="1:2">
      <c r="A135">
        <v>133</v>
      </c>
      <c r="B135">
        <v>4.5074713434981479</v>
      </c>
    </row>
    <row r="136" spans="1:2">
      <c r="A136">
        <v>134</v>
      </c>
      <c r="B136">
        <v>2.7741478032781677</v>
      </c>
    </row>
    <row r="137" spans="1:2">
      <c r="A137">
        <v>135</v>
      </c>
      <c r="B137">
        <v>3.4686243743655365</v>
      </c>
    </row>
    <row r="138" spans="1:2">
      <c r="A138">
        <v>136</v>
      </c>
      <c r="B138">
        <v>5.50354074175665</v>
      </c>
    </row>
    <row r="139" spans="1:2">
      <c r="A139">
        <v>137</v>
      </c>
      <c r="B139">
        <v>4.0953642337503933</v>
      </c>
    </row>
    <row r="140" spans="1:2">
      <c r="A140">
        <v>138</v>
      </c>
      <c r="B140">
        <v>4.6280394691386855</v>
      </c>
    </row>
    <row r="141" spans="1:2">
      <c r="A141">
        <v>139</v>
      </c>
      <c r="B141">
        <v>5.3209650026925557</v>
      </c>
    </row>
    <row r="142" spans="1:2">
      <c r="A142">
        <v>140</v>
      </c>
      <c r="B142">
        <v>6.6736390308396025</v>
      </c>
    </row>
    <row r="143" spans="1:2">
      <c r="A143">
        <v>141</v>
      </c>
      <c r="B143">
        <v>3.396902215046758</v>
      </c>
    </row>
    <row r="144" spans="1:2">
      <c r="A144">
        <v>142</v>
      </c>
      <c r="B144">
        <v>5.991864930759089</v>
      </c>
    </row>
    <row r="145" spans="1:2">
      <c r="A145">
        <v>143</v>
      </c>
      <c r="B145">
        <v>4.7858971560651362</v>
      </c>
    </row>
    <row r="146" spans="1:2">
      <c r="A146">
        <v>144</v>
      </c>
      <c r="B146">
        <v>3.9667645585095626</v>
      </c>
    </row>
    <row r="147" spans="1:2">
      <c r="A147">
        <v>145</v>
      </c>
      <c r="B147">
        <v>6.031772776567724</v>
      </c>
    </row>
    <row r="148" spans="1:2">
      <c r="A148">
        <v>146</v>
      </c>
      <c r="B148">
        <v>3.5165642075820998</v>
      </c>
    </row>
    <row r="149" spans="1:2">
      <c r="A149">
        <v>147</v>
      </c>
      <c r="B149">
        <v>3.9162009714371084</v>
      </c>
    </row>
    <row r="150" spans="1:2">
      <c r="A150">
        <v>148</v>
      </c>
      <c r="B150">
        <v>4.3404557286705465</v>
      </c>
    </row>
    <row r="151" spans="1:2">
      <c r="A151">
        <v>149</v>
      </c>
      <c r="B151">
        <v>5.0221901097174984</v>
      </c>
    </row>
    <row r="152" spans="1:2">
      <c r="A152">
        <v>150</v>
      </c>
      <c r="B152">
        <v>3.7430882520663289</v>
      </c>
    </row>
    <row r="153" spans="1:2">
      <c r="A153">
        <v>151</v>
      </c>
      <c r="B153">
        <v>6.278238693118718</v>
      </c>
    </row>
    <row r="154" spans="1:2">
      <c r="A154">
        <v>152</v>
      </c>
      <c r="B154">
        <v>6.6221306352326534</v>
      </c>
    </row>
    <row r="155" spans="1:2">
      <c r="A155">
        <v>153</v>
      </c>
      <c r="B155">
        <v>5.9173676983304171</v>
      </c>
    </row>
    <row r="156" spans="1:2">
      <c r="A156">
        <v>154</v>
      </c>
      <c r="B156">
        <v>6.1113583261264477</v>
      </c>
    </row>
    <row r="157" spans="1:2">
      <c r="A157">
        <v>155</v>
      </c>
      <c r="B157">
        <v>5.924524943064915</v>
      </c>
    </row>
    <row r="158" spans="1:2">
      <c r="A158">
        <v>156</v>
      </c>
      <c r="B158">
        <v>5.9339309966548477</v>
      </c>
    </row>
    <row r="159" spans="1:2">
      <c r="A159">
        <v>157</v>
      </c>
      <c r="B159">
        <v>6.6259021445776778</v>
      </c>
    </row>
    <row r="160" spans="1:2">
      <c r="A160">
        <v>158</v>
      </c>
      <c r="B160">
        <v>5.5074983938255686</v>
      </c>
    </row>
    <row r="161" spans="1:2">
      <c r="A161">
        <v>159</v>
      </c>
      <c r="B161">
        <v>4.9572304378085832</v>
      </c>
    </row>
    <row r="162" spans="1:2">
      <c r="A162">
        <v>160</v>
      </c>
      <c r="B162">
        <v>4.1068044439470102</v>
      </c>
    </row>
    <row r="163" spans="1:2">
      <c r="A163">
        <v>161</v>
      </c>
      <c r="B163">
        <v>4.0885052325202276</v>
      </c>
    </row>
    <row r="164" spans="1:2">
      <c r="A164">
        <v>162</v>
      </c>
      <c r="B164">
        <v>5.8127724636245404</v>
      </c>
    </row>
    <row r="165" spans="1:2">
      <c r="A165">
        <v>163</v>
      </c>
      <c r="B165">
        <v>6.1769091686415036</v>
      </c>
    </row>
    <row r="166" spans="1:2">
      <c r="A166">
        <v>164</v>
      </c>
      <c r="B166">
        <v>7.7075641126428316</v>
      </c>
    </row>
    <row r="167" spans="1:2">
      <c r="A167">
        <v>165</v>
      </c>
      <c r="B167">
        <v>6.8373759715726248</v>
      </c>
    </row>
    <row r="168" spans="1:2">
      <c r="A168">
        <v>166</v>
      </c>
      <c r="B168">
        <v>5.4281069059233875</v>
      </c>
    </row>
    <row r="169" spans="1:2">
      <c r="A169">
        <v>167</v>
      </c>
      <c r="B169">
        <v>5.625809339858419</v>
      </c>
    </row>
    <row r="170" spans="1:2">
      <c r="A170">
        <v>168</v>
      </c>
      <c r="B170">
        <v>5.2023650392951604</v>
      </c>
    </row>
    <row r="171" spans="1:2">
      <c r="A171">
        <v>169</v>
      </c>
      <c r="B171">
        <v>6.9346392200319009</v>
      </c>
    </row>
    <row r="172" spans="1:2">
      <c r="A172">
        <v>170</v>
      </c>
      <c r="B172">
        <v>5.2705278474663313</v>
      </c>
    </row>
    <row r="173" spans="1:2">
      <c r="A173">
        <v>171</v>
      </c>
      <c r="B173">
        <v>6.6237929370324586</v>
      </c>
    </row>
    <row r="174" spans="1:2">
      <c r="A174">
        <v>172</v>
      </c>
      <c r="B174">
        <v>8.0538180776440704</v>
      </c>
    </row>
    <row r="175" spans="1:2">
      <c r="A175">
        <v>173</v>
      </c>
      <c r="B175">
        <v>5.1119963310246499</v>
      </c>
    </row>
    <row r="176" spans="1:2">
      <c r="A176">
        <v>174</v>
      </c>
      <c r="B176">
        <v>4.9054392924729235</v>
      </c>
    </row>
    <row r="177" spans="1:2">
      <c r="A177">
        <v>175</v>
      </c>
      <c r="B177">
        <v>4.1491450922389195</v>
      </c>
    </row>
    <row r="178" spans="1:2">
      <c r="A178">
        <v>176</v>
      </c>
      <c r="B178">
        <v>4.7663915501727301</v>
      </c>
    </row>
    <row r="179" spans="1:2">
      <c r="A179">
        <v>177</v>
      </c>
      <c r="B179">
        <v>4.6386373878939589</v>
      </c>
    </row>
    <row r="180" spans="1:2">
      <c r="A180">
        <v>178</v>
      </c>
      <c r="B180">
        <v>7.624892422244459</v>
      </c>
    </row>
    <row r="181" spans="1:2">
      <c r="A181">
        <v>179</v>
      </c>
      <c r="B181">
        <v>6.9472331512913064</v>
      </c>
    </row>
    <row r="182" spans="1:2">
      <c r="A182">
        <v>180</v>
      </c>
      <c r="B182">
        <v>7.8525291131722907</v>
      </c>
    </row>
    <row r="183" spans="1:2">
      <c r="A183">
        <v>181</v>
      </c>
      <c r="B183">
        <v>6.9069406631856562</v>
      </c>
    </row>
    <row r="184" spans="1:2">
      <c r="A184">
        <v>182</v>
      </c>
      <c r="B184">
        <v>6.9964427079809814</v>
      </c>
    </row>
    <row r="185" spans="1:2">
      <c r="A185">
        <v>183</v>
      </c>
      <c r="B185">
        <v>5.962604698592787</v>
      </c>
    </row>
    <row r="186" spans="1:2">
      <c r="A186">
        <v>184</v>
      </c>
      <c r="B186">
        <v>4.4915403341805202</v>
      </c>
    </row>
    <row r="187" spans="1:2">
      <c r="A187">
        <v>185</v>
      </c>
      <c r="B187">
        <v>6.1794102168457288</v>
      </c>
    </row>
    <row r="188" spans="1:2">
      <c r="A188">
        <v>186</v>
      </c>
      <c r="B188">
        <v>5.3509937313127631</v>
      </c>
    </row>
    <row r="189" spans="1:2">
      <c r="A189">
        <v>187</v>
      </c>
      <c r="B189">
        <v>7.0359387899129864</v>
      </c>
    </row>
    <row r="190" spans="1:2">
      <c r="A190">
        <v>188</v>
      </c>
      <c r="B190">
        <v>5.6001010551259069</v>
      </c>
    </row>
    <row r="191" spans="1:2">
      <c r="A191">
        <v>189</v>
      </c>
      <c r="B191">
        <v>7.45656620752073</v>
      </c>
    </row>
    <row r="192" spans="1:2">
      <c r="A192">
        <v>190</v>
      </c>
      <c r="B192">
        <v>8.8655631699499615</v>
      </c>
    </row>
    <row r="193" spans="1:2">
      <c r="A193">
        <v>191</v>
      </c>
      <c r="B193">
        <v>6.2366114383441769</v>
      </c>
    </row>
    <row r="194" spans="1:2">
      <c r="A194">
        <v>192</v>
      </c>
      <c r="B194">
        <v>9.2156313068712308</v>
      </c>
    </row>
    <row r="195" spans="1:2">
      <c r="A195">
        <v>193</v>
      </c>
      <c r="B195">
        <v>9.0910227153300855</v>
      </c>
    </row>
    <row r="196" spans="1:2">
      <c r="A196">
        <v>194</v>
      </c>
      <c r="B196">
        <v>8.7841829298554259</v>
      </c>
    </row>
    <row r="197" spans="1:2">
      <c r="A197">
        <v>195</v>
      </c>
      <c r="B197">
        <v>8.2456420877181174</v>
      </c>
    </row>
    <row r="198" spans="1:2">
      <c r="A198">
        <v>196</v>
      </c>
      <c r="B198">
        <v>7.6457368097384979</v>
      </c>
    </row>
    <row r="199" spans="1:2">
      <c r="A199">
        <v>197</v>
      </c>
      <c r="B199">
        <v>8.9767378352469063</v>
      </c>
    </row>
    <row r="200" spans="1:2">
      <c r="A200">
        <v>198</v>
      </c>
      <c r="B200">
        <v>8.5504125833456524</v>
      </c>
    </row>
    <row r="201" spans="1:2">
      <c r="A201">
        <v>199</v>
      </c>
      <c r="B201">
        <v>6.0909979014518782</v>
      </c>
    </row>
    <row r="202" spans="1:2">
      <c r="A202">
        <v>200</v>
      </c>
      <c r="B202">
        <v>5.4063332866963192</v>
      </c>
    </row>
    <row r="203" spans="1:2">
      <c r="A203">
        <v>201</v>
      </c>
      <c r="B203">
        <v>6.9432063629720746</v>
      </c>
    </row>
    <row r="204" spans="1:2">
      <c r="A204">
        <v>202</v>
      </c>
      <c r="B204">
        <v>7.3767031108093102</v>
      </c>
    </row>
    <row r="205" spans="1:2">
      <c r="A205">
        <v>203</v>
      </c>
      <c r="B205">
        <v>7.8608346730959004</v>
      </c>
    </row>
    <row r="206" spans="1:2">
      <c r="A206">
        <v>204</v>
      </c>
      <c r="B206">
        <v>7.007742076704579</v>
      </c>
    </row>
    <row r="207" spans="1:2">
      <c r="A207">
        <v>205</v>
      </c>
      <c r="B207">
        <v>5.4310660497525056</v>
      </c>
    </row>
    <row r="208" spans="1:2">
      <c r="A208">
        <v>206</v>
      </c>
      <c r="B208">
        <v>7.015637154476499</v>
      </c>
    </row>
    <row r="209" spans="1:2">
      <c r="A209">
        <v>207</v>
      </c>
      <c r="B209">
        <v>6.2614528588062308</v>
      </c>
    </row>
    <row r="210" spans="1:2">
      <c r="A210">
        <v>208</v>
      </c>
      <c r="B210">
        <v>9.3771273098647647</v>
      </c>
    </row>
    <row r="211" spans="1:2">
      <c r="A211">
        <v>209</v>
      </c>
      <c r="B211">
        <v>7.4807464129481289</v>
      </c>
    </row>
    <row r="212" spans="1:2">
      <c r="A212">
        <v>210</v>
      </c>
      <c r="B212">
        <v>6.5848379458449946</v>
      </c>
    </row>
    <row r="213" spans="1:2">
      <c r="A213">
        <v>211</v>
      </c>
      <c r="B213">
        <v>9.2714936460021864</v>
      </c>
    </row>
    <row r="214" spans="1:2">
      <c r="A214">
        <v>212</v>
      </c>
      <c r="B214">
        <v>8.7805487551597476</v>
      </c>
    </row>
    <row r="215" spans="1:2">
      <c r="A215">
        <v>213</v>
      </c>
      <c r="B215">
        <v>9.3156261257364683</v>
      </c>
    </row>
    <row r="216" spans="1:2">
      <c r="A216">
        <v>214</v>
      </c>
      <c r="B216">
        <v>6.6301162139120251</v>
      </c>
    </row>
    <row r="217" spans="1:2">
      <c r="A217">
        <v>215</v>
      </c>
      <c r="B217">
        <v>8.4228018559744608</v>
      </c>
    </row>
    <row r="218" spans="1:2">
      <c r="A218">
        <v>216</v>
      </c>
      <c r="B218">
        <v>9.9510876476390564</v>
      </c>
    </row>
    <row r="219" spans="1:2">
      <c r="A219">
        <v>217</v>
      </c>
      <c r="B219">
        <v>9.4379921850699695</v>
      </c>
    </row>
    <row r="220" spans="1:2">
      <c r="A220">
        <v>218</v>
      </c>
      <c r="B220">
        <v>7.137653076871465</v>
      </c>
    </row>
    <row r="221" spans="1:2">
      <c r="A221">
        <v>219</v>
      </c>
      <c r="B221">
        <v>9.2077367492931987</v>
      </c>
    </row>
    <row r="222" spans="1:2">
      <c r="A222">
        <v>220</v>
      </c>
      <c r="B222">
        <v>10.770469931221513</v>
      </c>
    </row>
    <row r="223" spans="1:2">
      <c r="A223">
        <v>221</v>
      </c>
      <c r="B223">
        <v>10.683800778049719</v>
      </c>
    </row>
    <row r="224" spans="1:2">
      <c r="A224">
        <v>222</v>
      </c>
      <c r="B224">
        <v>8.2562843554948167</v>
      </c>
    </row>
    <row r="225" spans="1:2">
      <c r="A225">
        <v>223</v>
      </c>
      <c r="B225">
        <v>7.7819018559831399</v>
      </c>
    </row>
    <row r="226" spans="1:2">
      <c r="A226">
        <v>224</v>
      </c>
      <c r="B226">
        <v>10.083002743870408</v>
      </c>
    </row>
    <row r="227" spans="1:2">
      <c r="A227">
        <v>225</v>
      </c>
      <c r="B227">
        <v>9.7327796304268333</v>
      </c>
    </row>
    <row r="228" spans="1:2">
      <c r="A228">
        <v>226</v>
      </c>
      <c r="B228">
        <v>8.2638154595866524</v>
      </c>
    </row>
    <row r="229" spans="1:2">
      <c r="A229">
        <v>227</v>
      </c>
      <c r="B229">
        <v>9.8693538117424779</v>
      </c>
    </row>
    <row r="230" spans="1:2">
      <c r="A230">
        <v>228</v>
      </c>
      <c r="B230">
        <v>7.9124025578814088</v>
      </c>
    </row>
    <row r="231" spans="1:2">
      <c r="A231">
        <v>229</v>
      </c>
      <c r="B231">
        <v>8.7603469196047925</v>
      </c>
    </row>
    <row r="232" spans="1:2">
      <c r="A232">
        <v>230</v>
      </c>
      <c r="B232">
        <v>7.0110737308126359</v>
      </c>
    </row>
    <row r="233" spans="1:2">
      <c r="A233">
        <v>231</v>
      </c>
      <c r="B233">
        <v>9.6234253979331328</v>
      </c>
    </row>
    <row r="234" spans="1:2">
      <c r="A234">
        <v>232</v>
      </c>
      <c r="B234">
        <v>9.343609514802159</v>
      </c>
    </row>
    <row r="235" spans="1:2">
      <c r="A235">
        <v>233</v>
      </c>
      <c r="B235">
        <v>10.199632049924773</v>
      </c>
    </row>
    <row r="236" spans="1:2">
      <c r="A236">
        <v>234</v>
      </c>
      <c r="B236">
        <v>9.6282121249491368</v>
      </c>
    </row>
    <row r="237" spans="1:2">
      <c r="A237">
        <v>235</v>
      </c>
      <c r="B237">
        <v>9.4030477266634698</v>
      </c>
    </row>
    <row r="238" spans="1:2">
      <c r="A238">
        <v>236</v>
      </c>
      <c r="B238">
        <v>10.284073238650322</v>
      </c>
    </row>
    <row r="239" spans="1:2">
      <c r="A239">
        <v>237</v>
      </c>
      <c r="B239">
        <v>9.9443257359448953</v>
      </c>
    </row>
    <row r="240" spans="1:2">
      <c r="A240">
        <v>238</v>
      </c>
      <c r="B240">
        <v>7.7412816392802455</v>
      </c>
    </row>
    <row r="241" spans="1:2">
      <c r="A241">
        <v>239</v>
      </c>
      <c r="B241">
        <v>8.666449624515856</v>
      </c>
    </row>
    <row r="242" spans="1:2">
      <c r="A242">
        <v>240</v>
      </c>
      <c r="B242">
        <v>9.6412902543062078</v>
      </c>
    </row>
    <row r="243" spans="1:2">
      <c r="A243">
        <v>241</v>
      </c>
      <c r="B243">
        <v>7.7191128204581165</v>
      </c>
    </row>
    <row r="244" spans="1:2">
      <c r="A244">
        <v>242</v>
      </c>
      <c r="B244">
        <v>9.7375102151975081</v>
      </c>
    </row>
    <row r="245" spans="1:2">
      <c r="A245">
        <v>243</v>
      </c>
      <c r="B245">
        <v>11.677020732069243</v>
      </c>
    </row>
    <row r="246" spans="1:2">
      <c r="A246">
        <v>244</v>
      </c>
      <c r="B246">
        <v>10.068652692725223</v>
      </c>
    </row>
    <row r="247" spans="1:2">
      <c r="A247">
        <v>245</v>
      </c>
      <c r="B247">
        <v>10.021272644294829</v>
      </c>
    </row>
    <row r="248" spans="1:2">
      <c r="A248">
        <v>246</v>
      </c>
      <c r="B248">
        <v>10.692395024870699</v>
      </c>
    </row>
    <row r="249" spans="1:2">
      <c r="A249">
        <v>247</v>
      </c>
      <c r="B249">
        <v>10.18630730133394</v>
      </c>
    </row>
    <row r="250" spans="1:2">
      <c r="A250">
        <v>248</v>
      </c>
      <c r="B250">
        <v>11.869813367631616</v>
      </c>
    </row>
    <row r="251" spans="1:2">
      <c r="A251">
        <v>249</v>
      </c>
      <c r="B251">
        <v>10.225324750564079</v>
      </c>
    </row>
    <row r="252" spans="1:2">
      <c r="A252">
        <v>250</v>
      </c>
      <c r="B252">
        <v>8.0371194416749177</v>
      </c>
    </row>
    <row r="253" spans="1:2">
      <c r="A253">
        <v>251</v>
      </c>
      <c r="B253">
        <v>11.553222831596676</v>
      </c>
    </row>
    <row r="254" spans="1:2">
      <c r="A254">
        <v>252</v>
      </c>
      <c r="B254">
        <v>9.2620002779662727</v>
      </c>
    </row>
    <row r="255" spans="1:2">
      <c r="A255">
        <v>253</v>
      </c>
      <c r="B255">
        <v>8.8519919431050997</v>
      </c>
    </row>
    <row r="256" spans="1:2">
      <c r="A256">
        <v>254</v>
      </c>
      <c r="B256">
        <v>10.763390192437164</v>
      </c>
    </row>
    <row r="257" spans="1:2">
      <c r="A257">
        <v>255</v>
      </c>
      <c r="B257">
        <v>8.1644929959341184</v>
      </c>
    </row>
    <row r="258" spans="1:2">
      <c r="A258">
        <v>256</v>
      </c>
      <c r="B258">
        <v>8.8507110266195372</v>
      </c>
    </row>
    <row r="259" spans="1:2">
      <c r="A259">
        <v>257</v>
      </c>
      <c r="B259">
        <v>10.925198089156915</v>
      </c>
    </row>
    <row r="260" spans="1:2">
      <c r="A260">
        <v>258</v>
      </c>
      <c r="B260">
        <v>9.1388169321322099</v>
      </c>
    </row>
    <row r="261" spans="1:2">
      <c r="A261">
        <v>259</v>
      </c>
      <c r="B261">
        <v>10.025129709398776</v>
      </c>
    </row>
    <row r="262" spans="1:2">
      <c r="A262">
        <v>260</v>
      </c>
      <c r="B262">
        <v>9.8863693968486857</v>
      </c>
    </row>
    <row r="263" spans="1:2">
      <c r="A263">
        <v>261</v>
      </c>
      <c r="B263">
        <v>9.7060974140740974</v>
      </c>
    </row>
    <row r="264" spans="1:2">
      <c r="A264">
        <v>262</v>
      </c>
      <c r="B264">
        <v>8.2719785596599031</v>
      </c>
    </row>
    <row r="265" spans="1:2">
      <c r="A265">
        <v>263</v>
      </c>
      <c r="B265">
        <v>9.8781074722322124</v>
      </c>
    </row>
    <row r="266" spans="1:2">
      <c r="A266">
        <v>264</v>
      </c>
      <c r="B266">
        <v>8.4430143908810287</v>
      </c>
    </row>
    <row r="267" spans="1:2">
      <c r="A267">
        <v>265</v>
      </c>
      <c r="B267">
        <v>11.541740231859777</v>
      </c>
    </row>
    <row r="268" spans="1:2">
      <c r="A268">
        <v>266</v>
      </c>
      <c r="B268">
        <v>9.7687554144220012</v>
      </c>
    </row>
    <row r="269" spans="1:2">
      <c r="A269">
        <v>267</v>
      </c>
      <c r="B269">
        <v>11.809825854843464</v>
      </c>
    </row>
    <row r="270" spans="1:2">
      <c r="A270">
        <v>268</v>
      </c>
      <c r="B270">
        <v>9.8588916029299778</v>
      </c>
    </row>
    <row r="271" spans="1:2">
      <c r="A271">
        <v>269</v>
      </c>
      <c r="B271">
        <v>9.6173566265472417</v>
      </c>
    </row>
    <row r="272" spans="1:2">
      <c r="A272">
        <v>270</v>
      </c>
      <c r="B272">
        <v>11.393506437293718</v>
      </c>
    </row>
    <row r="273" spans="1:2">
      <c r="A273">
        <v>271</v>
      </c>
      <c r="B273">
        <v>11.821936309447622</v>
      </c>
    </row>
    <row r="274" spans="1:2">
      <c r="A274">
        <v>272</v>
      </c>
      <c r="B274">
        <v>10.189938884504919</v>
      </c>
    </row>
    <row r="275" spans="1:2">
      <c r="A275">
        <v>273</v>
      </c>
      <c r="B275">
        <v>11.622995548312923</v>
      </c>
    </row>
    <row r="276" spans="1:2">
      <c r="A276">
        <v>274</v>
      </c>
      <c r="B276">
        <v>12.153184965935985</v>
      </c>
    </row>
    <row r="277" spans="1:2">
      <c r="A277">
        <v>275</v>
      </c>
      <c r="B277">
        <v>9.1848186963813134</v>
      </c>
    </row>
    <row r="278" spans="1:2">
      <c r="A278">
        <v>276</v>
      </c>
      <c r="B278">
        <v>9.5090556694901327</v>
      </c>
    </row>
    <row r="279" spans="1:2">
      <c r="A279">
        <v>277</v>
      </c>
      <c r="B279">
        <v>11.281299705501988</v>
      </c>
    </row>
    <row r="280" spans="1:2">
      <c r="A280">
        <v>278</v>
      </c>
      <c r="B280">
        <v>10.309467173427745</v>
      </c>
    </row>
    <row r="281" spans="1:2">
      <c r="A281">
        <v>279</v>
      </c>
      <c r="B281">
        <v>10.152315006532124</v>
      </c>
    </row>
    <row r="282" spans="1:2">
      <c r="A282">
        <v>280</v>
      </c>
      <c r="B282">
        <v>11.832523594869226</v>
      </c>
    </row>
    <row r="283" spans="1:2">
      <c r="A283">
        <v>281</v>
      </c>
      <c r="B283">
        <v>10.580904019572092</v>
      </c>
    </row>
    <row r="284" spans="1:2">
      <c r="A284">
        <v>282</v>
      </c>
      <c r="B284">
        <v>11.603784770232368</v>
      </c>
    </row>
    <row r="285" spans="1:2">
      <c r="A285">
        <v>283</v>
      </c>
      <c r="B285">
        <v>11.804854321629291</v>
      </c>
    </row>
    <row r="286" spans="1:2">
      <c r="A286">
        <v>284</v>
      </c>
      <c r="B286">
        <v>11.118028744399448</v>
      </c>
    </row>
    <row r="287" spans="1:2">
      <c r="A287">
        <v>285</v>
      </c>
      <c r="B287">
        <v>9.561644989415548</v>
      </c>
    </row>
    <row r="288" spans="1:2">
      <c r="A288">
        <v>286</v>
      </c>
      <c r="B288">
        <v>10.329460298042752</v>
      </c>
    </row>
    <row r="289" spans="1:2">
      <c r="A289">
        <v>287</v>
      </c>
      <c r="B289">
        <v>11.71276586058914</v>
      </c>
    </row>
    <row r="290" spans="1:2">
      <c r="A290">
        <v>288</v>
      </c>
      <c r="B290">
        <v>10.922800000177661</v>
      </c>
    </row>
    <row r="291" spans="1:2">
      <c r="A291">
        <v>289</v>
      </c>
      <c r="B291">
        <v>10.468710504877183</v>
      </c>
    </row>
    <row r="292" spans="1:2">
      <c r="A292">
        <v>290</v>
      </c>
      <c r="B292">
        <v>10.408386218021764</v>
      </c>
    </row>
    <row r="293" spans="1:2">
      <c r="A293">
        <v>291</v>
      </c>
      <c r="B293">
        <v>10.905511264196166</v>
      </c>
    </row>
    <row r="294" spans="1:2">
      <c r="A294">
        <v>292</v>
      </c>
      <c r="B294">
        <v>9.3608864818054887</v>
      </c>
    </row>
    <row r="295" spans="1:2">
      <c r="A295">
        <v>293</v>
      </c>
      <c r="B295">
        <v>8.9564654889246924</v>
      </c>
    </row>
    <row r="296" spans="1:2">
      <c r="A296">
        <v>294</v>
      </c>
      <c r="B296">
        <v>12.099398896735888</v>
      </c>
    </row>
    <row r="297" spans="1:2">
      <c r="A297">
        <v>295</v>
      </c>
      <c r="B297">
        <v>11.30417002782549</v>
      </c>
    </row>
    <row r="298" spans="1:2">
      <c r="A298">
        <v>296</v>
      </c>
      <c r="B298">
        <v>10.904369598219109</v>
      </c>
    </row>
    <row r="299" spans="1:2">
      <c r="A299">
        <v>297</v>
      </c>
      <c r="B299">
        <v>11.076911253788898</v>
      </c>
    </row>
    <row r="300" spans="1:2">
      <c r="A300">
        <v>298</v>
      </c>
      <c r="B300">
        <v>9.8801333544960208</v>
      </c>
    </row>
    <row r="301" spans="1:2">
      <c r="A301">
        <v>299</v>
      </c>
      <c r="B301">
        <v>11.06877910742635</v>
      </c>
    </row>
    <row r="302" spans="1:2">
      <c r="A302">
        <v>300</v>
      </c>
      <c r="B302">
        <v>9.3093021452425919</v>
      </c>
    </row>
    <row r="303" spans="1:2">
      <c r="A303">
        <v>301</v>
      </c>
      <c r="B303">
        <v>10.939382303677224</v>
      </c>
    </row>
    <row r="304" spans="1:2">
      <c r="A304">
        <v>302</v>
      </c>
      <c r="B304">
        <v>12.149511024464436</v>
      </c>
    </row>
    <row r="305" spans="1:2">
      <c r="A305">
        <v>303</v>
      </c>
      <c r="B305">
        <v>11.693788512704991</v>
      </c>
    </row>
    <row r="306" spans="1:2">
      <c r="A306">
        <v>304</v>
      </c>
      <c r="B306">
        <v>10.216854884553634</v>
      </c>
    </row>
    <row r="307" spans="1:2">
      <c r="A307">
        <v>305</v>
      </c>
      <c r="B307">
        <v>11.909496436718776</v>
      </c>
    </row>
    <row r="308" spans="1:2">
      <c r="A308">
        <v>306</v>
      </c>
      <c r="B308">
        <v>11.949694179361895</v>
      </c>
    </row>
    <row r="309" spans="1:2">
      <c r="A309">
        <v>307</v>
      </c>
      <c r="B309">
        <v>11.616256421095301</v>
      </c>
    </row>
    <row r="310" spans="1:2">
      <c r="A310">
        <v>308</v>
      </c>
      <c r="B310">
        <v>11.392075085667177</v>
      </c>
    </row>
    <row r="311" spans="1:2">
      <c r="A311">
        <v>309</v>
      </c>
      <c r="B311">
        <v>8.695569415430958</v>
      </c>
    </row>
    <row r="312" spans="1:2">
      <c r="A312">
        <v>310</v>
      </c>
      <c r="B312">
        <v>8.8042291868029583</v>
      </c>
    </row>
    <row r="313" spans="1:2">
      <c r="A313">
        <v>311</v>
      </c>
      <c r="B313">
        <v>8.766339553095392</v>
      </c>
    </row>
    <row r="314" spans="1:2">
      <c r="A314">
        <v>312</v>
      </c>
      <c r="B314">
        <v>10.700967970760736</v>
      </c>
    </row>
    <row r="315" spans="1:2">
      <c r="A315">
        <v>313</v>
      </c>
      <c r="B315">
        <v>8.5556341049033033</v>
      </c>
    </row>
    <row r="316" spans="1:2">
      <c r="A316">
        <v>314</v>
      </c>
      <c r="B316">
        <v>11.319400571594246</v>
      </c>
    </row>
    <row r="317" spans="1:2">
      <c r="A317">
        <v>315</v>
      </c>
      <c r="B317">
        <v>10.031538390953529</v>
      </c>
    </row>
    <row r="318" spans="1:2">
      <c r="A318">
        <v>316</v>
      </c>
      <c r="B318">
        <v>8.4581349117616806</v>
      </c>
    </row>
    <row r="319" spans="1:2">
      <c r="A319">
        <v>317</v>
      </c>
      <c r="B319">
        <v>10.343501501903303</v>
      </c>
    </row>
    <row r="320" spans="1:2">
      <c r="A320">
        <v>318</v>
      </c>
      <c r="B320">
        <v>11.043283294237909</v>
      </c>
    </row>
    <row r="321" spans="1:2">
      <c r="A321">
        <v>319</v>
      </c>
      <c r="B321">
        <v>8.5364076350741431</v>
      </c>
    </row>
    <row r="322" spans="1:2">
      <c r="A322">
        <v>320</v>
      </c>
      <c r="B322">
        <v>9.7660288696900182</v>
      </c>
    </row>
    <row r="323" spans="1:2">
      <c r="A323">
        <v>321</v>
      </c>
      <c r="B323">
        <v>9.0492761757730307</v>
      </c>
    </row>
    <row r="324" spans="1:2">
      <c r="A324">
        <v>322</v>
      </c>
      <c r="B324">
        <v>9.738129325756077</v>
      </c>
    </row>
    <row r="325" spans="1:2">
      <c r="A325">
        <v>323</v>
      </c>
      <c r="B325">
        <v>8.7807460321604776</v>
      </c>
    </row>
    <row r="326" spans="1:2">
      <c r="A326">
        <v>324</v>
      </c>
      <c r="B326">
        <v>10.89811708748096</v>
      </c>
    </row>
    <row r="327" spans="1:2">
      <c r="A327">
        <v>325</v>
      </c>
      <c r="B327">
        <v>9.0988968058387361</v>
      </c>
    </row>
    <row r="328" spans="1:2">
      <c r="A328">
        <v>326</v>
      </c>
      <c r="B328">
        <v>11.715065639668552</v>
      </c>
    </row>
    <row r="329" spans="1:2">
      <c r="A329">
        <v>327</v>
      </c>
      <c r="B329">
        <v>11.817274222673934</v>
      </c>
    </row>
    <row r="330" spans="1:2">
      <c r="A330">
        <v>328</v>
      </c>
      <c r="B330">
        <v>10.775575014860127</v>
      </c>
    </row>
    <row r="331" spans="1:2">
      <c r="A331">
        <v>329</v>
      </c>
      <c r="B331">
        <v>10.889592071925428</v>
      </c>
    </row>
    <row r="332" spans="1:2">
      <c r="A332">
        <v>330</v>
      </c>
      <c r="B332">
        <v>11.330625548110788</v>
      </c>
    </row>
    <row r="333" spans="1:2">
      <c r="A333">
        <v>331</v>
      </c>
      <c r="B333">
        <v>9.8541593205655076</v>
      </c>
    </row>
    <row r="334" spans="1:2">
      <c r="A334">
        <v>332</v>
      </c>
      <c r="B334">
        <v>10.942044874075837</v>
      </c>
    </row>
    <row r="335" spans="1:2">
      <c r="A335">
        <v>333</v>
      </c>
      <c r="B335">
        <v>10.498535393918042</v>
      </c>
    </row>
    <row r="336" spans="1:2">
      <c r="A336">
        <v>334</v>
      </c>
      <c r="B336">
        <v>8.0922893381213807</v>
      </c>
    </row>
    <row r="337" spans="1:2">
      <c r="A337">
        <v>335</v>
      </c>
      <c r="B337">
        <v>8.0851067279084106</v>
      </c>
    </row>
    <row r="338" spans="1:2">
      <c r="A338">
        <v>336</v>
      </c>
      <c r="B338">
        <v>11.018359950999582</v>
      </c>
    </row>
    <row r="339" spans="1:2">
      <c r="A339">
        <v>337</v>
      </c>
      <c r="B339">
        <v>8.3849493415820771</v>
      </c>
    </row>
    <row r="340" spans="1:2">
      <c r="A340">
        <v>338</v>
      </c>
      <c r="B340">
        <v>10.202778136546865</v>
      </c>
    </row>
    <row r="341" spans="1:2">
      <c r="A341">
        <v>339</v>
      </c>
      <c r="B341">
        <v>7.0174804283604599</v>
      </c>
    </row>
    <row r="342" spans="1:2">
      <c r="A342">
        <v>340</v>
      </c>
      <c r="B342">
        <v>9.2633839656123449</v>
      </c>
    </row>
    <row r="343" spans="1:2">
      <c r="A343">
        <v>341</v>
      </c>
      <c r="B343">
        <v>9.0342429322604207</v>
      </c>
    </row>
    <row r="344" spans="1:2">
      <c r="A344">
        <v>342</v>
      </c>
      <c r="B344">
        <v>10.633980678331815</v>
      </c>
    </row>
    <row r="345" spans="1:2">
      <c r="A345">
        <v>343</v>
      </c>
      <c r="B345">
        <v>8.4615531369853834</v>
      </c>
    </row>
    <row r="346" spans="1:2">
      <c r="A346">
        <v>344</v>
      </c>
      <c r="B346">
        <v>10.108038721622448</v>
      </c>
    </row>
    <row r="347" spans="1:2">
      <c r="A347">
        <v>345</v>
      </c>
      <c r="B347">
        <v>10.592219289076356</v>
      </c>
    </row>
    <row r="348" spans="1:2">
      <c r="A348">
        <v>346</v>
      </c>
      <c r="B348">
        <v>10.920941835864975</v>
      </c>
    </row>
    <row r="349" spans="1:2">
      <c r="A349">
        <v>347</v>
      </c>
      <c r="B349">
        <v>9.0800589783001229</v>
      </c>
    </row>
    <row r="350" spans="1:2">
      <c r="A350">
        <v>348</v>
      </c>
      <c r="B350">
        <v>8.5050128970269139</v>
      </c>
    </row>
    <row r="351" spans="1:2">
      <c r="A351">
        <v>349</v>
      </c>
      <c r="B351">
        <v>9.5459813509091234</v>
      </c>
    </row>
    <row r="352" spans="1:2">
      <c r="A352">
        <v>350</v>
      </c>
      <c r="B352">
        <v>8.6934930219908466</v>
      </c>
    </row>
    <row r="353" spans="1:2">
      <c r="A353">
        <v>351</v>
      </c>
      <c r="B353">
        <v>8.1841327637923698</v>
      </c>
    </row>
    <row r="354" spans="1:2">
      <c r="A354">
        <v>352</v>
      </c>
      <c r="B354">
        <v>9.6875090049530215</v>
      </c>
    </row>
    <row r="355" spans="1:2">
      <c r="A355">
        <v>353</v>
      </c>
      <c r="B355">
        <v>11.312928252655905</v>
      </c>
    </row>
    <row r="356" spans="1:2">
      <c r="A356">
        <v>354</v>
      </c>
      <c r="B356">
        <v>8.9576623957678514</v>
      </c>
    </row>
    <row r="357" spans="1:2">
      <c r="A357">
        <v>355</v>
      </c>
      <c r="B357">
        <v>7.9037429528727188</v>
      </c>
    </row>
    <row r="358" spans="1:2">
      <c r="A358">
        <v>356</v>
      </c>
      <c r="B358">
        <v>10.465798878729728</v>
      </c>
    </row>
    <row r="359" spans="1:2">
      <c r="A359">
        <v>357</v>
      </c>
      <c r="B359">
        <v>8.4449407584940293</v>
      </c>
    </row>
    <row r="360" spans="1:2">
      <c r="A360">
        <v>358</v>
      </c>
      <c r="B360">
        <v>8.0973067892936665</v>
      </c>
    </row>
    <row r="361" spans="1:2">
      <c r="A361">
        <v>359</v>
      </c>
      <c r="B361">
        <v>7.3089260953840558</v>
      </c>
    </row>
    <row r="362" spans="1:2">
      <c r="A362">
        <v>360</v>
      </c>
      <c r="B362">
        <v>8.4928682072642339</v>
      </c>
    </row>
    <row r="363" spans="1:2">
      <c r="A363">
        <v>361</v>
      </c>
      <c r="B363">
        <v>6.5492104618438542</v>
      </c>
    </row>
    <row r="364" spans="1:2">
      <c r="A364">
        <v>362</v>
      </c>
      <c r="B364">
        <v>7.0986880022043799</v>
      </c>
    </row>
    <row r="365" spans="1:2">
      <c r="A365">
        <v>363</v>
      </c>
      <c r="B365">
        <v>7.9654922543348814</v>
      </c>
    </row>
    <row r="366" spans="1:2">
      <c r="A366">
        <v>364</v>
      </c>
      <c r="B366">
        <v>9.375835295882716</v>
      </c>
    </row>
    <row r="367" spans="1:2">
      <c r="A367">
        <v>365</v>
      </c>
      <c r="B367">
        <v>7.5058027701921333</v>
      </c>
    </row>
    <row r="368" spans="1:2">
      <c r="A368">
        <v>366</v>
      </c>
      <c r="B368">
        <v>9.3055301734043869</v>
      </c>
    </row>
    <row r="369" spans="1:2">
      <c r="A369">
        <v>367</v>
      </c>
      <c r="B369">
        <v>5.8939859277933149</v>
      </c>
    </row>
    <row r="370" spans="1:2">
      <c r="A370">
        <v>368</v>
      </c>
      <c r="B370">
        <v>7.0746015570920271</v>
      </c>
    </row>
    <row r="371" spans="1:2">
      <c r="A371">
        <v>369</v>
      </c>
      <c r="B371">
        <v>8.9667519485852161</v>
      </c>
    </row>
    <row r="372" spans="1:2">
      <c r="A372">
        <v>370</v>
      </c>
      <c r="B372">
        <v>6.2885133348481821</v>
      </c>
    </row>
    <row r="373" spans="1:2">
      <c r="A373">
        <v>371</v>
      </c>
      <c r="B373">
        <v>6.3941242567665437</v>
      </c>
    </row>
    <row r="374" spans="1:2">
      <c r="A374">
        <v>372</v>
      </c>
      <c r="B374">
        <v>8.3650709141845176</v>
      </c>
    </row>
    <row r="375" spans="1:2">
      <c r="A375">
        <v>373</v>
      </c>
      <c r="B375">
        <v>9.3520960387313252</v>
      </c>
    </row>
    <row r="376" spans="1:2">
      <c r="A376">
        <v>374</v>
      </c>
      <c r="B376">
        <v>8.673365197457553</v>
      </c>
    </row>
    <row r="377" spans="1:2">
      <c r="A377">
        <v>375</v>
      </c>
      <c r="B377">
        <v>7.915784151409305</v>
      </c>
    </row>
    <row r="378" spans="1:2">
      <c r="A378">
        <v>376</v>
      </c>
      <c r="B378">
        <v>6.9857732391216913</v>
      </c>
    </row>
    <row r="379" spans="1:2">
      <c r="A379">
        <v>377</v>
      </c>
      <c r="B379">
        <v>9.9796868262697007</v>
      </c>
    </row>
    <row r="380" spans="1:2">
      <c r="A380">
        <v>378</v>
      </c>
      <c r="B380">
        <v>7.1613860680566379</v>
      </c>
    </row>
    <row r="381" spans="1:2">
      <c r="A381">
        <v>379</v>
      </c>
      <c r="B381">
        <v>10.08395002752512</v>
      </c>
    </row>
    <row r="382" spans="1:2">
      <c r="A382">
        <v>380</v>
      </c>
      <c r="B382">
        <v>6.381923673878438</v>
      </c>
    </row>
    <row r="383" spans="1:2">
      <c r="A383">
        <v>381</v>
      </c>
      <c r="B383">
        <v>6.3379818121796365</v>
      </c>
    </row>
    <row r="384" spans="1:2">
      <c r="A384">
        <v>382</v>
      </c>
      <c r="B384">
        <v>6.3727994746686374</v>
      </c>
    </row>
    <row r="385" spans="1:2">
      <c r="A385">
        <v>383</v>
      </c>
      <c r="B385">
        <v>8.8112342781313711</v>
      </c>
    </row>
    <row r="386" spans="1:2">
      <c r="A386">
        <v>384</v>
      </c>
      <c r="B386">
        <v>8.9576902201460964</v>
      </c>
    </row>
    <row r="387" spans="1:2">
      <c r="A387">
        <v>385</v>
      </c>
      <c r="B387">
        <v>5.5869149554510349</v>
      </c>
    </row>
    <row r="388" spans="1:2">
      <c r="A388">
        <v>386</v>
      </c>
      <c r="B388">
        <v>5.5039576910271073</v>
      </c>
    </row>
    <row r="389" spans="1:2">
      <c r="A389">
        <v>387</v>
      </c>
      <c r="B389">
        <v>8.4633935141080929</v>
      </c>
    </row>
    <row r="390" spans="1:2">
      <c r="A390">
        <v>388</v>
      </c>
      <c r="B390">
        <v>7.5025157416243493</v>
      </c>
    </row>
    <row r="391" spans="1:2">
      <c r="A391">
        <v>389</v>
      </c>
      <c r="B391">
        <v>5.402532266537607</v>
      </c>
    </row>
    <row r="392" spans="1:2">
      <c r="A392">
        <v>390</v>
      </c>
      <c r="B392">
        <v>4.8767667808878894</v>
      </c>
    </row>
    <row r="393" spans="1:2">
      <c r="A393">
        <v>391</v>
      </c>
      <c r="B393">
        <v>6.7997955467696114</v>
      </c>
    </row>
    <row r="394" spans="1:2">
      <c r="A394">
        <v>392</v>
      </c>
      <c r="B394">
        <v>7.36746456197959</v>
      </c>
    </row>
    <row r="395" spans="1:2">
      <c r="A395">
        <v>393</v>
      </c>
      <c r="B395">
        <v>6.9759120613732275</v>
      </c>
    </row>
    <row r="396" spans="1:2">
      <c r="A396">
        <v>394</v>
      </c>
      <c r="B396">
        <v>4.5229859169780315</v>
      </c>
    </row>
    <row r="397" spans="1:2">
      <c r="A397">
        <v>395</v>
      </c>
      <c r="B397">
        <v>5.8486535578526784</v>
      </c>
    </row>
    <row r="398" spans="1:2">
      <c r="A398">
        <v>396</v>
      </c>
      <c r="B398">
        <v>8.2347492682129193</v>
      </c>
    </row>
    <row r="399" spans="1:2">
      <c r="A399">
        <v>397</v>
      </c>
      <c r="B399">
        <v>7.3696524336243039</v>
      </c>
    </row>
    <row r="400" spans="1:2">
      <c r="A400">
        <v>398</v>
      </c>
      <c r="B400">
        <v>5.7481131374090246</v>
      </c>
    </row>
    <row r="401" spans="1:2">
      <c r="A401">
        <v>399</v>
      </c>
      <c r="B401">
        <v>6.185277617563079</v>
      </c>
    </row>
    <row r="402" spans="1:2">
      <c r="A402">
        <v>400</v>
      </c>
      <c r="B402">
        <v>5.8180980379430878</v>
      </c>
    </row>
    <row r="403" spans="1:2">
      <c r="A403">
        <v>401</v>
      </c>
      <c r="B403">
        <v>7.0861481556864172</v>
      </c>
    </row>
    <row r="404" spans="1:2">
      <c r="A404">
        <v>402</v>
      </c>
      <c r="B404">
        <v>8.7917268526672263</v>
      </c>
    </row>
    <row r="405" spans="1:2">
      <c r="A405">
        <v>403</v>
      </c>
      <c r="B405">
        <v>6.0448793961189491</v>
      </c>
    </row>
    <row r="406" spans="1:2">
      <c r="A406">
        <v>404</v>
      </c>
      <c r="B406">
        <v>8.5460297618215861</v>
      </c>
    </row>
    <row r="407" spans="1:2">
      <c r="A407">
        <v>405</v>
      </c>
      <c r="B407">
        <v>7.2590439578154049</v>
      </c>
    </row>
    <row r="408" spans="1:2">
      <c r="A408">
        <v>406</v>
      </c>
      <c r="B408">
        <v>6.6256860891320297</v>
      </c>
    </row>
    <row r="409" spans="1:2">
      <c r="A409">
        <v>407</v>
      </c>
      <c r="B409">
        <v>8.1382920776013297</v>
      </c>
    </row>
    <row r="410" spans="1:2">
      <c r="A410">
        <v>408</v>
      </c>
      <c r="B410">
        <v>5.0253218398862849</v>
      </c>
    </row>
    <row r="411" spans="1:2">
      <c r="A411">
        <v>409</v>
      </c>
      <c r="B411">
        <v>5.5247111661228132</v>
      </c>
    </row>
    <row r="412" spans="1:2">
      <c r="A412">
        <v>410</v>
      </c>
      <c r="B412">
        <v>5.100915754528887</v>
      </c>
    </row>
    <row r="413" spans="1:2">
      <c r="A413">
        <v>411</v>
      </c>
      <c r="B413">
        <v>8.2201536921123015</v>
      </c>
    </row>
    <row r="414" spans="1:2">
      <c r="A414">
        <v>412</v>
      </c>
      <c r="B414">
        <v>4.8111997309479033</v>
      </c>
    </row>
    <row r="415" spans="1:2">
      <c r="A415">
        <v>413</v>
      </c>
      <c r="B415">
        <v>7.0180460076938402</v>
      </c>
    </row>
    <row r="416" spans="1:2">
      <c r="A416">
        <v>414</v>
      </c>
      <c r="B416">
        <v>7.6423941229753698</v>
      </c>
    </row>
    <row r="417" spans="1:2">
      <c r="A417">
        <v>415</v>
      </c>
      <c r="B417">
        <v>4.4493952265122401</v>
      </c>
    </row>
    <row r="418" spans="1:2">
      <c r="A418">
        <v>416</v>
      </c>
      <c r="B418">
        <v>5.0864426874435162</v>
      </c>
    </row>
    <row r="419" spans="1:2">
      <c r="A419">
        <v>417</v>
      </c>
      <c r="B419">
        <v>5.8628045232846704</v>
      </c>
    </row>
    <row r="420" spans="1:2">
      <c r="A420">
        <v>418</v>
      </c>
      <c r="B420">
        <v>4.7559683080387183</v>
      </c>
    </row>
    <row r="421" spans="1:2">
      <c r="A421">
        <v>419</v>
      </c>
      <c r="B421">
        <v>5.8999238743144442</v>
      </c>
    </row>
    <row r="422" spans="1:2">
      <c r="A422">
        <v>420</v>
      </c>
      <c r="B422">
        <v>5.1206665323349618</v>
      </c>
    </row>
    <row r="423" spans="1:2">
      <c r="A423">
        <v>421</v>
      </c>
      <c r="B423">
        <v>6.5878727660746463</v>
      </c>
    </row>
    <row r="424" spans="1:2">
      <c r="A424">
        <v>422</v>
      </c>
      <c r="B424">
        <v>4.0698903602380962</v>
      </c>
    </row>
    <row r="425" spans="1:2">
      <c r="A425">
        <v>423</v>
      </c>
      <c r="B425">
        <v>4.4025259402373846</v>
      </c>
    </row>
    <row r="426" spans="1:2">
      <c r="A426">
        <v>424</v>
      </c>
      <c r="B426">
        <v>5.2358538689109118</v>
      </c>
    </row>
    <row r="427" spans="1:2">
      <c r="A427">
        <v>425</v>
      </c>
      <c r="B427">
        <v>3.8327764225373131</v>
      </c>
    </row>
    <row r="428" spans="1:2">
      <c r="A428">
        <v>426</v>
      </c>
      <c r="B428">
        <v>5.3857147044364293</v>
      </c>
    </row>
    <row r="429" spans="1:2">
      <c r="A429">
        <v>427</v>
      </c>
      <c r="B429">
        <v>6.4504400998613063</v>
      </c>
    </row>
    <row r="430" spans="1:2">
      <c r="A430">
        <v>428</v>
      </c>
      <c r="B430">
        <v>4.1233371370238823</v>
      </c>
    </row>
    <row r="431" spans="1:2">
      <c r="A431">
        <v>429</v>
      </c>
      <c r="B431">
        <v>6.8494751495313899</v>
      </c>
    </row>
    <row r="432" spans="1:2">
      <c r="A432">
        <v>430</v>
      </c>
      <c r="B432">
        <v>5.0131106946402246</v>
      </c>
    </row>
    <row r="433" spans="1:2">
      <c r="A433">
        <v>431</v>
      </c>
      <c r="B433">
        <v>6.5177797601210106</v>
      </c>
    </row>
    <row r="434" spans="1:2">
      <c r="A434">
        <v>432</v>
      </c>
      <c r="B434">
        <v>7.5541821608073736</v>
      </c>
    </row>
    <row r="435" spans="1:2">
      <c r="A435">
        <v>433</v>
      </c>
      <c r="B435">
        <v>6.9217570514176998</v>
      </c>
    </row>
    <row r="436" spans="1:2">
      <c r="A436">
        <v>434</v>
      </c>
      <c r="B436">
        <v>4.5312412902866512</v>
      </c>
    </row>
    <row r="437" spans="1:2">
      <c r="A437">
        <v>435</v>
      </c>
      <c r="B437">
        <v>5.8670750440741273</v>
      </c>
    </row>
    <row r="438" spans="1:2">
      <c r="A438">
        <v>436</v>
      </c>
      <c r="B438">
        <v>5.9742535843494267</v>
      </c>
    </row>
    <row r="439" spans="1:2">
      <c r="A439">
        <v>437</v>
      </c>
      <c r="B439">
        <v>7.3795682838582541</v>
      </c>
    </row>
    <row r="440" spans="1:2">
      <c r="A440">
        <v>438</v>
      </c>
      <c r="B440">
        <v>3.3634191039914185</v>
      </c>
    </row>
    <row r="441" spans="1:2">
      <c r="A441">
        <v>439</v>
      </c>
      <c r="B441">
        <v>3.6806161447647332</v>
      </c>
    </row>
    <row r="442" spans="1:2">
      <c r="A442">
        <v>440</v>
      </c>
      <c r="B442">
        <v>6.7903368664926633</v>
      </c>
    </row>
    <row r="443" spans="1:2">
      <c r="A443">
        <v>441</v>
      </c>
      <c r="B443">
        <v>4.2023238101385134</v>
      </c>
    </row>
    <row r="444" spans="1:2">
      <c r="A444">
        <v>442</v>
      </c>
      <c r="B444">
        <v>3.960935490860916</v>
      </c>
    </row>
    <row r="445" spans="1:2">
      <c r="A445">
        <v>443</v>
      </c>
      <c r="B445">
        <v>3.3056409223940797</v>
      </c>
    </row>
    <row r="446" spans="1:2">
      <c r="A446">
        <v>444</v>
      </c>
      <c r="B446">
        <v>3.1065141364040776</v>
      </c>
    </row>
    <row r="447" spans="1:2">
      <c r="A447">
        <v>445</v>
      </c>
      <c r="B447">
        <v>2.8799149514019122</v>
      </c>
    </row>
    <row r="448" spans="1:2">
      <c r="A448">
        <v>446</v>
      </c>
      <c r="B448">
        <v>5.2934012993885471</v>
      </c>
    </row>
    <row r="449" spans="1:2">
      <c r="A449">
        <v>447</v>
      </c>
      <c r="B449">
        <v>6.071158702969087</v>
      </c>
    </row>
    <row r="450" spans="1:2">
      <c r="A450">
        <v>448</v>
      </c>
      <c r="B450">
        <v>4.3965416583307757</v>
      </c>
    </row>
    <row r="451" spans="1:2">
      <c r="A451">
        <v>449</v>
      </c>
      <c r="B451">
        <v>3.0995177836859926</v>
      </c>
    </row>
    <row r="452" spans="1:2">
      <c r="A452">
        <v>450</v>
      </c>
      <c r="B452">
        <v>3.541901797574126</v>
      </c>
    </row>
    <row r="453" spans="1:2">
      <c r="A453">
        <v>451</v>
      </c>
      <c r="B453">
        <v>5.7782947230539845</v>
      </c>
    </row>
    <row r="454" spans="1:2">
      <c r="A454">
        <v>452</v>
      </c>
      <c r="B454">
        <v>4.994316780394815</v>
      </c>
    </row>
    <row r="455" spans="1:2">
      <c r="A455">
        <v>453</v>
      </c>
      <c r="B455">
        <v>3.8062209387618497</v>
      </c>
    </row>
    <row r="456" spans="1:2">
      <c r="A456">
        <v>454</v>
      </c>
      <c r="B456">
        <v>3.8616557042909099</v>
      </c>
    </row>
    <row r="457" spans="1:2">
      <c r="A457">
        <v>455</v>
      </c>
      <c r="B457">
        <v>6.5036316678640418</v>
      </c>
    </row>
    <row r="458" spans="1:2">
      <c r="A458">
        <v>456</v>
      </c>
      <c r="B458">
        <v>3.2688949614349054</v>
      </c>
    </row>
    <row r="459" spans="1:2">
      <c r="A459">
        <v>457</v>
      </c>
      <c r="B459">
        <v>6.9342766004093246</v>
      </c>
    </row>
    <row r="460" spans="1:2">
      <c r="A460">
        <v>458</v>
      </c>
      <c r="B460">
        <v>4.8749237742709184</v>
      </c>
    </row>
    <row r="461" spans="1:2">
      <c r="A461">
        <v>459</v>
      </c>
      <c r="B461">
        <v>6.5171816158471252</v>
      </c>
    </row>
    <row r="462" spans="1:2">
      <c r="A462">
        <v>460</v>
      </c>
      <c r="B462">
        <v>5.0227881924771722</v>
      </c>
    </row>
    <row r="463" spans="1:2">
      <c r="A463">
        <v>461</v>
      </c>
      <c r="B463">
        <v>6.1663735116189375</v>
      </c>
    </row>
    <row r="464" spans="1:2">
      <c r="A464">
        <v>462</v>
      </c>
      <c r="B464">
        <v>4.1884948161941953</v>
      </c>
    </row>
    <row r="465" spans="1:2">
      <c r="A465">
        <v>463</v>
      </c>
      <c r="B465">
        <v>3.1971685872898412</v>
      </c>
    </row>
    <row r="466" spans="1:2">
      <c r="A466">
        <v>464</v>
      </c>
      <c r="B466">
        <v>4.9536353712986063</v>
      </c>
    </row>
    <row r="467" spans="1:2">
      <c r="A467">
        <v>465</v>
      </c>
      <c r="B467">
        <v>6.4872008375071175</v>
      </c>
    </row>
    <row r="468" spans="1:2">
      <c r="A468">
        <v>466</v>
      </c>
      <c r="B468">
        <v>3.927105852643042</v>
      </c>
    </row>
    <row r="469" spans="1:2">
      <c r="A469">
        <v>467</v>
      </c>
      <c r="B469">
        <v>6.5440963243774366</v>
      </c>
    </row>
    <row r="470" spans="1:2">
      <c r="A470">
        <v>468</v>
      </c>
      <c r="B470">
        <v>4.5369388636902368</v>
      </c>
    </row>
    <row r="471" spans="1:2">
      <c r="A471">
        <v>469</v>
      </c>
      <c r="B471">
        <v>5.1362835297124949</v>
      </c>
    </row>
    <row r="472" spans="1:2">
      <c r="A472">
        <v>470</v>
      </c>
      <c r="B472">
        <v>6.0240800488925217</v>
      </c>
    </row>
    <row r="473" spans="1:2">
      <c r="A473">
        <v>471</v>
      </c>
      <c r="B473">
        <v>3.3546110601367749</v>
      </c>
    </row>
    <row r="474" spans="1:2">
      <c r="A474">
        <v>472</v>
      </c>
      <c r="B474">
        <v>2.2017010515833224</v>
      </c>
    </row>
    <row r="475" spans="1:2">
      <c r="A475">
        <v>473</v>
      </c>
      <c r="B475">
        <v>5.7601564378064207</v>
      </c>
    </row>
    <row r="476" spans="1:2">
      <c r="A476">
        <v>474</v>
      </c>
      <c r="B476">
        <v>4.3330631286507693</v>
      </c>
    </row>
    <row r="477" spans="1:2">
      <c r="A477">
        <v>475</v>
      </c>
      <c r="B477">
        <v>2.536488976742783</v>
      </c>
    </row>
    <row r="478" spans="1:2">
      <c r="A478">
        <v>476</v>
      </c>
      <c r="B478">
        <v>4.9652679604010599</v>
      </c>
    </row>
    <row r="479" spans="1:2">
      <c r="A479">
        <v>477</v>
      </c>
      <c r="B479">
        <v>6.3329190771199002</v>
      </c>
    </row>
    <row r="480" spans="1:2">
      <c r="A480">
        <v>478</v>
      </c>
      <c r="B480">
        <v>5.3309134828963733</v>
      </c>
    </row>
    <row r="481" spans="1:2">
      <c r="A481">
        <v>479</v>
      </c>
      <c r="B481">
        <v>4.8491302788607795</v>
      </c>
    </row>
    <row r="482" spans="1:2">
      <c r="A482">
        <v>480</v>
      </c>
      <c r="B482">
        <v>6.4367677906721177</v>
      </c>
    </row>
    <row r="483" spans="1:2">
      <c r="A483">
        <v>481</v>
      </c>
      <c r="B483">
        <v>4.1940843867416033</v>
      </c>
    </row>
    <row r="484" spans="1:2">
      <c r="A484">
        <v>482</v>
      </c>
      <c r="B484">
        <v>6.4868822338722749</v>
      </c>
    </row>
    <row r="485" spans="1:2">
      <c r="A485">
        <v>483</v>
      </c>
      <c r="B485">
        <v>4.3432349756920727</v>
      </c>
    </row>
    <row r="486" spans="1:2">
      <c r="A486">
        <v>484</v>
      </c>
      <c r="B486">
        <v>6.0529617496035879</v>
      </c>
    </row>
    <row r="487" spans="1:2">
      <c r="A487">
        <v>485</v>
      </c>
      <c r="B487">
        <v>3.7135689344800284</v>
      </c>
    </row>
    <row r="488" spans="1:2">
      <c r="A488">
        <v>486</v>
      </c>
      <c r="B488">
        <v>6.565438462533856</v>
      </c>
    </row>
    <row r="489" spans="1:2">
      <c r="A489">
        <v>487</v>
      </c>
      <c r="B489">
        <v>6.9789517873578166</v>
      </c>
    </row>
    <row r="490" spans="1:2">
      <c r="A490">
        <v>488</v>
      </c>
      <c r="B490">
        <v>6.1952470470857053</v>
      </c>
    </row>
    <row r="491" spans="1:2">
      <c r="A491">
        <v>489</v>
      </c>
      <c r="B491">
        <v>5.2875920377345782</v>
      </c>
    </row>
    <row r="492" spans="1:2">
      <c r="A492">
        <v>490</v>
      </c>
      <c r="B492">
        <v>4.9549159663866309</v>
      </c>
    </row>
    <row r="493" spans="1:2">
      <c r="A493">
        <v>491</v>
      </c>
      <c r="B493">
        <v>4.6379793175402719</v>
      </c>
    </row>
    <row r="494" spans="1:2">
      <c r="A494">
        <v>492</v>
      </c>
      <c r="B494">
        <v>4.2359666735936266</v>
      </c>
    </row>
    <row r="495" spans="1:2">
      <c r="A495">
        <v>493</v>
      </c>
      <c r="B495">
        <v>3.0703103376671352</v>
      </c>
    </row>
    <row r="496" spans="1:2">
      <c r="A496">
        <v>494</v>
      </c>
      <c r="B496">
        <v>5.2729447873260451</v>
      </c>
    </row>
    <row r="497" spans="1:2">
      <c r="A497">
        <v>495</v>
      </c>
      <c r="B497">
        <v>6.0068738196507994</v>
      </c>
    </row>
    <row r="498" spans="1:2">
      <c r="A498">
        <v>496</v>
      </c>
      <c r="B498">
        <v>5.1315135339213747</v>
      </c>
    </row>
    <row r="499" spans="1:2">
      <c r="A499">
        <v>497</v>
      </c>
      <c r="B499">
        <v>2.9782916557712458</v>
      </c>
    </row>
    <row r="500" spans="1:2">
      <c r="A500">
        <v>498</v>
      </c>
      <c r="B500">
        <v>6.3057605954473956</v>
      </c>
    </row>
    <row r="501" spans="1:2">
      <c r="A501">
        <v>499</v>
      </c>
      <c r="B501">
        <v>5.8398902644942972</v>
      </c>
    </row>
    <row r="502" spans="1:2">
      <c r="A502">
        <v>500</v>
      </c>
      <c r="B502">
        <v>3.8813262720595967</v>
      </c>
    </row>
    <row r="503" spans="1:2">
      <c r="A503">
        <v>501</v>
      </c>
      <c r="B503">
        <v>2.8678520853827996</v>
      </c>
    </row>
    <row r="504" spans="1:2">
      <c r="A504">
        <v>502</v>
      </c>
      <c r="B504">
        <v>4.0080728451039063</v>
      </c>
    </row>
    <row r="505" spans="1:2">
      <c r="A505">
        <v>503</v>
      </c>
      <c r="B505">
        <v>6.6526952513077919</v>
      </c>
    </row>
    <row r="506" spans="1:2">
      <c r="A506">
        <v>504</v>
      </c>
      <c r="B506">
        <v>3.206402057713809</v>
      </c>
    </row>
    <row r="507" spans="1:2">
      <c r="A507">
        <v>505</v>
      </c>
      <c r="B507">
        <v>5.9715062907078877</v>
      </c>
    </row>
    <row r="508" spans="1:2">
      <c r="A508">
        <v>506</v>
      </c>
      <c r="B508">
        <v>3.8962139283209964</v>
      </c>
    </row>
    <row r="509" spans="1:2">
      <c r="A509">
        <v>507</v>
      </c>
      <c r="B509">
        <v>7.0140351147202828</v>
      </c>
    </row>
    <row r="510" spans="1:2">
      <c r="A510">
        <v>508</v>
      </c>
      <c r="B510">
        <v>5.5497998158708857</v>
      </c>
    </row>
    <row r="511" spans="1:2">
      <c r="A511">
        <v>509</v>
      </c>
      <c r="B511">
        <v>7.362699888022382</v>
      </c>
    </row>
    <row r="512" spans="1:2">
      <c r="A512">
        <v>510</v>
      </c>
      <c r="B512">
        <v>4.9439542061794581</v>
      </c>
    </row>
    <row r="513" spans="1:2">
      <c r="A513">
        <v>511</v>
      </c>
      <c r="B513">
        <v>5.6091745839334157</v>
      </c>
    </row>
    <row r="514" spans="1:2">
      <c r="A514">
        <v>512</v>
      </c>
      <c r="B514">
        <v>5.9731686906729795</v>
      </c>
    </row>
    <row r="515" spans="1:2">
      <c r="A515">
        <v>513</v>
      </c>
      <c r="B515">
        <v>4.1614473547202397</v>
      </c>
    </row>
    <row r="516" spans="1:2">
      <c r="A516">
        <v>514</v>
      </c>
      <c r="B516">
        <v>7.3158960731766118</v>
      </c>
    </row>
    <row r="517" spans="1:2">
      <c r="A517">
        <v>515</v>
      </c>
      <c r="B517">
        <v>5.7975442812343969</v>
      </c>
    </row>
    <row r="518" spans="1:2">
      <c r="A518">
        <v>516</v>
      </c>
      <c r="B518">
        <v>7.0478201404979082</v>
      </c>
    </row>
    <row r="519" spans="1:2">
      <c r="A519">
        <v>517</v>
      </c>
      <c r="B519">
        <v>4.8140449934684488</v>
      </c>
    </row>
    <row r="520" spans="1:2">
      <c r="A520">
        <v>518</v>
      </c>
      <c r="B520">
        <v>6.293889455568408</v>
      </c>
    </row>
    <row r="521" spans="1:2">
      <c r="A521">
        <v>519</v>
      </c>
      <c r="B521">
        <v>5.901341403924981</v>
      </c>
    </row>
    <row r="522" spans="1:2">
      <c r="A522">
        <v>520</v>
      </c>
      <c r="B522">
        <v>6.2211739097534906</v>
      </c>
    </row>
    <row r="523" spans="1:2">
      <c r="A523">
        <v>521</v>
      </c>
      <c r="B523">
        <v>5.7452939985969858</v>
      </c>
    </row>
    <row r="524" spans="1:2">
      <c r="A524">
        <v>522</v>
      </c>
      <c r="B524">
        <v>4.4837817706021692</v>
      </c>
    </row>
    <row r="525" spans="1:2">
      <c r="A525">
        <v>523</v>
      </c>
      <c r="B525">
        <v>3.8152585003552622</v>
      </c>
    </row>
    <row r="526" spans="1:2">
      <c r="A526">
        <v>524</v>
      </c>
      <c r="B526">
        <v>4.0581275347612138</v>
      </c>
    </row>
    <row r="527" spans="1:2">
      <c r="A527">
        <v>525</v>
      </c>
      <c r="B527">
        <v>3.6945778189454952</v>
      </c>
    </row>
    <row r="528" spans="1:2">
      <c r="A528">
        <v>526</v>
      </c>
      <c r="B528">
        <v>6.732758533499819</v>
      </c>
    </row>
    <row r="529" spans="1:2">
      <c r="A529">
        <v>527</v>
      </c>
      <c r="B529">
        <v>5.6177168652923486</v>
      </c>
    </row>
    <row r="530" spans="1:2">
      <c r="A530">
        <v>528</v>
      </c>
      <c r="B530">
        <v>4.9283101418164552</v>
      </c>
    </row>
    <row r="531" spans="1:2">
      <c r="A531">
        <v>529</v>
      </c>
      <c r="B531">
        <v>6.7930876240262075</v>
      </c>
    </row>
    <row r="532" spans="1:2">
      <c r="A532">
        <v>530</v>
      </c>
      <c r="B532">
        <v>5.8851438835299117</v>
      </c>
    </row>
    <row r="533" spans="1:2">
      <c r="A533">
        <v>531</v>
      </c>
      <c r="B533">
        <v>5.3344492312164302</v>
      </c>
    </row>
    <row r="534" spans="1:2">
      <c r="A534">
        <v>532</v>
      </c>
      <c r="B534">
        <v>6.657977637972075</v>
      </c>
    </row>
    <row r="535" spans="1:2">
      <c r="A535">
        <v>533</v>
      </c>
      <c r="B535">
        <v>6.6731257372891424</v>
      </c>
    </row>
    <row r="536" spans="1:2">
      <c r="A536">
        <v>534</v>
      </c>
      <c r="B536">
        <v>5.0636256321777715</v>
      </c>
    </row>
    <row r="537" spans="1:2">
      <c r="A537">
        <v>535</v>
      </c>
      <c r="B537">
        <v>6.3832479054622899</v>
      </c>
    </row>
    <row r="538" spans="1:2">
      <c r="A538">
        <v>536</v>
      </c>
      <c r="B538">
        <v>7.8736471406795268</v>
      </c>
    </row>
    <row r="539" spans="1:2">
      <c r="A539">
        <v>537</v>
      </c>
      <c r="B539">
        <v>6.816359605352865</v>
      </c>
    </row>
    <row r="540" spans="1:2">
      <c r="A540">
        <v>538</v>
      </c>
      <c r="B540">
        <v>7.0913154710918631</v>
      </c>
    </row>
    <row r="541" spans="1:2">
      <c r="A541">
        <v>539</v>
      </c>
      <c r="B541">
        <v>7.3678206273629652</v>
      </c>
    </row>
    <row r="542" spans="1:2">
      <c r="A542">
        <v>540</v>
      </c>
      <c r="B542">
        <v>8.6330651125919751</v>
      </c>
    </row>
    <row r="543" spans="1:2">
      <c r="A543">
        <v>541</v>
      </c>
      <c r="B543">
        <v>8.6113644043829467</v>
      </c>
    </row>
    <row r="544" spans="1:2">
      <c r="A544">
        <v>542</v>
      </c>
      <c r="B544">
        <v>8.1829119381269191</v>
      </c>
    </row>
    <row r="545" spans="1:2">
      <c r="A545">
        <v>543</v>
      </c>
      <c r="B545">
        <v>6.5935559418119558</v>
      </c>
    </row>
    <row r="546" spans="1:2">
      <c r="A546">
        <v>544</v>
      </c>
      <c r="B546">
        <v>8.2541108523829205</v>
      </c>
    </row>
    <row r="547" spans="1:2">
      <c r="A547">
        <v>545</v>
      </c>
      <c r="B547">
        <v>7.3975555546377603</v>
      </c>
    </row>
    <row r="548" spans="1:2">
      <c r="A548">
        <v>546</v>
      </c>
      <c r="B548">
        <v>6.889191794074363</v>
      </c>
    </row>
    <row r="549" spans="1:2">
      <c r="A549">
        <v>547</v>
      </c>
      <c r="B549">
        <v>5.1002976450315254</v>
      </c>
    </row>
    <row r="550" spans="1:2">
      <c r="A550">
        <v>548</v>
      </c>
      <c r="B550">
        <v>5.7679258894324805</v>
      </c>
    </row>
    <row r="551" spans="1:2">
      <c r="A551">
        <v>549</v>
      </c>
      <c r="B551">
        <v>7.0066717460779824</v>
      </c>
    </row>
    <row r="552" spans="1:2">
      <c r="A552">
        <v>550</v>
      </c>
      <c r="B552">
        <v>4.76557508487193</v>
      </c>
    </row>
    <row r="553" spans="1:2">
      <c r="A553">
        <v>551</v>
      </c>
      <c r="B553">
        <v>5.6651653766812862</v>
      </c>
    </row>
    <row r="554" spans="1:2">
      <c r="A554">
        <v>552</v>
      </c>
      <c r="B554">
        <v>7.5735974212117574</v>
      </c>
    </row>
    <row r="555" spans="1:2">
      <c r="A555">
        <v>553</v>
      </c>
      <c r="B555">
        <v>4.9851860647914155</v>
      </c>
    </row>
    <row r="556" spans="1:2">
      <c r="A556">
        <v>554</v>
      </c>
      <c r="B556">
        <v>6.9629776828488383</v>
      </c>
    </row>
    <row r="557" spans="1:2">
      <c r="A557">
        <v>555</v>
      </c>
      <c r="B557">
        <v>8.6117553337604971</v>
      </c>
    </row>
    <row r="558" spans="1:2">
      <c r="A558">
        <v>556</v>
      </c>
      <c r="B558">
        <v>5.6408204518236023</v>
      </c>
    </row>
    <row r="559" spans="1:2">
      <c r="A559">
        <v>557</v>
      </c>
      <c r="B559">
        <v>6.9766165088864964</v>
      </c>
    </row>
    <row r="560" spans="1:2">
      <c r="A560">
        <v>558</v>
      </c>
      <c r="B560">
        <v>7.7789929086470497</v>
      </c>
    </row>
    <row r="561" spans="1:2">
      <c r="A561">
        <v>559</v>
      </c>
      <c r="B561">
        <v>5.7494786575889902</v>
      </c>
    </row>
    <row r="562" spans="1:2">
      <c r="A562">
        <v>560</v>
      </c>
      <c r="B562">
        <v>9.1894598114093284</v>
      </c>
    </row>
    <row r="563" spans="1:2">
      <c r="A563">
        <v>561</v>
      </c>
      <c r="B563">
        <v>7.1820239838326243</v>
      </c>
    </row>
    <row r="564" spans="1:2">
      <c r="A564">
        <v>562</v>
      </c>
      <c r="B564">
        <v>6.5707380596082885</v>
      </c>
    </row>
    <row r="565" spans="1:2">
      <c r="A565">
        <v>563</v>
      </c>
      <c r="B565">
        <v>6.4229492341296899</v>
      </c>
    </row>
    <row r="566" spans="1:2">
      <c r="A566">
        <v>564</v>
      </c>
      <c r="B566">
        <v>7.2283300576285416</v>
      </c>
    </row>
    <row r="567" spans="1:2">
      <c r="A567">
        <v>565</v>
      </c>
      <c r="B567">
        <v>9.6493799429010245</v>
      </c>
    </row>
    <row r="568" spans="1:2">
      <c r="A568">
        <v>566</v>
      </c>
      <c r="B568">
        <v>7.4268261241355811</v>
      </c>
    </row>
    <row r="569" spans="1:2">
      <c r="A569">
        <v>567</v>
      </c>
      <c r="B569">
        <v>8.5752466862229184</v>
      </c>
    </row>
    <row r="570" spans="1:2">
      <c r="A570">
        <v>568</v>
      </c>
      <c r="B570">
        <v>7.5383926638300593</v>
      </c>
    </row>
    <row r="571" spans="1:2">
      <c r="A571">
        <v>569</v>
      </c>
      <c r="B571">
        <v>7.2326109041385891</v>
      </c>
    </row>
    <row r="572" spans="1:2">
      <c r="A572">
        <v>570</v>
      </c>
      <c r="B572">
        <v>7.2471305211746992</v>
      </c>
    </row>
    <row r="573" spans="1:2">
      <c r="A573">
        <v>571</v>
      </c>
      <c r="B573">
        <v>9.7802497819860115</v>
      </c>
    </row>
    <row r="574" spans="1:2">
      <c r="A574">
        <v>572</v>
      </c>
      <c r="B574">
        <v>7.5474737135896337</v>
      </c>
    </row>
    <row r="575" spans="1:2">
      <c r="A575">
        <v>573</v>
      </c>
      <c r="B575">
        <v>7.8720478496456661</v>
      </c>
    </row>
    <row r="576" spans="1:2">
      <c r="A576">
        <v>574</v>
      </c>
      <c r="B576">
        <v>10.081268346339055</v>
      </c>
    </row>
    <row r="577" spans="1:2">
      <c r="A577">
        <v>575</v>
      </c>
      <c r="B577">
        <v>7.2381823615652703</v>
      </c>
    </row>
    <row r="578" spans="1:2">
      <c r="A578">
        <v>576</v>
      </c>
      <c r="B578">
        <v>6.5605626412347213</v>
      </c>
    </row>
    <row r="579" spans="1:2">
      <c r="A579">
        <v>577</v>
      </c>
      <c r="B579">
        <v>7.323804908224365</v>
      </c>
    </row>
    <row r="580" spans="1:2">
      <c r="A580">
        <v>578</v>
      </c>
      <c r="B580">
        <v>8.1612753978530357</v>
      </c>
    </row>
    <row r="581" spans="1:2">
      <c r="A581">
        <v>579</v>
      </c>
      <c r="B581">
        <v>8.375899726631701</v>
      </c>
    </row>
    <row r="582" spans="1:2">
      <c r="A582">
        <v>580</v>
      </c>
      <c r="B582">
        <v>8.6326456822612414</v>
      </c>
    </row>
    <row r="583" spans="1:2">
      <c r="A583">
        <v>581</v>
      </c>
      <c r="B583">
        <v>7.6655342798033237</v>
      </c>
    </row>
    <row r="584" spans="1:2">
      <c r="A584">
        <v>582</v>
      </c>
      <c r="B584">
        <v>9.7278267860980154</v>
      </c>
    </row>
    <row r="585" spans="1:2">
      <c r="A585">
        <v>583</v>
      </c>
      <c r="B585">
        <v>9.4156338493733021</v>
      </c>
    </row>
    <row r="586" spans="1:2">
      <c r="A586">
        <v>584</v>
      </c>
      <c r="B586">
        <v>8.217633744271037</v>
      </c>
    </row>
    <row r="587" spans="1:2">
      <c r="A587">
        <v>585</v>
      </c>
      <c r="B587">
        <v>9.3411410422642778</v>
      </c>
    </row>
    <row r="588" spans="1:2">
      <c r="A588">
        <v>586</v>
      </c>
      <c r="B588">
        <v>7.4267008782272574</v>
      </c>
    </row>
    <row r="589" spans="1:2">
      <c r="A589">
        <v>587</v>
      </c>
      <c r="B589">
        <v>9.4226454315537538</v>
      </c>
    </row>
    <row r="590" spans="1:2">
      <c r="A590">
        <v>588</v>
      </c>
      <c r="B590">
        <v>9.1510991195326543</v>
      </c>
    </row>
    <row r="591" spans="1:2">
      <c r="A591">
        <v>589</v>
      </c>
      <c r="B591">
        <v>9.561737173515013</v>
      </c>
    </row>
    <row r="592" spans="1:2">
      <c r="A592">
        <v>590</v>
      </c>
      <c r="B592">
        <v>9.0799400886094634</v>
      </c>
    </row>
    <row r="593" spans="1:2">
      <c r="A593">
        <v>591</v>
      </c>
      <c r="B593">
        <v>11.006744017251904</v>
      </c>
    </row>
    <row r="594" spans="1:2">
      <c r="A594">
        <v>592</v>
      </c>
      <c r="B594">
        <v>11.06735756997295</v>
      </c>
    </row>
    <row r="595" spans="1:2">
      <c r="A595">
        <v>593</v>
      </c>
      <c r="B595">
        <v>11.022840694814255</v>
      </c>
    </row>
    <row r="596" spans="1:2">
      <c r="A596">
        <v>594</v>
      </c>
      <c r="B596">
        <v>8.6263992019579323</v>
      </c>
    </row>
    <row r="597" spans="1:2">
      <c r="A597">
        <v>595</v>
      </c>
      <c r="B597">
        <v>11.153962998528536</v>
      </c>
    </row>
    <row r="598" spans="1:2">
      <c r="A598">
        <v>596</v>
      </c>
      <c r="B598">
        <v>8.7812147714539108</v>
      </c>
    </row>
    <row r="599" spans="1:2">
      <c r="A599">
        <v>597</v>
      </c>
      <c r="B599">
        <v>11.429522434608041</v>
      </c>
    </row>
    <row r="600" spans="1:2">
      <c r="A600">
        <v>598</v>
      </c>
      <c r="B600">
        <v>11.616953652930126</v>
      </c>
    </row>
    <row r="601" spans="1:2">
      <c r="A601">
        <v>599</v>
      </c>
      <c r="B601">
        <v>8.7173606992029651</v>
      </c>
    </row>
    <row r="602" spans="1:2">
      <c r="A602">
        <v>600</v>
      </c>
      <c r="B602">
        <v>8.0764748811735991</v>
      </c>
    </row>
    <row r="603" spans="1:2">
      <c r="A603">
        <v>601</v>
      </c>
      <c r="B603">
        <v>8.5920662540390929</v>
      </c>
    </row>
    <row r="604" spans="1:2">
      <c r="A604">
        <v>602</v>
      </c>
      <c r="B604">
        <v>11.074450290099</v>
      </c>
    </row>
    <row r="605" spans="1:2">
      <c r="A605">
        <v>603</v>
      </c>
      <c r="B605">
        <v>9.4446098260876532</v>
      </c>
    </row>
    <row r="606" spans="1:2">
      <c r="A606">
        <v>604</v>
      </c>
      <c r="B606">
        <v>9.5877642293374166</v>
      </c>
    </row>
    <row r="607" spans="1:2">
      <c r="A607">
        <v>605</v>
      </c>
      <c r="B607">
        <v>11.159818744619262</v>
      </c>
    </row>
    <row r="608" spans="1:2">
      <c r="A608">
        <v>606</v>
      </c>
      <c r="B608">
        <v>7.8157414770737015</v>
      </c>
    </row>
    <row r="609" spans="1:2">
      <c r="A609">
        <v>607</v>
      </c>
      <c r="B609">
        <v>10.857440422161343</v>
      </c>
    </row>
    <row r="610" spans="1:2">
      <c r="A610">
        <v>608</v>
      </c>
      <c r="B610">
        <v>10.715542895146994</v>
      </c>
    </row>
    <row r="611" spans="1:2">
      <c r="A611">
        <v>609</v>
      </c>
      <c r="B611">
        <v>11.151199967333877</v>
      </c>
    </row>
    <row r="612" spans="1:2">
      <c r="A612">
        <v>610</v>
      </c>
      <c r="B612">
        <v>9.9193256552181506</v>
      </c>
    </row>
    <row r="613" spans="1:2">
      <c r="A613">
        <v>611</v>
      </c>
      <c r="B613">
        <v>8.4910813467678956</v>
      </c>
    </row>
    <row r="614" spans="1:2">
      <c r="A614">
        <v>612</v>
      </c>
      <c r="B614">
        <v>8.3471780036629042</v>
      </c>
    </row>
    <row r="615" spans="1:2">
      <c r="A615">
        <v>613</v>
      </c>
      <c r="B615">
        <v>11.396138486910786</v>
      </c>
    </row>
    <row r="616" spans="1:2">
      <c r="A616">
        <v>614</v>
      </c>
      <c r="B616">
        <v>10.616582104005339</v>
      </c>
    </row>
    <row r="617" spans="1:2">
      <c r="A617">
        <v>615</v>
      </c>
      <c r="B617">
        <v>12.246685190865247</v>
      </c>
    </row>
    <row r="618" spans="1:2">
      <c r="A618">
        <v>616</v>
      </c>
      <c r="B618">
        <v>9.8208902133168401</v>
      </c>
    </row>
    <row r="619" spans="1:2">
      <c r="A619">
        <v>617</v>
      </c>
      <c r="B619">
        <v>10.025379825683771</v>
      </c>
    </row>
    <row r="620" spans="1:2">
      <c r="A620">
        <v>618</v>
      </c>
      <c r="B620">
        <v>12.146516095480459</v>
      </c>
    </row>
    <row r="621" spans="1:2">
      <c r="A621">
        <v>619</v>
      </c>
      <c r="B621">
        <v>12.33925372324927</v>
      </c>
    </row>
    <row r="622" spans="1:2">
      <c r="A622">
        <v>620</v>
      </c>
      <c r="B622">
        <v>10.662761420727477</v>
      </c>
    </row>
    <row r="623" spans="1:2">
      <c r="A623">
        <v>621</v>
      </c>
      <c r="B623">
        <v>12.336100867454265</v>
      </c>
    </row>
    <row r="624" spans="1:2">
      <c r="A624">
        <v>622</v>
      </c>
      <c r="B624">
        <v>9.9262376119780651</v>
      </c>
    </row>
    <row r="625" spans="1:2">
      <c r="A625">
        <v>623</v>
      </c>
      <c r="B625">
        <v>12.186513369349843</v>
      </c>
    </row>
    <row r="626" spans="1:2">
      <c r="A626">
        <v>624</v>
      </c>
      <c r="B626">
        <v>9.099413674201827</v>
      </c>
    </row>
    <row r="627" spans="1:2">
      <c r="A627">
        <v>625</v>
      </c>
      <c r="B627">
        <v>10.245885068919533</v>
      </c>
    </row>
    <row r="628" spans="1:2">
      <c r="A628">
        <v>626</v>
      </c>
      <c r="B628">
        <v>9.529732432373871</v>
      </c>
    </row>
    <row r="629" spans="1:2">
      <c r="A629">
        <v>627</v>
      </c>
      <c r="B629">
        <v>8.567468114784317</v>
      </c>
    </row>
    <row r="630" spans="1:2">
      <c r="A630">
        <v>628</v>
      </c>
      <c r="B630">
        <v>11.004121517507171</v>
      </c>
    </row>
    <row r="631" spans="1:2">
      <c r="A631">
        <v>629</v>
      </c>
      <c r="B631">
        <v>11.766210300351641</v>
      </c>
    </row>
    <row r="632" spans="1:2">
      <c r="A632">
        <v>630</v>
      </c>
      <c r="B632">
        <v>12.070761736080504</v>
      </c>
    </row>
    <row r="633" spans="1:2">
      <c r="A633">
        <v>631</v>
      </c>
      <c r="B633">
        <v>10.243882019860825</v>
      </c>
    </row>
    <row r="634" spans="1:2">
      <c r="A634">
        <v>632</v>
      </c>
      <c r="B634">
        <v>8.4623365601376346</v>
      </c>
    </row>
    <row r="635" spans="1:2">
      <c r="A635">
        <v>633</v>
      </c>
      <c r="B635">
        <v>11.949544502104752</v>
      </c>
    </row>
    <row r="636" spans="1:2">
      <c r="A636">
        <v>634</v>
      </c>
      <c r="B636">
        <v>10.438269827556379</v>
      </c>
    </row>
    <row r="637" spans="1:2">
      <c r="A637">
        <v>635</v>
      </c>
      <c r="B637">
        <v>8.7775357638304321</v>
      </c>
    </row>
    <row r="638" spans="1:2">
      <c r="A638">
        <v>636</v>
      </c>
      <c r="B638">
        <v>9.6601323636163219</v>
      </c>
    </row>
    <row r="639" spans="1:2">
      <c r="A639">
        <v>637</v>
      </c>
      <c r="B639">
        <v>11.590036204039917</v>
      </c>
    </row>
    <row r="640" spans="1:2">
      <c r="A640">
        <v>638</v>
      </c>
      <c r="B640">
        <v>9.9610218324055566</v>
      </c>
    </row>
    <row r="641" spans="1:2">
      <c r="A641">
        <v>639</v>
      </c>
      <c r="B641">
        <v>8.8083449621703878</v>
      </c>
    </row>
    <row r="642" spans="1:2">
      <c r="A642">
        <v>640</v>
      </c>
      <c r="B642">
        <v>11.811119393206175</v>
      </c>
    </row>
    <row r="643" spans="1:2">
      <c r="A643">
        <v>641</v>
      </c>
      <c r="B643">
        <v>10.293498378853627</v>
      </c>
    </row>
    <row r="644" spans="1:2">
      <c r="A644">
        <v>642</v>
      </c>
      <c r="B644">
        <v>11.989871390524588</v>
      </c>
    </row>
    <row r="645" spans="1:2">
      <c r="A645">
        <v>643</v>
      </c>
      <c r="B645">
        <v>9.3747293921600434</v>
      </c>
    </row>
    <row r="646" spans="1:2">
      <c r="A646">
        <v>644</v>
      </c>
      <c r="B646">
        <v>12.865126719907924</v>
      </c>
    </row>
    <row r="647" spans="1:2">
      <c r="A647">
        <v>645</v>
      </c>
      <c r="B647">
        <v>11.989725371997221</v>
      </c>
    </row>
    <row r="648" spans="1:2">
      <c r="A648">
        <v>646</v>
      </c>
      <c r="B648">
        <v>11.233204461789164</v>
      </c>
    </row>
    <row r="649" spans="1:2">
      <c r="A649">
        <v>647</v>
      </c>
      <c r="B649">
        <v>11.987653857988107</v>
      </c>
    </row>
    <row r="650" spans="1:2">
      <c r="A650">
        <v>648</v>
      </c>
      <c r="B650">
        <v>13.055955999587704</v>
      </c>
    </row>
    <row r="651" spans="1:2">
      <c r="A651">
        <v>649</v>
      </c>
      <c r="B651">
        <v>13.381611697634204</v>
      </c>
    </row>
    <row r="652" spans="1:2">
      <c r="A652">
        <v>650</v>
      </c>
      <c r="B652">
        <v>9.6601464208659102</v>
      </c>
    </row>
    <row r="653" spans="1:2">
      <c r="A653">
        <v>651</v>
      </c>
      <c r="B653">
        <v>10.205835946985072</v>
      </c>
    </row>
    <row r="654" spans="1:2">
      <c r="A654">
        <v>652</v>
      </c>
      <c r="B654">
        <v>12.307931324232641</v>
      </c>
    </row>
    <row r="655" spans="1:2">
      <c r="A655">
        <v>653</v>
      </c>
      <c r="B655">
        <v>9.1583648750288571</v>
      </c>
    </row>
    <row r="656" spans="1:2">
      <c r="A656">
        <v>654</v>
      </c>
      <c r="B656">
        <v>11.199362362959558</v>
      </c>
    </row>
    <row r="657" spans="1:2">
      <c r="A657">
        <v>655</v>
      </c>
      <c r="B657">
        <v>9.6130625428232364</v>
      </c>
    </row>
    <row r="658" spans="1:2">
      <c r="A658">
        <v>656</v>
      </c>
      <c r="B658">
        <v>9.1840023163347659</v>
      </c>
    </row>
    <row r="659" spans="1:2">
      <c r="A659">
        <v>657</v>
      </c>
      <c r="B659">
        <v>10.900580025609493</v>
      </c>
    </row>
    <row r="660" spans="1:2">
      <c r="A660">
        <v>658</v>
      </c>
      <c r="B660">
        <v>9.6312195695354337</v>
      </c>
    </row>
    <row r="661" spans="1:2">
      <c r="A661">
        <v>659</v>
      </c>
      <c r="B661">
        <v>9.7092461990028696</v>
      </c>
    </row>
    <row r="662" spans="1:2">
      <c r="A662">
        <v>660</v>
      </c>
      <c r="B662">
        <v>11.464099106176745</v>
      </c>
    </row>
    <row r="663" spans="1:2">
      <c r="A663">
        <v>661</v>
      </c>
      <c r="B663">
        <v>9.155397869431356</v>
      </c>
    </row>
    <row r="664" spans="1:2">
      <c r="A664">
        <v>662</v>
      </c>
      <c r="B664">
        <v>10.141806165583253</v>
      </c>
    </row>
    <row r="665" spans="1:2">
      <c r="A665">
        <v>663</v>
      </c>
      <c r="B665">
        <v>10.404272164045015</v>
      </c>
    </row>
    <row r="666" spans="1:2">
      <c r="A666">
        <v>664</v>
      </c>
      <c r="B666">
        <v>12.169312503838267</v>
      </c>
    </row>
    <row r="667" spans="1:2">
      <c r="A667">
        <v>665</v>
      </c>
      <c r="B667">
        <v>11.005215734166605</v>
      </c>
    </row>
    <row r="668" spans="1:2">
      <c r="A668">
        <v>666</v>
      </c>
      <c r="B668">
        <v>10.169629998682295</v>
      </c>
    </row>
    <row r="669" spans="1:2">
      <c r="A669">
        <v>667</v>
      </c>
      <c r="B669">
        <v>12.249971949032204</v>
      </c>
    </row>
    <row r="670" spans="1:2">
      <c r="A670">
        <v>668</v>
      </c>
      <c r="B670">
        <v>10.207854163217059</v>
      </c>
    </row>
    <row r="671" spans="1:2">
      <c r="A671">
        <v>669</v>
      </c>
      <c r="B671">
        <v>12.023159786287417</v>
      </c>
    </row>
    <row r="672" spans="1:2">
      <c r="A672">
        <v>670</v>
      </c>
      <c r="B672">
        <v>10.389966389517584</v>
      </c>
    </row>
    <row r="673" spans="1:2">
      <c r="A673">
        <v>671</v>
      </c>
      <c r="B673">
        <v>13.356315581516716</v>
      </c>
    </row>
    <row r="674" spans="1:2">
      <c r="A674">
        <v>672</v>
      </c>
      <c r="B674">
        <v>13.069086603686308</v>
      </c>
    </row>
    <row r="675" spans="1:2">
      <c r="A675">
        <v>673</v>
      </c>
      <c r="B675">
        <v>9.6913905049571838</v>
      </c>
    </row>
    <row r="676" spans="1:2">
      <c r="A676">
        <v>674</v>
      </c>
      <c r="B676">
        <v>13.23857860603926</v>
      </c>
    </row>
    <row r="677" spans="1:2">
      <c r="A677">
        <v>675</v>
      </c>
      <c r="B677">
        <v>13.108379020480683</v>
      </c>
    </row>
    <row r="678" spans="1:2">
      <c r="A678">
        <v>676</v>
      </c>
      <c r="B678">
        <v>10.235972959437559</v>
      </c>
    </row>
    <row r="679" spans="1:2">
      <c r="A679">
        <v>677</v>
      </c>
      <c r="B679">
        <v>10.126850942186582</v>
      </c>
    </row>
    <row r="680" spans="1:2">
      <c r="A680">
        <v>678</v>
      </c>
      <c r="B680">
        <v>12.199967636049543</v>
      </c>
    </row>
    <row r="681" spans="1:2">
      <c r="A681">
        <v>679</v>
      </c>
      <c r="B681">
        <v>11.19576955277153</v>
      </c>
    </row>
    <row r="682" spans="1:2">
      <c r="A682">
        <v>680</v>
      </c>
      <c r="B682">
        <v>8.92860603158414</v>
      </c>
    </row>
    <row r="683" spans="1:2">
      <c r="A683">
        <v>681</v>
      </c>
      <c r="B683">
        <v>12.716852705194103</v>
      </c>
    </row>
    <row r="684" spans="1:2">
      <c r="A684">
        <v>682</v>
      </c>
      <c r="B684">
        <v>12.531664400079254</v>
      </c>
    </row>
    <row r="685" spans="1:2">
      <c r="A685">
        <v>683</v>
      </c>
      <c r="B685">
        <v>11.700294521022895</v>
      </c>
    </row>
    <row r="686" spans="1:2">
      <c r="A686">
        <v>684</v>
      </c>
      <c r="B686">
        <v>11.353956397709364</v>
      </c>
    </row>
    <row r="687" spans="1:2">
      <c r="A687">
        <v>685</v>
      </c>
      <c r="B687">
        <v>8.9238765586104432</v>
      </c>
    </row>
    <row r="688" spans="1:2">
      <c r="A688">
        <v>686</v>
      </c>
      <c r="B688">
        <v>8.8162199415589466</v>
      </c>
    </row>
    <row r="689" spans="1:2">
      <c r="A689">
        <v>687</v>
      </c>
      <c r="B689">
        <v>11.698478122459292</v>
      </c>
    </row>
    <row r="690" spans="1:2">
      <c r="A690">
        <v>688</v>
      </c>
      <c r="B690">
        <v>11.645841866825092</v>
      </c>
    </row>
    <row r="691" spans="1:2">
      <c r="A691">
        <v>689</v>
      </c>
      <c r="B691">
        <v>9.2005090212094114</v>
      </c>
    </row>
    <row r="692" spans="1:2">
      <c r="A692">
        <v>690</v>
      </c>
      <c r="B692">
        <v>8.6654614509930994</v>
      </c>
    </row>
    <row r="693" spans="1:2">
      <c r="A693">
        <v>691</v>
      </c>
      <c r="B693">
        <v>10.569157746710207</v>
      </c>
    </row>
    <row r="694" spans="1:2">
      <c r="A694">
        <v>692</v>
      </c>
      <c r="B694">
        <v>9.6282936734461124</v>
      </c>
    </row>
    <row r="695" spans="1:2">
      <c r="A695">
        <v>693</v>
      </c>
      <c r="B695">
        <v>11.635486857783569</v>
      </c>
    </row>
    <row r="696" spans="1:2">
      <c r="A696">
        <v>694</v>
      </c>
      <c r="B696">
        <v>11.226674709151441</v>
      </c>
    </row>
    <row r="697" spans="1:2">
      <c r="A697">
        <v>695</v>
      </c>
      <c r="B697">
        <v>12.130911042457075</v>
      </c>
    </row>
    <row r="698" spans="1:2">
      <c r="A698">
        <v>696</v>
      </c>
      <c r="B698">
        <v>9.1181292013691984</v>
      </c>
    </row>
    <row r="699" spans="1:2">
      <c r="A699">
        <v>697</v>
      </c>
      <c r="B699">
        <v>11.649044456059567</v>
      </c>
    </row>
    <row r="700" spans="1:2">
      <c r="A700">
        <v>698</v>
      </c>
      <c r="B700">
        <v>10.450409918355618</v>
      </c>
    </row>
    <row r="701" spans="1:2">
      <c r="A701">
        <v>699</v>
      </c>
      <c r="B701">
        <v>11.083006757510336</v>
      </c>
    </row>
    <row r="702" spans="1:2">
      <c r="A702">
        <v>700</v>
      </c>
      <c r="B702">
        <v>10.859634764246554</v>
      </c>
    </row>
    <row r="703" spans="1:2">
      <c r="A703">
        <v>701</v>
      </c>
      <c r="B703">
        <v>10.756292699699154</v>
      </c>
    </row>
    <row r="704" spans="1:2">
      <c r="A704">
        <v>702</v>
      </c>
      <c r="B704">
        <v>12.382872990286454</v>
      </c>
    </row>
    <row r="705" spans="1:2">
      <c r="A705">
        <v>703</v>
      </c>
      <c r="B705">
        <v>11.71839291659758</v>
      </c>
    </row>
    <row r="706" spans="1:2">
      <c r="A706">
        <v>704</v>
      </c>
      <c r="B706">
        <v>11.221731544724486</v>
      </c>
    </row>
    <row r="707" spans="1:2">
      <c r="A707">
        <v>705</v>
      </c>
      <c r="B707">
        <v>10.842949247418575</v>
      </c>
    </row>
    <row r="708" spans="1:2">
      <c r="A708">
        <v>706</v>
      </c>
      <c r="B708">
        <v>12.047432218354611</v>
      </c>
    </row>
    <row r="709" spans="1:2">
      <c r="A709">
        <v>707</v>
      </c>
      <c r="B709">
        <v>10.477449455637981</v>
      </c>
    </row>
    <row r="710" spans="1:2">
      <c r="A710">
        <v>708</v>
      </c>
      <c r="B710">
        <v>11.39269426084592</v>
      </c>
    </row>
    <row r="711" spans="1:2">
      <c r="A711">
        <v>709</v>
      </c>
      <c r="B711">
        <v>11.89084269163193</v>
      </c>
    </row>
    <row r="712" spans="1:2">
      <c r="A712">
        <v>710</v>
      </c>
      <c r="B712">
        <v>7.9527146842646186</v>
      </c>
    </row>
    <row r="713" spans="1:2">
      <c r="A713">
        <v>711</v>
      </c>
      <c r="B713">
        <v>8.9861772100516859</v>
      </c>
    </row>
    <row r="714" spans="1:2">
      <c r="A714">
        <v>712</v>
      </c>
      <c r="B714">
        <v>8.1388209344877769</v>
      </c>
    </row>
    <row r="715" spans="1:2">
      <c r="A715">
        <v>713</v>
      </c>
      <c r="B715">
        <v>11.442872837251258</v>
      </c>
    </row>
    <row r="716" spans="1:2">
      <c r="A716">
        <v>714</v>
      </c>
      <c r="B716">
        <v>11.467843809498731</v>
      </c>
    </row>
    <row r="717" spans="1:2">
      <c r="A717">
        <v>715</v>
      </c>
      <c r="B717">
        <v>8.3117142536589679</v>
      </c>
    </row>
    <row r="718" spans="1:2">
      <c r="A718">
        <v>716</v>
      </c>
      <c r="B718">
        <v>8.7316328836313684</v>
      </c>
    </row>
    <row r="719" spans="1:2">
      <c r="A719">
        <v>717</v>
      </c>
      <c r="B719">
        <v>9.3437805569111134</v>
      </c>
    </row>
    <row r="720" spans="1:2">
      <c r="A720">
        <v>718</v>
      </c>
      <c r="B720">
        <v>9.8598236285485541</v>
      </c>
    </row>
    <row r="721" spans="1:2">
      <c r="A721">
        <v>719</v>
      </c>
      <c r="B721">
        <v>11.012900578484212</v>
      </c>
    </row>
    <row r="722" spans="1:2">
      <c r="A722">
        <v>720</v>
      </c>
      <c r="B722">
        <v>11.260148499945384</v>
      </c>
    </row>
    <row r="723" spans="1:2">
      <c r="A723">
        <v>721</v>
      </c>
      <c r="B723">
        <v>8.9337216428010908</v>
      </c>
    </row>
    <row r="724" spans="1:2">
      <c r="A724">
        <v>722</v>
      </c>
      <c r="B724">
        <v>7.9467453830845933</v>
      </c>
    </row>
    <row r="725" spans="1:2">
      <c r="A725">
        <v>723</v>
      </c>
      <c r="B725">
        <v>11.25555397207691</v>
      </c>
    </row>
    <row r="726" spans="1:2">
      <c r="A726">
        <v>724</v>
      </c>
      <c r="B726">
        <v>9.1213711733082423</v>
      </c>
    </row>
    <row r="727" spans="1:2">
      <c r="A727">
        <v>725</v>
      </c>
      <c r="B727">
        <v>8.4065491553883138</v>
      </c>
    </row>
    <row r="728" spans="1:2">
      <c r="A728">
        <v>726</v>
      </c>
      <c r="B728">
        <v>10.916675804049486</v>
      </c>
    </row>
    <row r="729" spans="1:2">
      <c r="A729">
        <v>727</v>
      </c>
      <c r="B729">
        <v>8.5200755734294908</v>
      </c>
    </row>
    <row r="730" spans="1:2">
      <c r="A730">
        <v>728</v>
      </c>
      <c r="B730">
        <v>9.7697686293409962</v>
      </c>
    </row>
    <row r="731" spans="1:2">
      <c r="A731">
        <v>729</v>
      </c>
      <c r="B731">
        <v>9.669140328953695</v>
      </c>
    </row>
    <row r="732" spans="1:2">
      <c r="A732">
        <v>730</v>
      </c>
      <c r="B732">
        <v>7.9766756913706729</v>
      </c>
    </row>
    <row r="733" spans="1:2">
      <c r="A733">
        <v>731</v>
      </c>
      <c r="B733">
        <v>8.6395982729994891</v>
      </c>
    </row>
    <row r="734" spans="1:2">
      <c r="A734">
        <v>732</v>
      </c>
      <c r="B734">
        <v>8.6621891889720377</v>
      </c>
    </row>
    <row r="735" spans="1:2">
      <c r="A735">
        <v>733</v>
      </c>
      <c r="B735">
        <v>8.9600618056619705</v>
      </c>
    </row>
    <row r="736" spans="1:2">
      <c r="A736">
        <v>734</v>
      </c>
      <c r="B736">
        <v>10.343973897921426</v>
      </c>
    </row>
    <row r="737" spans="1:2">
      <c r="A737">
        <v>735</v>
      </c>
      <c r="B737">
        <v>7.0648804195405939</v>
      </c>
    </row>
    <row r="738" spans="1:2">
      <c r="A738">
        <v>736</v>
      </c>
      <c r="B738">
        <v>7.3942644640335686</v>
      </c>
    </row>
    <row r="739" spans="1:2">
      <c r="A739">
        <v>737</v>
      </c>
      <c r="B739">
        <v>8.0317266380213237</v>
      </c>
    </row>
    <row r="740" spans="1:2">
      <c r="A740">
        <v>738</v>
      </c>
      <c r="B740">
        <v>6.9899421022403398</v>
      </c>
    </row>
    <row r="741" spans="1:2">
      <c r="A741">
        <v>739</v>
      </c>
      <c r="B741">
        <v>9.4663864077959534</v>
      </c>
    </row>
    <row r="742" spans="1:2">
      <c r="A742">
        <v>740</v>
      </c>
      <c r="B742">
        <v>9.5187162519057473</v>
      </c>
    </row>
    <row r="743" spans="1:2">
      <c r="A743">
        <v>741</v>
      </c>
      <c r="B743">
        <v>8.7238758646981882</v>
      </c>
    </row>
    <row r="744" spans="1:2">
      <c r="A744">
        <v>742</v>
      </c>
      <c r="B744">
        <v>7.0858554021156444</v>
      </c>
    </row>
    <row r="745" spans="1:2">
      <c r="A745">
        <v>743</v>
      </c>
      <c r="B745">
        <v>6.4069462650984956</v>
      </c>
    </row>
    <row r="746" spans="1:2">
      <c r="A746">
        <v>744</v>
      </c>
      <c r="B746">
        <v>8.947053069407632</v>
      </c>
    </row>
    <row r="747" spans="1:2">
      <c r="A747">
        <v>745</v>
      </c>
      <c r="B747">
        <v>8.3591922366701894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5E79-32EB-4EF9-8006-D5DCDCB33660}">
  <dimension ref="A1:BA752"/>
  <sheetViews>
    <sheetView tabSelected="1" topLeftCell="AA1" zoomScale="46" zoomScaleNormal="46" workbookViewId="0">
      <selection activeCell="AG5" sqref="AG5"/>
    </sheetView>
  </sheetViews>
  <sheetFormatPr defaultRowHeight="14.25"/>
  <cols>
    <col min="2" max="2" width="15.53125" customWidth="1"/>
    <col min="3" max="3" width="23.53125" bestFit="1" customWidth="1"/>
    <col min="4" max="4" width="19.19921875" bestFit="1" customWidth="1"/>
    <col min="5" max="5" width="26.1328125" bestFit="1" customWidth="1"/>
    <col min="6" max="6" width="21.6640625" customWidth="1"/>
    <col min="7" max="7" width="21.46484375" customWidth="1"/>
    <col min="8" max="8" width="21.1328125" customWidth="1"/>
    <col min="9" max="9" width="32.6640625" bestFit="1" customWidth="1"/>
    <col min="10" max="10" width="25.46484375" bestFit="1" customWidth="1"/>
    <col min="11" max="11" width="21.53125" bestFit="1" customWidth="1"/>
    <col min="12" max="12" width="21.796875" customWidth="1"/>
    <col min="13" max="13" width="20.46484375" customWidth="1"/>
    <col min="14" max="14" width="26" customWidth="1"/>
    <col min="15" max="15" width="23" customWidth="1"/>
    <col min="16" max="16" width="23.1328125" customWidth="1"/>
    <col min="17" max="17" width="19.796875" customWidth="1"/>
    <col min="18" max="18" width="19" customWidth="1"/>
    <col min="19" max="19" width="20.53125" customWidth="1"/>
    <col min="20" max="20" width="24" customWidth="1"/>
    <col min="21" max="21" width="17.6640625" bestFit="1" customWidth="1"/>
    <col min="22" max="23" width="30" customWidth="1"/>
    <col min="24" max="24" width="17.33203125" customWidth="1"/>
    <col min="25" max="25" width="21" customWidth="1"/>
    <col min="26" max="26" width="12.1328125" bestFit="1" customWidth="1"/>
    <col min="27" max="27" width="12.19921875" bestFit="1" customWidth="1"/>
    <col min="28" max="28" width="18.53125" customWidth="1"/>
    <col min="29" max="29" width="20.33203125" customWidth="1"/>
    <col min="30" max="30" width="17" customWidth="1"/>
    <col min="31" max="31" width="24.46484375" bestFit="1" customWidth="1"/>
    <col min="32" max="32" width="17" customWidth="1"/>
    <col min="33" max="33" width="55.33203125" customWidth="1"/>
    <col min="34" max="34" width="22.19921875" customWidth="1"/>
    <col min="37" max="37" width="27.796875" customWidth="1"/>
    <col min="39" max="39" width="14.1328125" customWidth="1"/>
    <col min="41" max="41" width="14.1328125" customWidth="1"/>
    <col min="42" max="42" width="12.33203125" bestFit="1" customWidth="1"/>
    <col min="53" max="53" width="56.1328125" customWidth="1"/>
  </cols>
  <sheetData>
    <row r="1" spans="1:42">
      <c r="A1" s="17" t="s">
        <v>41</v>
      </c>
      <c r="B1" s="17" t="s">
        <v>42</v>
      </c>
      <c r="C1" s="17" t="s">
        <v>157</v>
      </c>
      <c r="D1" s="17" t="s">
        <v>103</v>
      </c>
      <c r="E1" s="17" t="s">
        <v>158</v>
      </c>
      <c r="F1" s="17" t="s">
        <v>76</v>
      </c>
      <c r="G1" s="17" t="s">
        <v>77</v>
      </c>
      <c r="H1" s="17" t="s">
        <v>78</v>
      </c>
      <c r="I1" s="17" t="s">
        <v>82</v>
      </c>
      <c r="J1" s="17" t="s">
        <v>159</v>
      </c>
      <c r="K1" s="17" t="s">
        <v>79</v>
      </c>
      <c r="L1" s="17" t="s">
        <v>80</v>
      </c>
      <c r="M1" s="17" t="s">
        <v>81</v>
      </c>
      <c r="N1" s="17" t="s">
        <v>83</v>
      </c>
      <c r="O1" s="17" t="s">
        <v>160</v>
      </c>
      <c r="P1" s="17" t="s">
        <v>85</v>
      </c>
      <c r="Q1" s="17" t="s">
        <v>161</v>
      </c>
      <c r="R1" s="17" t="s">
        <v>86</v>
      </c>
      <c r="S1" s="17" t="s">
        <v>87</v>
      </c>
      <c r="T1" s="17" t="s">
        <v>88</v>
      </c>
      <c r="U1" s="17" t="s">
        <v>92</v>
      </c>
      <c r="V1" s="17" t="s">
        <v>94</v>
      </c>
      <c r="W1" s="17" t="s">
        <v>97</v>
      </c>
      <c r="X1" s="17" t="s">
        <v>95</v>
      </c>
      <c r="Y1" s="17" t="s">
        <v>98</v>
      </c>
      <c r="Z1" s="17" t="s">
        <v>96</v>
      </c>
      <c r="AA1" s="17" t="s">
        <v>99</v>
      </c>
      <c r="AB1" s="17" t="s">
        <v>102</v>
      </c>
      <c r="AC1" s="17" t="s">
        <v>108</v>
      </c>
      <c r="AD1" s="17" t="s">
        <v>109</v>
      </c>
      <c r="AE1" s="17"/>
      <c r="AF1" s="17"/>
    </row>
    <row r="2" spans="1:42">
      <c r="A2">
        <v>0</v>
      </c>
      <c r="B2">
        <v>6.9345063332049524</v>
      </c>
      <c r="C2">
        <v>6.9345063332049524</v>
      </c>
      <c r="D2">
        <v>6.9345063332049524</v>
      </c>
      <c r="E2">
        <v>6.9345063332049524</v>
      </c>
      <c r="F2">
        <v>6.9345063332049524</v>
      </c>
      <c r="G2">
        <v>6.9345063332049524</v>
      </c>
      <c r="H2">
        <v>6.9345063332049524</v>
      </c>
      <c r="I2">
        <f>H2-B2</f>
        <v>0</v>
      </c>
      <c r="J2">
        <v>6.9345063332049524</v>
      </c>
      <c r="K2">
        <v>6.9345063332049524</v>
      </c>
      <c r="L2">
        <v>6.9345063332049524</v>
      </c>
      <c r="M2">
        <v>6.9345063332049524</v>
      </c>
      <c r="N2">
        <f>M2-B2</f>
        <v>0</v>
      </c>
      <c r="O2">
        <v>6.9345063332049524</v>
      </c>
      <c r="P2">
        <v>6.9345063332049524</v>
      </c>
      <c r="Q2">
        <v>6.9345063332049524</v>
      </c>
      <c r="R2">
        <v>6.9345063332049524</v>
      </c>
      <c r="S2">
        <v>6.9345063332049524</v>
      </c>
      <c r="T2">
        <f>S2-B2</f>
        <v>0</v>
      </c>
      <c r="U2">
        <f>B2-S2</f>
        <v>0</v>
      </c>
      <c r="V2">
        <v>6.9345063332049524</v>
      </c>
      <c r="W2">
        <f>B2-V2</f>
        <v>0</v>
      </c>
      <c r="X2">
        <v>6.9345063332049524</v>
      </c>
      <c r="Y2">
        <f>B2-X2</f>
        <v>0</v>
      </c>
      <c r="Z2">
        <v>6.9345063332049524</v>
      </c>
      <c r="AA2">
        <f>B2-Z2</f>
        <v>0</v>
      </c>
      <c r="AB2">
        <f>B2- ((0.00556 * A2)  +5.509)</f>
        <v>1.425506333204952</v>
      </c>
      <c r="AC2">
        <f>0.00075*A2 + 5.509 + ($AI$6*SIN((A2/$AI$7)+ $AI$8))+ ($AI$6*COS((A2/$AI$7) + $AI$8))+ $AI$9</f>
        <v>7.5359495237774956</v>
      </c>
      <c r="AD2">
        <f>B2-AC2</f>
        <v>-0.60144319057254325</v>
      </c>
      <c r="AG2" s="17" t="s">
        <v>134</v>
      </c>
      <c r="AP2" s="16" t="s">
        <v>74</v>
      </c>
    </row>
    <row r="3" spans="1:42">
      <c r="A3">
        <v>1</v>
      </c>
      <c r="B3">
        <v>8.5979184250940595</v>
      </c>
      <c r="C3">
        <v>8.5979184250940595</v>
      </c>
      <c r="D3">
        <v>8.5979184250940595</v>
      </c>
      <c r="E3">
        <v>8.5979184250940595</v>
      </c>
      <c r="F3">
        <v>8.5979184250940595</v>
      </c>
      <c r="G3">
        <v>8.5979184250940595</v>
      </c>
      <c r="H3">
        <v>8.5979184250940595</v>
      </c>
      <c r="I3">
        <f t="shared" ref="I3:I66" si="0">H3-B3</f>
        <v>0</v>
      </c>
      <c r="J3">
        <v>8.5979184250940595</v>
      </c>
      <c r="K3">
        <v>8.5979184250940595</v>
      </c>
      <c r="L3">
        <v>8.5979184250940595</v>
      </c>
      <c r="M3">
        <v>8.5979184250940595</v>
      </c>
      <c r="N3">
        <f t="shared" ref="N3:N66" si="1">M3-B3</f>
        <v>0</v>
      </c>
      <c r="O3">
        <v>8.5979184250940595</v>
      </c>
      <c r="P3">
        <v>8.5979184250940595</v>
      </c>
      <c r="Q3">
        <v>8.5979184250940595</v>
      </c>
      <c r="R3">
        <v>8.5979184250940595</v>
      </c>
      <c r="S3">
        <v>8.5979184250940595</v>
      </c>
      <c r="T3">
        <f t="shared" ref="T3:T66" si="2">S3-B3</f>
        <v>0</v>
      </c>
      <c r="U3">
        <f t="shared" ref="U3:U66" si="3">B3-S3</f>
        <v>0</v>
      </c>
      <c r="V3">
        <f>V2+0.1*(B2-V2)</f>
        <v>6.9345063332049524</v>
      </c>
      <c r="W3">
        <f t="shared" ref="W3:W66" si="4">B3-V3</f>
        <v>1.6634120918891071</v>
      </c>
      <c r="X3">
        <f>X2+0.2*(B2-X2)</f>
        <v>6.9345063332049524</v>
      </c>
      <c r="Y3">
        <f t="shared" ref="Y3:Y66" si="5">B3-X3</f>
        <v>1.6634120918891071</v>
      </c>
      <c r="Z3">
        <f>Z2+0.3*(B2-Z2)</f>
        <v>6.9345063332049524</v>
      </c>
      <c r="AA3">
        <f t="shared" ref="AA3:AA66" si="6">B3-Z3</f>
        <v>1.6634120918891071</v>
      </c>
      <c r="AB3">
        <f t="shared" ref="AB3:AB66" si="7">B3- ((0.00556 * A3)  +5.509)</f>
        <v>3.0833584250940591</v>
      </c>
      <c r="AC3">
        <f t="shared" ref="AC3:AC66" si="8">0.00075*A3 + 5.509 + ($AI$6*SIN((A3/$AI$7)+ $AI$8))+ ($AI$6*COS((A3/$AI$7) + $AI$8))+ $AI$9</f>
        <v>7.4849540403895505</v>
      </c>
      <c r="AD3">
        <f t="shared" ref="AD3:AD66" si="9">B3-AC3</f>
        <v>1.112964384704509</v>
      </c>
      <c r="AO3" s="18"/>
    </row>
    <row r="4" spans="1:42">
      <c r="A4">
        <v>2</v>
      </c>
      <c r="B4">
        <v>9.3137399550813367</v>
      </c>
      <c r="C4">
        <f>AVERAGE(B2:B3)</f>
        <v>7.7662123791495059</v>
      </c>
      <c r="D4">
        <f>AVERAGE(C2:C3)</f>
        <v>7.7662123791495059</v>
      </c>
      <c r="E4">
        <v>9.3137399550813367</v>
      </c>
      <c r="F4">
        <v>9.3137399550813367</v>
      </c>
      <c r="G4">
        <v>9.3137399550813367</v>
      </c>
      <c r="H4">
        <v>9.3137399550813367</v>
      </c>
      <c r="I4">
        <f t="shared" si="0"/>
        <v>0</v>
      </c>
      <c r="J4">
        <v>9.3137399550813367</v>
      </c>
      <c r="K4">
        <v>9.3137399550813367</v>
      </c>
      <c r="L4">
        <v>9.3137399550813367</v>
      </c>
      <c r="M4">
        <v>9.3137399550813367</v>
      </c>
      <c r="N4">
        <f t="shared" si="1"/>
        <v>0</v>
      </c>
      <c r="O4">
        <v>9.3137399550813367</v>
      </c>
      <c r="P4">
        <v>9.3137399550813367</v>
      </c>
      <c r="Q4">
        <v>9.3137399550813367</v>
      </c>
      <c r="R4">
        <v>9.3137399550813367</v>
      </c>
      <c r="S4">
        <v>9.3137399550813367</v>
      </c>
      <c r="T4">
        <f t="shared" si="2"/>
        <v>0</v>
      </c>
      <c r="U4">
        <f t="shared" si="3"/>
        <v>0</v>
      </c>
      <c r="V4">
        <f t="shared" ref="V4:V67" si="10">V3+0.1*(B3-V3)</f>
        <v>7.1008475423938631</v>
      </c>
      <c r="W4">
        <f t="shared" si="4"/>
        <v>2.2128924126874736</v>
      </c>
      <c r="X4">
        <f t="shared" ref="X4:X67" si="11">X3+0.2*(B3-X3)</f>
        <v>7.2671887515827738</v>
      </c>
      <c r="Y4">
        <f t="shared" si="5"/>
        <v>2.0465512034985629</v>
      </c>
      <c r="Z4">
        <f t="shared" ref="Z4:Z67" si="12">Z3+0.3*(B3-Z3)</f>
        <v>7.4335299607716845</v>
      </c>
      <c r="AA4">
        <f t="shared" si="6"/>
        <v>1.8802099943096522</v>
      </c>
      <c r="AB4">
        <f t="shared" si="7"/>
        <v>3.7936199550813363</v>
      </c>
      <c r="AC4">
        <f t="shared" si="8"/>
        <v>7.4339098903391658</v>
      </c>
      <c r="AD4">
        <f t="shared" si="9"/>
        <v>1.8798300647421708</v>
      </c>
    </row>
    <row r="5" spans="1:42">
      <c r="A5">
        <v>3</v>
      </c>
      <c r="B5">
        <v>6.9331676928037371</v>
      </c>
      <c r="C5">
        <f t="shared" ref="C5:D68" si="13">AVERAGE(B3:B4)</f>
        <v>8.9558291900876981</v>
      </c>
      <c r="D5">
        <f>AVERAGE(C3:C4)</f>
        <v>8.1820654021217827</v>
      </c>
      <c r="E5">
        <f>AVERAGE(B2:B4)</f>
        <v>8.2820549044601162</v>
      </c>
      <c r="F5">
        <v>8.2820549040000007</v>
      </c>
      <c r="G5">
        <v>8.2820549040000007</v>
      </c>
      <c r="H5">
        <v>8.2820549040000007</v>
      </c>
      <c r="I5">
        <f t="shared" si="0"/>
        <v>1.3488872111962635</v>
      </c>
      <c r="J5">
        <v>6.9331676928037371</v>
      </c>
      <c r="K5">
        <v>6.9331676929999997</v>
      </c>
      <c r="L5">
        <v>6.9331676929999997</v>
      </c>
      <c r="M5">
        <v>6.9331676929999997</v>
      </c>
      <c r="N5">
        <f t="shared" si="1"/>
        <v>1.9626256175797607E-10</v>
      </c>
      <c r="O5">
        <v>6.9331676928037371</v>
      </c>
      <c r="P5">
        <v>6.9331676928037371</v>
      </c>
      <c r="Q5">
        <v>6.9331676928037371</v>
      </c>
      <c r="R5">
        <v>6.9331676928037371</v>
      </c>
      <c r="S5">
        <v>6.9331676928037371</v>
      </c>
      <c r="T5">
        <f t="shared" si="2"/>
        <v>0</v>
      </c>
      <c r="U5">
        <f t="shared" si="3"/>
        <v>0</v>
      </c>
      <c r="V5">
        <f t="shared" si="10"/>
        <v>7.3221367836626108</v>
      </c>
      <c r="W5">
        <f t="shared" si="4"/>
        <v>-0.38896909085887366</v>
      </c>
      <c r="X5">
        <f t="shared" si="11"/>
        <v>7.676498992282486</v>
      </c>
      <c r="Y5">
        <f t="shared" si="5"/>
        <v>-0.74333129947874887</v>
      </c>
      <c r="Z5">
        <f t="shared" si="12"/>
        <v>7.9975929590645798</v>
      </c>
      <c r="AA5">
        <f t="shared" si="6"/>
        <v>-1.0644252662608427</v>
      </c>
      <c r="AB5">
        <f t="shared" si="7"/>
        <v>1.4074876928037368</v>
      </c>
      <c r="AC5">
        <f t="shared" si="8"/>
        <v>7.3828314605572096</v>
      </c>
      <c r="AD5">
        <f t="shared" si="9"/>
        <v>-0.4496637677534725</v>
      </c>
      <c r="AG5" s="16" t="s">
        <v>133</v>
      </c>
    </row>
    <row r="6" spans="1:42">
      <c r="A6">
        <v>4</v>
      </c>
      <c r="B6">
        <v>5.8851169344294476</v>
      </c>
      <c r="C6">
        <f t="shared" si="13"/>
        <v>8.1234538239425369</v>
      </c>
      <c r="D6">
        <f>AVERAGE(C4:C5)</f>
        <v>8.3610207846186029</v>
      </c>
      <c r="E6">
        <f t="shared" ref="E6:E69" si="14">AVERAGE(B3:B5)</f>
        <v>8.2816086909930444</v>
      </c>
      <c r="F6">
        <v>8.2816086910000006</v>
      </c>
      <c r="G6">
        <v>8.2816086910000006</v>
      </c>
      <c r="H6">
        <v>8.2816086910000006</v>
      </c>
      <c r="I6">
        <f t="shared" si="0"/>
        <v>2.396491756570553</v>
      </c>
      <c r="J6">
        <f>AVERAGE(B2:B5)</f>
        <v>7.9448331015460205</v>
      </c>
      <c r="K6">
        <v>7.9448331019999996</v>
      </c>
      <c r="L6">
        <v>7.9448331019999996</v>
      </c>
      <c r="M6">
        <v>7.9448331019999996</v>
      </c>
      <c r="N6">
        <f t="shared" si="1"/>
        <v>2.059716167570552</v>
      </c>
      <c r="O6">
        <v>5.8851169344294476</v>
      </c>
      <c r="P6">
        <v>5.8851169344294476</v>
      </c>
      <c r="Q6">
        <v>5.8851169344294476</v>
      </c>
      <c r="R6">
        <v>5.8851169344294476</v>
      </c>
      <c r="S6">
        <v>5.8851169344294476</v>
      </c>
      <c r="T6">
        <f t="shared" si="2"/>
        <v>0</v>
      </c>
      <c r="U6">
        <f t="shared" si="3"/>
        <v>0</v>
      </c>
      <c r="V6">
        <f t="shared" si="10"/>
        <v>7.2832398745767231</v>
      </c>
      <c r="W6">
        <f t="shared" si="4"/>
        <v>-1.3981229401472755</v>
      </c>
      <c r="X6">
        <f t="shared" si="11"/>
        <v>7.5278327323867362</v>
      </c>
      <c r="Y6">
        <f t="shared" si="5"/>
        <v>-1.6427157979572886</v>
      </c>
      <c r="Z6">
        <f t="shared" si="12"/>
        <v>7.6782653791863273</v>
      </c>
      <c r="AA6">
        <f t="shared" si="6"/>
        <v>-1.7931484447568797</v>
      </c>
      <c r="AB6">
        <f t="shared" si="7"/>
        <v>0.35387693442944723</v>
      </c>
      <c r="AC6">
        <f t="shared" si="8"/>
        <v>7.3317331474964771</v>
      </c>
      <c r="AD6">
        <f t="shared" si="9"/>
        <v>-1.4466162130670295</v>
      </c>
      <c r="AH6" t="s">
        <v>107</v>
      </c>
      <c r="AI6" s="16">
        <v>2.2000000000000002</v>
      </c>
      <c r="AJ6" s="18"/>
    </row>
    <row r="7" spans="1:42">
      <c r="A7">
        <v>5</v>
      </c>
      <c r="B7">
        <v>7.2621214708212793</v>
      </c>
      <c r="C7">
        <f t="shared" si="13"/>
        <v>6.4091423136165924</v>
      </c>
      <c r="D7">
        <f t="shared" si="13"/>
        <v>8.5396415070151175</v>
      </c>
      <c r="E7">
        <f t="shared" si="14"/>
        <v>7.3773415274381735</v>
      </c>
      <c r="F7">
        <v>7.3773415269999996</v>
      </c>
      <c r="G7">
        <v>7.3773415269999996</v>
      </c>
      <c r="H7">
        <v>7.3773415269999996</v>
      </c>
      <c r="I7">
        <f t="shared" si="0"/>
        <v>0.11522005617872022</v>
      </c>
      <c r="J7">
        <f t="shared" ref="J7:J70" si="15">AVERAGE(B3:B6)</f>
        <v>7.6824857518521448</v>
      </c>
      <c r="K7">
        <v>7.6824857519999998</v>
      </c>
      <c r="L7">
        <v>7.6824857519999998</v>
      </c>
      <c r="M7">
        <v>7.6824857519999998</v>
      </c>
      <c r="N7">
        <f t="shared" si="1"/>
        <v>0.42036428117872049</v>
      </c>
      <c r="O7">
        <f>AVERAGE(B2:B6)</f>
        <v>7.5328898681227061</v>
      </c>
      <c r="P7">
        <v>7.5328898679999998</v>
      </c>
      <c r="Q7">
        <v>7.2621214708212793</v>
      </c>
      <c r="R7">
        <v>7.2621214708212793</v>
      </c>
      <c r="S7">
        <v>7.2621214708212793</v>
      </c>
      <c r="T7">
        <f t="shared" si="2"/>
        <v>0</v>
      </c>
      <c r="U7">
        <f t="shared" si="3"/>
        <v>0</v>
      </c>
      <c r="V7">
        <f t="shared" si="10"/>
        <v>7.1434275805619958</v>
      </c>
      <c r="W7">
        <f t="shared" si="4"/>
        <v>0.11869389025928356</v>
      </c>
      <c r="X7">
        <f t="shared" si="11"/>
        <v>7.1992895727952781</v>
      </c>
      <c r="Y7">
        <f t="shared" si="5"/>
        <v>6.2831898026001198E-2</v>
      </c>
      <c r="Z7">
        <f t="shared" si="12"/>
        <v>7.1403208457592635</v>
      </c>
      <c r="AA7">
        <f t="shared" si="6"/>
        <v>0.12180062506201583</v>
      </c>
      <c r="AB7">
        <f t="shared" si="7"/>
        <v>1.725321470821279</v>
      </c>
      <c r="AC7">
        <f t="shared" si="8"/>
        <v>7.2806293531327695</v>
      </c>
      <c r="AD7">
        <f t="shared" si="9"/>
        <v>-1.8507882311490143E-2</v>
      </c>
      <c r="AH7" t="s">
        <v>106</v>
      </c>
      <c r="AI7" s="16">
        <v>60</v>
      </c>
      <c r="AJ7" s="18"/>
    </row>
    <row r="8" spans="1:42">
      <c r="A8">
        <v>6</v>
      </c>
      <c r="B8">
        <v>7.4826444410775661</v>
      </c>
      <c r="C8">
        <f t="shared" si="13"/>
        <v>6.5736192026253635</v>
      </c>
      <c r="D8">
        <f t="shared" si="13"/>
        <v>7.2662980687795642</v>
      </c>
      <c r="E8">
        <f t="shared" si="14"/>
        <v>6.693468699351488</v>
      </c>
      <c r="F8">
        <f>AVERAGE(E5:E7)</f>
        <v>7.9803350409637774</v>
      </c>
      <c r="G8">
        <v>7.980335041</v>
      </c>
      <c r="H8">
        <v>7.980335041</v>
      </c>
      <c r="I8">
        <f t="shared" si="0"/>
        <v>0.49769059992243392</v>
      </c>
      <c r="J8">
        <f t="shared" si="15"/>
        <v>7.3485365132839497</v>
      </c>
      <c r="K8">
        <v>7.348536513</v>
      </c>
      <c r="L8">
        <v>7.348536513</v>
      </c>
      <c r="M8">
        <v>7.348536513</v>
      </c>
      <c r="N8">
        <f t="shared" si="1"/>
        <v>-0.13410792807756611</v>
      </c>
      <c r="O8">
        <f t="shared" ref="O8:O70" si="16">AVERAGE(B4:B8)</f>
        <v>7.375358098842673</v>
      </c>
      <c r="P8">
        <v>7.3753580989999996</v>
      </c>
      <c r="Q8">
        <f>AVERAGE(B2:B7)</f>
        <v>7.4877618019058012</v>
      </c>
      <c r="R8">
        <v>7.4877618019999996</v>
      </c>
      <c r="S8">
        <v>7.4877618019999996</v>
      </c>
      <c r="T8">
        <f t="shared" si="2"/>
        <v>5.1173609224335337E-3</v>
      </c>
      <c r="U8">
        <f t="shared" si="3"/>
        <v>-5.1173609224335337E-3</v>
      </c>
      <c r="V8">
        <f t="shared" si="10"/>
        <v>7.1552969695879245</v>
      </c>
      <c r="W8">
        <f t="shared" si="4"/>
        <v>0.32734747148964161</v>
      </c>
      <c r="X8">
        <f t="shared" si="11"/>
        <v>7.2118559524004784</v>
      </c>
      <c r="Y8">
        <f t="shared" si="5"/>
        <v>0.27078848867708771</v>
      </c>
      <c r="Z8">
        <f t="shared" si="12"/>
        <v>7.1768610332778682</v>
      </c>
      <c r="AA8">
        <f t="shared" si="6"/>
        <v>0.30578340779969793</v>
      </c>
      <c r="AB8">
        <f t="shared" si="7"/>
        <v>1.9402844410775657</v>
      </c>
      <c r="AC8">
        <f t="shared" si="8"/>
        <v>7.2295344809644346</v>
      </c>
      <c r="AD8">
        <f t="shared" si="9"/>
        <v>0.25310996011313147</v>
      </c>
      <c r="AH8" t="s">
        <v>105</v>
      </c>
      <c r="AI8" s="16">
        <v>-4</v>
      </c>
      <c r="AJ8" s="18"/>
      <c r="AK8" s="22" t="s">
        <v>147</v>
      </c>
    </row>
    <row r="9" spans="1:42">
      <c r="A9">
        <v>7</v>
      </c>
      <c r="B9">
        <v>6.2287266305579045</v>
      </c>
      <c r="C9">
        <f t="shared" si="13"/>
        <v>7.3723829559494227</v>
      </c>
      <c r="D9">
        <f t="shared" si="13"/>
        <v>6.4913807581209779</v>
      </c>
      <c r="E9">
        <f t="shared" si="14"/>
        <v>6.8766276154427644</v>
      </c>
      <c r="F9">
        <f t="shared" ref="F9:H72" si="17">AVERAGE(E6:E8)</f>
        <v>7.4508063059275687</v>
      </c>
      <c r="G9">
        <v>7.4508063059999996</v>
      </c>
      <c r="H9">
        <v>7.4508063059999996</v>
      </c>
      <c r="I9">
        <f t="shared" si="0"/>
        <v>1.2220796754420951</v>
      </c>
      <c r="J9">
        <f t="shared" si="15"/>
        <v>6.8907626347830071</v>
      </c>
      <c r="K9">
        <v>6.8907626349999997</v>
      </c>
      <c r="L9">
        <v>6.8907626349999997</v>
      </c>
      <c r="M9">
        <v>6.8907626349999997</v>
      </c>
      <c r="N9">
        <f t="shared" si="1"/>
        <v>0.66203600444209521</v>
      </c>
      <c r="O9">
        <f t="shared" si="16"/>
        <v>6.7583554339379877</v>
      </c>
      <c r="P9">
        <v>6.7583554340000003</v>
      </c>
      <c r="Q9">
        <f t="shared" ref="Q9:Q72" si="18">AVERAGE(B3:B8)</f>
        <v>7.5791181532179044</v>
      </c>
      <c r="R9">
        <v>7.5791181529999996</v>
      </c>
      <c r="S9">
        <v>7.5791181529999996</v>
      </c>
      <c r="T9">
        <f t="shared" si="2"/>
        <v>1.350391522442095</v>
      </c>
      <c r="U9">
        <f t="shared" si="3"/>
        <v>-1.350391522442095</v>
      </c>
      <c r="V9">
        <f t="shared" si="10"/>
        <v>7.188031716736889</v>
      </c>
      <c r="W9">
        <f t="shared" si="4"/>
        <v>-0.95930508617898447</v>
      </c>
      <c r="X9">
        <f t="shared" si="11"/>
        <v>7.2660136501358963</v>
      </c>
      <c r="Y9">
        <f t="shared" si="5"/>
        <v>-1.0372870195779917</v>
      </c>
      <c r="Z9">
        <f t="shared" si="12"/>
        <v>7.2685960556177776</v>
      </c>
      <c r="AA9">
        <f t="shared" si="6"/>
        <v>-1.039869425059873</v>
      </c>
      <c r="AB9">
        <f t="shared" si="7"/>
        <v>0.68080663055790414</v>
      </c>
      <c r="AC9">
        <f t="shared" si="8"/>
        <v>7.1784629320114899</v>
      </c>
      <c r="AD9">
        <f t="shared" si="9"/>
        <v>-0.94973630145358534</v>
      </c>
      <c r="AH9" t="s">
        <v>104</v>
      </c>
      <c r="AI9" s="16">
        <v>1.8</v>
      </c>
      <c r="AJ9" s="18"/>
    </row>
    <row r="10" spans="1:42">
      <c r="A10">
        <v>8</v>
      </c>
      <c r="B10">
        <v>9.1445356937726849</v>
      </c>
      <c r="C10">
        <f t="shared" si="13"/>
        <v>6.8556855358177353</v>
      </c>
      <c r="D10">
        <f t="shared" si="13"/>
        <v>6.9730010792873927</v>
      </c>
      <c r="E10">
        <f t="shared" si="14"/>
        <v>6.9911641808189167</v>
      </c>
      <c r="F10">
        <f t="shared" si="17"/>
        <v>6.9824792807441414</v>
      </c>
      <c r="G10">
        <v>6.9824792809999998</v>
      </c>
      <c r="H10">
        <v>6.9824792809999998</v>
      </c>
      <c r="I10">
        <f t="shared" si="0"/>
        <v>-2.1620564127726851</v>
      </c>
      <c r="J10">
        <f t="shared" si="15"/>
        <v>6.7146523692215494</v>
      </c>
      <c r="K10">
        <f>AVERAGE(J6:J9)</f>
        <v>7.4666545003662801</v>
      </c>
      <c r="L10">
        <v>7.4666544999999998</v>
      </c>
      <c r="M10">
        <v>7.4666544999999998</v>
      </c>
      <c r="N10">
        <f t="shared" si="1"/>
        <v>-1.6778811937726852</v>
      </c>
      <c r="O10">
        <f t="shared" si="16"/>
        <v>7.2006290341317767</v>
      </c>
      <c r="P10">
        <v>7.2006290340000003</v>
      </c>
      <c r="Q10">
        <f t="shared" si="18"/>
        <v>7.1842528541285446</v>
      </c>
      <c r="R10">
        <v>7.1842528540000004</v>
      </c>
      <c r="S10">
        <v>7.1842528540000004</v>
      </c>
      <c r="T10">
        <f t="shared" si="2"/>
        <v>-1.9602828397726846</v>
      </c>
      <c r="U10">
        <f t="shared" si="3"/>
        <v>1.9602828397726846</v>
      </c>
      <c r="V10">
        <f t="shared" si="10"/>
        <v>7.0921012081189909</v>
      </c>
      <c r="W10">
        <f t="shared" si="4"/>
        <v>2.052434485653694</v>
      </c>
      <c r="X10">
        <f t="shared" si="11"/>
        <v>7.0585562462202978</v>
      </c>
      <c r="Y10">
        <f t="shared" si="5"/>
        <v>2.0859794475523872</v>
      </c>
      <c r="Z10">
        <f t="shared" si="12"/>
        <v>6.9566352280998158</v>
      </c>
      <c r="AA10">
        <f t="shared" si="6"/>
        <v>2.1879004656728691</v>
      </c>
      <c r="AB10">
        <f t="shared" si="7"/>
        <v>3.5910556937726845</v>
      </c>
      <c r="AC10">
        <f t="shared" si="8"/>
        <v>7.1274291008154345</v>
      </c>
      <c r="AD10">
        <f t="shared" si="9"/>
        <v>2.0171065929572505</v>
      </c>
    </row>
    <row r="11" spans="1:42">
      <c r="A11">
        <v>9</v>
      </c>
      <c r="B11">
        <v>7.9966786256509614</v>
      </c>
      <c r="C11">
        <f t="shared" si="13"/>
        <v>7.6866311621652947</v>
      </c>
      <c r="D11">
        <f t="shared" si="13"/>
        <v>7.1140342458835786</v>
      </c>
      <c r="E11">
        <f t="shared" si="14"/>
        <v>7.6186355884693855</v>
      </c>
      <c r="F11">
        <f t="shared" si="17"/>
        <v>6.8537534985377233</v>
      </c>
      <c r="G11">
        <f>AVERAGE(F8:F10)</f>
        <v>7.4712068758784964</v>
      </c>
      <c r="H11">
        <v>7.4712068760000001</v>
      </c>
      <c r="I11">
        <f t="shared" si="0"/>
        <v>-0.52547174965096133</v>
      </c>
      <c r="J11">
        <f t="shared" si="15"/>
        <v>7.5295070590573587</v>
      </c>
      <c r="K11">
        <f t="shared" ref="K11:M74" si="19">AVERAGE(J7:J10)</f>
        <v>7.1591093172851634</v>
      </c>
      <c r="L11">
        <v>7.1591093170000004</v>
      </c>
      <c r="M11">
        <v>7.1591093170000004</v>
      </c>
      <c r="N11">
        <f t="shared" si="1"/>
        <v>-0.83756930865096102</v>
      </c>
      <c r="O11">
        <f t="shared" si="16"/>
        <v>7.6229413723760784</v>
      </c>
      <c r="P11">
        <v>7.6229413719999997</v>
      </c>
      <c r="Q11">
        <f t="shared" si="18"/>
        <v>7.1560521439104363</v>
      </c>
      <c r="R11">
        <v>7.1560521440000002</v>
      </c>
      <c r="S11">
        <v>7.1560521440000002</v>
      </c>
      <c r="T11">
        <f t="shared" si="2"/>
        <v>-0.84062648165096121</v>
      </c>
      <c r="U11">
        <f t="shared" si="3"/>
        <v>0.84062648165096121</v>
      </c>
      <c r="V11">
        <f t="shared" si="10"/>
        <v>7.2973446566843601</v>
      </c>
      <c r="W11">
        <f t="shared" si="4"/>
        <v>0.69933396896660138</v>
      </c>
      <c r="X11">
        <f t="shared" si="11"/>
        <v>7.475752135730775</v>
      </c>
      <c r="Y11">
        <f t="shared" si="5"/>
        <v>0.52092648992018642</v>
      </c>
      <c r="Z11">
        <f t="shared" si="12"/>
        <v>7.6130053678016765</v>
      </c>
      <c r="AA11">
        <f t="shared" si="6"/>
        <v>0.38367325784928497</v>
      </c>
      <c r="AB11">
        <f t="shared" si="7"/>
        <v>2.437638625650961</v>
      </c>
      <c r="AC11">
        <f t="shared" si="8"/>
        <v>7.0764473714408513</v>
      </c>
      <c r="AD11">
        <f t="shared" si="9"/>
        <v>0.92023125421011009</v>
      </c>
      <c r="AG11" s="17" t="s">
        <v>155</v>
      </c>
    </row>
    <row r="12" spans="1:42">
      <c r="A12">
        <v>10</v>
      </c>
      <c r="B12">
        <v>5.3867908390365873</v>
      </c>
      <c r="C12">
        <f t="shared" si="13"/>
        <v>8.5706071597118232</v>
      </c>
      <c r="D12">
        <f t="shared" si="13"/>
        <v>7.2711583489915146</v>
      </c>
      <c r="E12">
        <f t="shared" si="14"/>
        <v>7.7899803166605173</v>
      </c>
      <c r="F12">
        <f t="shared" si="17"/>
        <v>7.1621424615770222</v>
      </c>
      <c r="G12">
        <f t="shared" si="17"/>
        <v>7.0956796950698111</v>
      </c>
      <c r="H12">
        <v>7.0956796950000003</v>
      </c>
      <c r="I12">
        <f t="shared" si="0"/>
        <v>1.708888855963413</v>
      </c>
      <c r="J12">
        <f t="shared" si="15"/>
        <v>7.7131463477647797</v>
      </c>
      <c r="K12">
        <f t="shared" si="19"/>
        <v>7.120864644086466</v>
      </c>
      <c r="L12">
        <v>7.1208646440000001</v>
      </c>
      <c r="M12">
        <v>7.1208646440000001</v>
      </c>
      <c r="N12">
        <f t="shared" si="1"/>
        <v>1.7340738049634128</v>
      </c>
      <c r="O12">
        <f t="shared" si="16"/>
        <v>7.2478752460191416</v>
      </c>
      <c r="P12">
        <f>AVERAGE(O7:O11)</f>
        <v>7.2980347614822447</v>
      </c>
      <c r="Q12">
        <f t="shared" si="18"/>
        <v>7.3333039660516404</v>
      </c>
      <c r="R12">
        <v>7.3333039659999999</v>
      </c>
      <c r="S12">
        <v>7.3333039659999999</v>
      </c>
      <c r="T12">
        <f t="shared" si="2"/>
        <v>1.9465131269634126</v>
      </c>
      <c r="U12">
        <f t="shared" si="3"/>
        <v>-1.9465131269634126</v>
      </c>
      <c r="V12">
        <f t="shared" si="10"/>
        <v>7.3672780535810203</v>
      </c>
      <c r="W12">
        <f t="shared" si="4"/>
        <v>-1.980487214544433</v>
      </c>
      <c r="X12">
        <f t="shared" si="11"/>
        <v>7.5799374337148127</v>
      </c>
      <c r="Y12">
        <f t="shared" si="5"/>
        <v>-2.1931465946782254</v>
      </c>
      <c r="Z12">
        <f t="shared" si="12"/>
        <v>7.7281073451564621</v>
      </c>
      <c r="AA12">
        <f t="shared" si="6"/>
        <v>-2.3413165061198749</v>
      </c>
      <c r="AB12">
        <f t="shared" si="7"/>
        <v>-0.17780916096341315</v>
      </c>
      <c r="AC12">
        <f t="shared" si="8"/>
        <v>7.0255321134799349</v>
      </c>
      <c r="AD12">
        <f t="shared" si="9"/>
        <v>-1.6387412744433476</v>
      </c>
      <c r="AG12" s="16" t="s">
        <v>68</v>
      </c>
      <c r="AH12" s="16">
        <v>1.0750089375243828</v>
      </c>
    </row>
    <row r="13" spans="1:42">
      <c r="A13">
        <v>11</v>
      </c>
      <c r="B13">
        <v>7.1406258621392098</v>
      </c>
      <c r="C13">
        <f t="shared" si="13"/>
        <v>6.6917347323437744</v>
      </c>
      <c r="D13">
        <f t="shared" si="13"/>
        <v>8.128619160938559</v>
      </c>
      <c r="E13">
        <f t="shared" si="14"/>
        <v>7.5093350528200773</v>
      </c>
      <c r="F13">
        <f t="shared" si="17"/>
        <v>7.4665933619829401</v>
      </c>
      <c r="G13">
        <f t="shared" si="17"/>
        <v>6.9994584136196289</v>
      </c>
      <c r="H13">
        <v>6.9994584140000002</v>
      </c>
      <c r="I13">
        <f t="shared" si="0"/>
        <v>-0.14116744813920956</v>
      </c>
      <c r="J13">
        <f t="shared" si="15"/>
        <v>7.189182947254535</v>
      </c>
      <c r="K13">
        <f t="shared" si="19"/>
        <v>7.2120171027066737</v>
      </c>
      <c r="L13">
        <v>7.212017103</v>
      </c>
      <c r="M13">
        <v>7.212017103</v>
      </c>
      <c r="N13">
        <f t="shared" si="1"/>
        <v>7.1391240860790184E-2</v>
      </c>
      <c r="O13">
        <f t="shared" si="16"/>
        <v>7.1794715302314698</v>
      </c>
      <c r="P13">
        <f t="shared" ref="P13:P76" si="20">AVERAGE(O8:O12)</f>
        <v>7.2410318370615316</v>
      </c>
      <c r="Q13">
        <f t="shared" si="18"/>
        <v>7.2502496168194961</v>
      </c>
      <c r="R13">
        <v>7.2502496169999997</v>
      </c>
      <c r="S13">
        <v>7.2502496169999997</v>
      </c>
      <c r="T13">
        <f t="shared" si="2"/>
        <v>0.1096237548607899</v>
      </c>
      <c r="U13">
        <f t="shared" si="3"/>
        <v>-0.1096237548607899</v>
      </c>
      <c r="V13">
        <f t="shared" si="10"/>
        <v>7.1692293321265765</v>
      </c>
      <c r="W13">
        <f t="shared" si="4"/>
        <v>-2.8603469987366736E-2</v>
      </c>
      <c r="X13">
        <f t="shared" si="11"/>
        <v>7.1413081147791679</v>
      </c>
      <c r="Y13">
        <f t="shared" si="5"/>
        <v>-6.8225263995813634E-4</v>
      </c>
      <c r="Z13">
        <f t="shared" si="12"/>
        <v>7.0257123933205001</v>
      </c>
      <c r="AA13">
        <f t="shared" si="6"/>
        <v>0.11491346881870967</v>
      </c>
      <c r="AB13">
        <f t="shared" si="7"/>
        <v>1.5704658621392094</v>
      </c>
      <c r="AC13">
        <f t="shared" si="8"/>
        <v>6.9746976780610224</v>
      </c>
      <c r="AD13">
        <f t="shared" si="9"/>
        <v>0.16592818407818744</v>
      </c>
      <c r="AG13" s="16" t="s">
        <v>69</v>
      </c>
      <c r="AH13" s="16">
        <v>1.5894690868074162</v>
      </c>
    </row>
    <row r="14" spans="1:42">
      <c r="A14">
        <v>12</v>
      </c>
      <c r="B14">
        <v>6.5365290380992427</v>
      </c>
      <c r="C14">
        <f t="shared" si="13"/>
        <v>6.2637083505878985</v>
      </c>
      <c r="D14">
        <f t="shared" si="13"/>
        <v>7.6311709460277992</v>
      </c>
      <c r="E14">
        <f t="shared" si="14"/>
        <v>6.8413651089422531</v>
      </c>
      <c r="F14">
        <f t="shared" si="17"/>
        <v>7.639316985983327</v>
      </c>
      <c r="G14">
        <f t="shared" si="17"/>
        <v>7.1608297740325613</v>
      </c>
      <c r="H14">
        <f>AVERAGE(G11:G13)</f>
        <v>7.1887816615226461</v>
      </c>
      <c r="I14">
        <f t="shared" si="0"/>
        <v>0.6522526234234034</v>
      </c>
      <c r="J14">
        <f t="shared" si="15"/>
        <v>7.4171577551498604</v>
      </c>
      <c r="K14">
        <f t="shared" si="19"/>
        <v>7.2866221808245566</v>
      </c>
      <c r="L14">
        <f>AVERAGE(K10:K13)</f>
        <v>7.239661391111146</v>
      </c>
      <c r="M14">
        <v>7.2396613910000003</v>
      </c>
      <c r="N14">
        <f t="shared" si="1"/>
        <v>0.7031323529007576</v>
      </c>
      <c r="O14">
        <f t="shared" si="16"/>
        <v>7.241032011739736</v>
      </c>
      <c r="P14">
        <f t="shared" si="20"/>
        <v>7.201854523339291</v>
      </c>
      <c r="Q14">
        <f t="shared" si="18"/>
        <v>7.2300003487058193</v>
      </c>
      <c r="R14">
        <f>AVERAGE(Q8:Q13)</f>
        <v>7.3317897560056373</v>
      </c>
      <c r="S14">
        <v>7.331789756</v>
      </c>
      <c r="T14">
        <f t="shared" si="2"/>
        <v>0.79526071790075736</v>
      </c>
      <c r="U14">
        <f t="shared" si="3"/>
        <v>-0.79526071790075736</v>
      </c>
      <c r="V14">
        <f t="shared" si="10"/>
        <v>7.16636898512784</v>
      </c>
      <c r="W14">
        <f t="shared" si="4"/>
        <v>-0.62983994702859736</v>
      </c>
      <c r="X14">
        <f t="shared" si="11"/>
        <v>7.1411716642511767</v>
      </c>
      <c r="Y14">
        <f t="shared" si="5"/>
        <v>-0.60464262615193398</v>
      </c>
      <c r="Z14">
        <f t="shared" si="12"/>
        <v>7.0601864339661127</v>
      </c>
      <c r="AA14">
        <f t="shared" si="6"/>
        <v>-0.52365739586686999</v>
      </c>
      <c r="AB14">
        <f t="shared" si="7"/>
        <v>0.96080903809924223</v>
      </c>
      <c r="AC14">
        <f t="shared" si="8"/>
        <v>6.9239583938622653</v>
      </c>
      <c r="AD14">
        <f t="shared" si="9"/>
        <v>-0.38742935576302262</v>
      </c>
      <c r="AG14" s="16" t="s">
        <v>70</v>
      </c>
      <c r="AH14" s="16">
        <v>1.2607414829406607</v>
      </c>
    </row>
    <row r="15" spans="1:42">
      <c r="A15">
        <v>13</v>
      </c>
      <c r="B15">
        <v>6.1473214394604678</v>
      </c>
      <c r="C15">
        <f t="shared" si="13"/>
        <v>6.8385774501192262</v>
      </c>
      <c r="D15">
        <f t="shared" si="13"/>
        <v>6.4777215414658365</v>
      </c>
      <c r="E15">
        <f t="shared" si="14"/>
        <v>6.3546485797583472</v>
      </c>
      <c r="F15">
        <f t="shared" si="17"/>
        <v>7.3802268261409489</v>
      </c>
      <c r="G15">
        <f t="shared" si="17"/>
        <v>7.4226842698477631</v>
      </c>
      <c r="H15">
        <f t="shared" si="17"/>
        <v>7.0853226275740004</v>
      </c>
      <c r="I15">
        <f t="shared" si="0"/>
        <v>0.93800118811353261</v>
      </c>
      <c r="J15">
        <f t="shared" si="15"/>
        <v>6.7651560912315007</v>
      </c>
      <c r="K15">
        <f t="shared" si="19"/>
        <v>7.4622485273066328</v>
      </c>
      <c r="L15">
        <f t="shared" si="19"/>
        <v>7.1946533112257143</v>
      </c>
      <c r="M15">
        <v>7.1946533109999997</v>
      </c>
      <c r="N15">
        <f t="shared" si="1"/>
        <v>1.0473318715395319</v>
      </c>
      <c r="O15">
        <f t="shared" si="16"/>
        <v>6.6415891608772935</v>
      </c>
      <c r="P15">
        <f t="shared" si="20"/>
        <v>7.2983898388996407</v>
      </c>
      <c r="Q15">
        <f t="shared" si="18"/>
        <v>7.0723144482094327</v>
      </c>
      <c r="R15">
        <f>AVERAGE(Q9:Q14)</f>
        <v>7.2888295138056414</v>
      </c>
      <c r="S15">
        <v>7.2888295139999997</v>
      </c>
      <c r="T15">
        <f t="shared" si="2"/>
        <v>1.1415080745395318</v>
      </c>
      <c r="U15">
        <f t="shared" si="3"/>
        <v>-1.1415080745395318</v>
      </c>
      <c r="V15">
        <f t="shared" si="10"/>
        <v>7.1033849904249804</v>
      </c>
      <c r="W15">
        <f t="shared" si="4"/>
        <v>-0.95606355096451257</v>
      </c>
      <c r="X15">
        <f t="shared" si="11"/>
        <v>7.0202431390207902</v>
      </c>
      <c r="Y15">
        <f t="shared" si="5"/>
        <v>-0.87292169956032239</v>
      </c>
      <c r="Z15">
        <f t="shared" si="12"/>
        <v>6.9030892152060517</v>
      </c>
      <c r="AA15">
        <f t="shared" si="6"/>
        <v>-0.75576777574558385</v>
      </c>
      <c r="AB15">
        <f t="shared" si="7"/>
        <v>0.56604143946046737</v>
      </c>
      <c r="AC15">
        <f t="shared" si="8"/>
        <v>6.8733285631315333</v>
      </c>
      <c r="AD15">
        <f t="shared" si="9"/>
        <v>-0.72600712367106546</v>
      </c>
      <c r="AG15" s="16" t="s">
        <v>71</v>
      </c>
      <c r="AH15" s="16">
        <v>17.392017359201265</v>
      </c>
    </row>
    <row r="16" spans="1:42">
      <c r="A16">
        <v>14</v>
      </c>
      <c r="B16">
        <v>7.2109784109234614</v>
      </c>
      <c r="C16">
        <f t="shared" si="13"/>
        <v>6.3419252387798553</v>
      </c>
      <c r="D16">
        <f t="shared" si="13"/>
        <v>6.5511429003535628</v>
      </c>
      <c r="E16">
        <f t="shared" si="14"/>
        <v>6.6081587798996395</v>
      </c>
      <c r="F16">
        <f t="shared" si="17"/>
        <v>6.9017829138402256</v>
      </c>
      <c r="G16">
        <f t="shared" si="17"/>
        <v>7.4953790580357387</v>
      </c>
      <c r="H16">
        <f t="shared" si="17"/>
        <v>7.1943241524999841</v>
      </c>
      <c r="I16">
        <f t="shared" si="0"/>
        <v>-1.6654258423477231E-2</v>
      </c>
      <c r="J16">
        <f t="shared" si="15"/>
        <v>6.3028167946838778</v>
      </c>
      <c r="K16">
        <f t="shared" si="19"/>
        <v>7.2711607853501681</v>
      </c>
      <c r="L16">
        <f t="shared" si="19"/>
        <v>7.2704381137310818</v>
      </c>
      <c r="M16">
        <v>7.2704381140000001</v>
      </c>
      <c r="N16">
        <f t="shared" si="1"/>
        <v>5.9459703076538695E-2</v>
      </c>
      <c r="O16">
        <f t="shared" si="16"/>
        <v>6.4844491179317938</v>
      </c>
      <c r="P16">
        <f t="shared" si="20"/>
        <v>7.186581864248744</v>
      </c>
      <c r="Q16">
        <f t="shared" si="18"/>
        <v>7.0587469163598584</v>
      </c>
      <c r="R16">
        <f t="shared" ref="R16:S78" si="21">AVERAGE(Q10:Q15)</f>
        <v>7.2043622296375611</v>
      </c>
      <c r="S16">
        <v>7.2043622300000001</v>
      </c>
      <c r="T16">
        <f t="shared" si="2"/>
        <v>-6.616180923461279E-3</v>
      </c>
      <c r="U16">
        <f t="shared" si="3"/>
        <v>6.616180923461279E-3</v>
      </c>
      <c r="V16">
        <f t="shared" si="10"/>
        <v>7.0077786353285294</v>
      </c>
      <c r="W16">
        <f t="shared" si="4"/>
        <v>0.20319977559493196</v>
      </c>
      <c r="X16">
        <f t="shared" si="11"/>
        <v>6.8456587991087261</v>
      </c>
      <c r="Y16">
        <f t="shared" si="5"/>
        <v>0.36531961181473527</v>
      </c>
      <c r="Z16">
        <f t="shared" si="12"/>
        <v>6.6763588824823765</v>
      </c>
      <c r="AA16">
        <f t="shared" si="6"/>
        <v>0.53461952844108485</v>
      </c>
      <c r="AB16">
        <f t="shared" si="7"/>
        <v>1.6241384109234609</v>
      </c>
      <c r="AC16">
        <f t="shared" si="8"/>
        <v>6.8228224577136576</v>
      </c>
      <c r="AD16">
        <f t="shared" si="9"/>
        <v>0.38815595320980378</v>
      </c>
    </row>
    <row r="17" spans="1:53">
      <c r="A17">
        <v>15</v>
      </c>
      <c r="B17">
        <v>5.1991002120134127</v>
      </c>
      <c r="C17">
        <f t="shared" si="13"/>
        <v>6.6791499251919646</v>
      </c>
      <c r="D17">
        <f t="shared" si="13"/>
        <v>6.5902513444495412</v>
      </c>
      <c r="E17">
        <f t="shared" si="14"/>
        <v>6.6316096294943909</v>
      </c>
      <c r="F17">
        <f t="shared" si="17"/>
        <v>6.6013908228667466</v>
      </c>
      <c r="G17">
        <f t="shared" si="17"/>
        <v>7.3071089086548335</v>
      </c>
      <c r="H17">
        <f t="shared" si="17"/>
        <v>7.359631033972021</v>
      </c>
      <c r="I17">
        <f t="shared" si="0"/>
        <v>2.1605308219586083</v>
      </c>
      <c r="J17">
        <f t="shared" si="15"/>
        <v>6.7588636876555945</v>
      </c>
      <c r="K17">
        <f t="shared" si="19"/>
        <v>6.9185783970799433</v>
      </c>
      <c r="L17">
        <f t="shared" si="19"/>
        <v>7.3080121490470074</v>
      </c>
      <c r="M17">
        <v>7.3080121489999996</v>
      </c>
      <c r="N17">
        <f t="shared" si="1"/>
        <v>2.108911936986587</v>
      </c>
      <c r="O17">
        <f t="shared" si="16"/>
        <v>6.4469109925271582</v>
      </c>
      <c r="P17">
        <f t="shared" si="20"/>
        <v>6.9588834133598878</v>
      </c>
      <c r="Q17">
        <f t="shared" si="18"/>
        <v>6.7364873692183211</v>
      </c>
      <c r="R17">
        <f t="shared" si="21"/>
        <v>7.1834445733427801</v>
      </c>
      <c r="S17">
        <v>7.1834445730000001</v>
      </c>
      <c r="T17">
        <f t="shared" si="2"/>
        <v>1.9843443609865874</v>
      </c>
      <c r="U17">
        <f t="shared" si="3"/>
        <v>-1.9843443609865874</v>
      </c>
      <c r="V17">
        <f t="shared" si="10"/>
        <v>7.028098612888023</v>
      </c>
      <c r="W17">
        <f t="shared" si="4"/>
        <v>-1.8289984008746103</v>
      </c>
      <c r="X17">
        <f t="shared" si="11"/>
        <v>6.9187227214716733</v>
      </c>
      <c r="Y17">
        <f t="shared" si="5"/>
        <v>-1.7196225094582607</v>
      </c>
      <c r="Z17">
        <f t="shared" si="12"/>
        <v>6.8367447410147015</v>
      </c>
      <c r="AA17">
        <f t="shared" si="6"/>
        <v>-1.6376445290012889</v>
      </c>
      <c r="AB17">
        <f t="shared" si="7"/>
        <v>-0.39329978798658782</v>
      </c>
      <c r="AC17">
        <f t="shared" si="8"/>
        <v>6.7724543150861232</v>
      </c>
      <c r="AD17">
        <f t="shared" si="9"/>
        <v>-1.5733541030727105</v>
      </c>
      <c r="BA17" t="s">
        <v>93</v>
      </c>
    </row>
    <row r="18" spans="1:53">
      <c r="A18">
        <v>16</v>
      </c>
      <c r="B18">
        <v>6.0997961851297688</v>
      </c>
      <c r="C18">
        <f t="shared" si="13"/>
        <v>6.205039311468437</v>
      </c>
      <c r="D18">
        <f t="shared" si="13"/>
        <v>6.5105375819859095</v>
      </c>
      <c r="E18">
        <f t="shared" si="14"/>
        <v>6.185800020799114</v>
      </c>
      <c r="F18">
        <f t="shared" si="17"/>
        <v>6.5314723297174595</v>
      </c>
      <c r="G18">
        <f t="shared" si="17"/>
        <v>6.961133520949307</v>
      </c>
      <c r="H18">
        <f t="shared" si="17"/>
        <v>7.4083907455127784</v>
      </c>
      <c r="I18">
        <f t="shared" si="0"/>
        <v>1.3085945603830096</v>
      </c>
      <c r="J18">
        <f t="shared" si="15"/>
        <v>6.2734822751241461</v>
      </c>
      <c r="K18">
        <f t="shared" si="19"/>
        <v>6.8109985821802086</v>
      </c>
      <c r="L18">
        <f t="shared" si="19"/>
        <v>7.2346524726403256</v>
      </c>
      <c r="M18">
        <f>AVERAGE(L14:L17)</f>
        <v>7.2531912412787367</v>
      </c>
      <c r="N18">
        <f t="shared" si="1"/>
        <v>1.1533950561489679</v>
      </c>
      <c r="O18">
        <f t="shared" si="16"/>
        <v>6.2387450571252705</v>
      </c>
      <c r="P18">
        <f t="shared" si="20"/>
        <v>6.7986905626614895</v>
      </c>
      <c r="Q18">
        <f t="shared" si="18"/>
        <v>6.2702243002787306</v>
      </c>
      <c r="R18">
        <f t="shared" si="21"/>
        <v>7.1135171108940947</v>
      </c>
      <c r="S18">
        <v>7.1135171110000002</v>
      </c>
      <c r="T18">
        <f t="shared" si="2"/>
        <v>1.0137209258702313</v>
      </c>
      <c r="U18">
        <f t="shared" si="3"/>
        <v>-1.0137209258702313</v>
      </c>
      <c r="V18">
        <f t="shared" si="10"/>
        <v>6.8451987728005621</v>
      </c>
      <c r="W18">
        <f t="shared" si="4"/>
        <v>-0.74540258767079326</v>
      </c>
      <c r="X18">
        <f t="shared" si="11"/>
        <v>6.5747982195800212</v>
      </c>
      <c r="Y18">
        <f t="shared" si="5"/>
        <v>-0.47500203445025235</v>
      </c>
      <c r="Z18">
        <f t="shared" si="12"/>
        <v>6.345451382314315</v>
      </c>
      <c r="AA18">
        <f t="shared" si="6"/>
        <v>-0.2456551971845462</v>
      </c>
      <c r="AB18">
        <f t="shared" si="7"/>
        <v>0.50183618512976835</v>
      </c>
      <c r="AC18">
        <f t="shared" si="8"/>
        <v>6.7222383344043033</v>
      </c>
      <c r="AD18">
        <f t="shared" si="9"/>
        <v>-0.62244214927453445</v>
      </c>
    </row>
    <row r="19" spans="1:53">
      <c r="A19">
        <v>17</v>
      </c>
      <c r="B19">
        <v>5.9595735695428171</v>
      </c>
      <c r="C19">
        <f t="shared" si="13"/>
        <v>5.6494481985715908</v>
      </c>
      <c r="D19">
        <f t="shared" si="13"/>
        <v>6.4420946183302004</v>
      </c>
      <c r="E19">
        <f t="shared" si="14"/>
        <v>6.169958269355547</v>
      </c>
      <c r="F19">
        <f t="shared" si="17"/>
        <v>6.4751894767310487</v>
      </c>
      <c r="G19">
        <f t="shared" si="17"/>
        <v>6.6782153554748112</v>
      </c>
      <c r="H19">
        <f t="shared" si="17"/>
        <v>7.2545404958799606</v>
      </c>
      <c r="I19">
        <f t="shared" si="0"/>
        <v>1.2949669263371435</v>
      </c>
      <c r="J19">
        <f t="shared" si="15"/>
        <v>6.1642990618817777</v>
      </c>
      <c r="K19">
        <f t="shared" si="19"/>
        <v>6.5250797121737794</v>
      </c>
      <c r="L19">
        <f t="shared" si="19"/>
        <v>7.115746572979238</v>
      </c>
      <c r="M19">
        <f t="shared" si="19"/>
        <v>7.2519390116610332</v>
      </c>
      <c r="N19">
        <f t="shared" si="1"/>
        <v>1.292365442118216</v>
      </c>
      <c r="O19">
        <f t="shared" si="16"/>
        <v>6.1233539634139857</v>
      </c>
      <c r="P19">
        <f t="shared" si="20"/>
        <v>6.6105452680402506</v>
      </c>
      <c r="Q19">
        <f t="shared" si="18"/>
        <v>6.3890585246275933</v>
      </c>
      <c r="R19">
        <f t="shared" si="21"/>
        <v>6.9363371665986095</v>
      </c>
      <c r="S19">
        <v>6.9363371669999996</v>
      </c>
      <c r="T19">
        <f t="shared" si="2"/>
        <v>0.97676359745718244</v>
      </c>
      <c r="U19">
        <f t="shared" si="3"/>
        <v>-0.97676359745718244</v>
      </c>
      <c r="V19">
        <f t="shared" si="10"/>
        <v>6.7706585140334825</v>
      </c>
      <c r="W19">
        <f t="shared" si="4"/>
        <v>-0.81108494449066537</v>
      </c>
      <c r="X19">
        <f t="shared" si="11"/>
        <v>6.4797978126899709</v>
      </c>
      <c r="Y19">
        <f t="shared" si="5"/>
        <v>-0.52022424314715376</v>
      </c>
      <c r="Z19">
        <f t="shared" si="12"/>
        <v>6.2717548231589513</v>
      </c>
      <c r="AA19">
        <f t="shared" si="6"/>
        <v>-0.31218125361613414</v>
      </c>
      <c r="AB19">
        <f t="shared" si="7"/>
        <v>0.35605356954281664</v>
      </c>
      <c r="AC19">
        <f t="shared" si="8"/>
        <v>6.6721886725573452</v>
      </c>
      <c r="AD19">
        <f t="shared" si="9"/>
        <v>-0.71261510301452802</v>
      </c>
    </row>
    <row r="20" spans="1:53">
      <c r="A20">
        <v>18</v>
      </c>
      <c r="B20">
        <v>6.1141697118530818</v>
      </c>
      <c r="C20">
        <f t="shared" si="13"/>
        <v>6.029684877336293</v>
      </c>
      <c r="D20">
        <f t="shared" si="13"/>
        <v>5.9272437550200134</v>
      </c>
      <c r="E20">
        <f t="shared" si="14"/>
        <v>5.7528233222286671</v>
      </c>
      <c r="F20">
        <f t="shared" si="17"/>
        <v>6.3291226398830176</v>
      </c>
      <c r="G20">
        <f t="shared" si="17"/>
        <v>6.5360175431050855</v>
      </c>
      <c r="H20">
        <f t="shared" si="17"/>
        <v>6.9821525950263172</v>
      </c>
      <c r="I20">
        <f t="shared" si="0"/>
        <v>0.86798288317323546</v>
      </c>
      <c r="J20">
        <f t="shared" si="15"/>
        <v>6.117362094402365</v>
      </c>
      <c r="K20">
        <f t="shared" si="19"/>
        <v>6.3748654548363488</v>
      </c>
      <c r="L20">
        <f t="shared" si="19"/>
        <v>6.8814543691960246</v>
      </c>
      <c r="M20">
        <f t="shared" si="19"/>
        <v>7.232212327099413</v>
      </c>
      <c r="N20">
        <f t="shared" si="1"/>
        <v>1.1180426152463312</v>
      </c>
      <c r="O20">
        <f t="shared" si="16"/>
        <v>6.1167236178925082</v>
      </c>
      <c r="P20">
        <f t="shared" si="20"/>
        <v>6.387009658375101</v>
      </c>
      <c r="Q20">
        <f t="shared" si="18"/>
        <v>6.1922164758615281</v>
      </c>
      <c r="R20">
        <f t="shared" si="21"/>
        <v>6.7928053178999583</v>
      </c>
      <c r="S20">
        <f>AVERAGE(R14:R19)</f>
        <v>7.1763800583807216</v>
      </c>
      <c r="T20">
        <f t="shared" si="2"/>
        <v>1.0622103465276398</v>
      </c>
      <c r="U20">
        <f t="shared" si="3"/>
        <v>-1.0622103465276398</v>
      </c>
      <c r="V20">
        <f t="shared" si="10"/>
        <v>6.6895500195844164</v>
      </c>
      <c r="W20">
        <f t="shared" si="4"/>
        <v>-0.57538030773133464</v>
      </c>
      <c r="X20">
        <f t="shared" si="11"/>
        <v>6.3757529640605402</v>
      </c>
      <c r="Y20">
        <f t="shared" si="5"/>
        <v>-0.26158325220745837</v>
      </c>
      <c r="Z20">
        <f t="shared" si="12"/>
        <v>6.1781004470741108</v>
      </c>
      <c r="AA20">
        <f t="shared" si="6"/>
        <v>-6.3930735221028989E-2</v>
      </c>
      <c r="AB20">
        <f t="shared" si="7"/>
        <v>0.50508971185308127</v>
      </c>
      <c r="AC20">
        <f t="shared" si="8"/>
        <v>6.6223194402357874</v>
      </c>
      <c r="AD20">
        <f t="shared" si="9"/>
        <v>-0.50814972838270567</v>
      </c>
      <c r="AM20" t="s">
        <v>72</v>
      </c>
    </row>
    <row r="21" spans="1:53">
      <c r="A21">
        <v>19</v>
      </c>
      <c r="B21">
        <v>4.1186414272850795</v>
      </c>
      <c r="C21">
        <f t="shared" si="13"/>
        <v>6.0368716406979495</v>
      </c>
      <c r="D21">
        <f t="shared" si="13"/>
        <v>5.8395665379539423</v>
      </c>
      <c r="E21">
        <f t="shared" si="14"/>
        <v>6.0578464888418893</v>
      </c>
      <c r="F21">
        <f t="shared" si="17"/>
        <v>6.0361938707944427</v>
      </c>
      <c r="G21">
        <f t="shared" si="17"/>
        <v>6.4452614821105092</v>
      </c>
      <c r="H21">
        <f t="shared" si="17"/>
        <v>6.7251221398430685</v>
      </c>
      <c r="I21">
        <f t="shared" si="0"/>
        <v>2.606480712557989</v>
      </c>
      <c r="J21">
        <f t="shared" si="15"/>
        <v>5.8431599196347701</v>
      </c>
      <c r="K21">
        <f t="shared" si="19"/>
        <v>6.3285017797659702</v>
      </c>
      <c r="L21">
        <f t="shared" si="19"/>
        <v>6.6573805365675698</v>
      </c>
      <c r="M21">
        <f t="shared" si="19"/>
        <v>7.1349663909656487</v>
      </c>
      <c r="N21">
        <f t="shared" si="1"/>
        <v>3.0163249636805691</v>
      </c>
      <c r="O21">
        <f t="shared" si="16"/>
        <v>5.4982562211648318</v>
      </c>
      <c r="P21">
        <f t="shared" si="20"/>
        <v>6.2820365497781427</v>
      </c>
      <c r="Q21">
        <f t="shared" si="18"/>
        <v>6.1218232548205016</v>
      </c>
      <c r="R21">
        <f t="shared" si="21"/>
        <v>6.6198413390925772</v>
      </c>
      <c r="S21">
        <f t="shared" si="21"/>
        <v>7.0865493186964414</v>
      </c>
      <c r="T21">
        <f t="shared" si="2"/>
        <v>2.9679078914113619</v>
      </c>
      <c r="U21">
        <f t="shared" si="3"/>
        <v>-2.9679078914113619</v>
      </c>
      <c r="V21">
        <f t="shared" si="10"/>
        <v>6.632011988811283</v>
      </c>
      <c r="W21">
        <f t="shared" si="4"/>
        <v>-2.5133705615262034</v>
      </c>
      <c r="X21">
        <f t="shared" si="11"/>
        <v>6.3234363136190481</v>
      </c>
      <c r="Y21">
        <f t="shared" si="5"/>
        <v>-2.2047948863339686</v>
      </c>
      <c r="Z21">
        <f t="shared" si="12"/>
        <v>6.1589212265078022</v>
      </c>
      <c r="AA21">
        <f t="shared" si="6"/>
        <v>-2.0402797992227226</v>
      </c>
      <c r="AB21">
        <f t="shared" si="7"/>
        <v>-1.495998572714921</v>
      </c>
      <c r="AC21">
        <f t="shared" si="8"/>
        <v>6.5726446980120157</v>
      </c>
      <c r="AD21">
        <f t="shared" si="9"/>
        <v>-2.4540032707269361</v>
      </c>
      <c r="AM21" t="s">
        <v>164</v>
      </c>
    </row>
    <row r="22" spans="1:53">
      <c r="A22">
        <v>20</v>
      </c>
      <c r="B22">
        <v>5.7777617775489691</v>
      </c>
      <c r="C22">
        <f t="shared" si="13"/>
        <v>5.1164055695690802</v>
      </c>
      <c r="D22">
        <f t="shared" si="13"/>
        <v>6.0332782590171217</v>
      </c>
      <c r="E22">
        <f t="shared" si="14"/>
        <v>5.3974615695603267</v>
      </c>
      <c r="F22">
        <f t="shared" si="17"/>
        <v>5.9935426934753684</v>
      </c>
      <c r="G22">
        <f t="shared" si="17"/>
        <v>6.280168662469503</v>
      </c>
      <c r="H22">
        <f t="shared" si="17"/>
        <v>6.5531647935634689</v>
      </c>
      <c r="I22">
        <f t="shared" si="0"/>
        <v>0.77540301601449979</v>
      </c>
      <c r="J22">
        <f t="shared" si="15"/>
        <v>5.573045223452687</v>
      </c>
      <c r="K22">
        <f t="shared" si="19"/>
        <v>6.0995758377607654</v>
      </c>
      <c r="L22">
        <f t="shared" si="19"/>
        <v>6.5098613822390767</v>
      </c>
      <c r="M22">
        <f t="shared" si="19"/>
        <v>6.9723084878457895</v>
      </c>
      <c r="N22">
        <f t="shared" si="1"/>
        <v>1.1945467102968204</v>
      </c>
      <c r="O22">
        <f t="shared" si="16"/>
        <v>5.613988534271944</v>
      </c>
      <c r="P22">
        <f t="shared" si="20"/>
        <v>6.0847979704247503</v>
      </c>
      <c r="Q22">
        <f t="shared" si="18"/>
        <v>5.7837099194579364</v>
      </c>
      <c r="R22">
        <f t="shared" si="21"/>
        <v>6.4614261401944217</v>
      </c>
      <c r="S22">
        <f t="shared" si="21"/>
        <v>6.9750512895775971</v>
      </c>
      <c r="T22">
        <f t="shared" si="2"/>
        <v>1.197289512028628</v>
      </c>
      <c r="U22">
        <f t="shared" si="3"/>
        <v>-1.197289512028628</v>
      </c>
      <c r="V22">
        <f t="shared" si="10"/>
        <v>6.3806749326586623</v>
      </c>
      <c r="W22">
        <f t="shared" si="4"/>
        <v>-0.60291315510969312</v>
      </c>
      <c r="X22">
        <f t="shared" si="11"/>
        <v>5.8824773363522542</v>
      </c>
      <c r="Y22">
        <f t="shared" si="5"/>
        <v>-0.10471555880328509</v>
      </c>
      <c r="Z22">
        <f t="shared" si="12"/>
        <v>5.5468372867409856</v>
      </c>
      <c r="AA22">
        <f t="shared" si="6"/>
        <v>0.2309244908079835</v>
      </c>
      <c r="AB22">
        <f t="shared" si="7"/>
        <v>0.15756177754896861</v>
      </c>
      <c r="AC22">
        <f t="shared" si="8"/>
        <v>6.5231784524346397</v>
      </c>
      <c r="AD22">
        <f t="shared" si="9"/>
        <v>-0.74541667488567054</v>
      </c>
      <c r="AM22" t="s">
        <v>73</v>
      </c>
    </row>
    <row r="23" spans="1:53">
      <c r="A23">
        <v>21</v>
      </c>
      <c r="B23">
        <v>7.0525442844553865</v>
      </c>
      <c r="C23">
        <f t="shared" si="13"/>
        <v>4.9482016024170239</v>
      </c>
      <c r="D23">
        <f t="shared" si="13"/>
        <v>5.5766386051335148</v>
      </c>
      <c r="E23">
        <f t="shared" si="14"/>
        <v>5.3368576388957107</v>
      </c>
      <c r="F23">
        <f t="shared" si="17"/>
        <v>5.7360437935436286</v>
      </c>
      <c r="G23">
        <f t="shared" si="17"/>
        <v>6.1196197347176096</v>
      </c>
      <c r="H23">
        <f t="shared" si="17"/>
        <v>6.4204825625616992</v>
      </c>
      <c r="I23">
        <f t="shared" si="0"/>
        <v>-0.63206172189368726</v>
      </c>
      <c r="J23">
        <f t="shared" si="15"/>
        <v>5.4925366215574876</v>
      </c>
      <c r="K23">
        <f t="shared" si="19"/>
        <v>5.9244665748429002</v>
      </c>
      <c r="L23">
        <f t="shared" si="19"/>
        <v>6.3320056961342157</v>
      </c>
      <c r="M23">
        <f t="shared" si="19"/>
        <v>6.7911107152454768</v>
      </c>
      <c r="N23">
        <f t="shared" si="1"/>
        <v>-0.26143356920990968</v>
      </c>
      <c r="O23">
        <f t="shared" si="16"/>
        <v>5.8045381541370675</v>
      </c>
      <c r="P23">
        <f t="shared" si="20"/>
        <v>5.9182134787737075</v>
      </c>
      <c r="Q23">
        <f t="shared" si="18"/>
        <v>5.5448404805621889</v>
      </c>
      <c r="R23">
        <f t="shared" si="21"/>
        <v>6.2489199740441022</v>
      </c>
      <c r="S23">
        <f t="shared" si="21"/>
        <v>6.8512286080037397</v>
      </c>
      <c r="T23">
        <f t="shared" si="2"/>
        <v>-0.20131567645164683</v>
      </c>
      <c r="U23">
        <f t="shared" si="3"/>
        <v>0.20131567645164683</v>
      </c>
      <c r="V23">
        <f t="shared" si="10"/>
        <v>6.3203836171476926</v>
      </c>
      <c r="W23">
        <f t="shared" si="4"/>
        <v>0.73216066730769391</v>
      </c>
      <c r="X23">
        <f t="shared" si="11"/>
        <v>5.8615342245915976</v>
      </c>
      <c r="Y23">
        <f t="shared" si="5"/>
        <v>1.1910100598637889</v>
      </c>
      <c r="Z23">
        <f t="shared" si="12"/>
        <v>5.616114633983381</v>
      </c>
      <c r="AA23">
        <f t="shared" si="6"/>
        <v>1.4364296504720055</v>
      </c>
      <c r="AB23">
        <f t="shared" si="7"/>
        <v>1.426784284455386</v>
      </c>
      <c r="AC23">
        <f t="shared" si="8"/>
        <v>6.4739346521378751</v>
      </c>
      <c r="AD23">
        <f t="shared" si="9"/>
        <v>0.57860963231751139</v>
      </c>
      <c r="AM23" t="s">
        <v>75</v>
      </c>
    </row>
    <row r="24" spans="1:53">
      <c r="A24">
        <v>22</v>
      </c>
      <c r="B24">
        <v>4.3298198396244043</v>
      </c>
      <c r="C24">
        <f t="shared" si="13"/>
        <v>6.4151530310021778</v>
      </c>
      <c r="D24">
        <f t="shared" si="13"/>
        <v>5.0323035859930521</v>
      </c>
      <c r="E24">
        <f t="shared" si="14"/>
        <v>5.6496491630964778</v>
      </c>
      <c r="F24">
        <f t="shared" si="17"/>
        <v>5.5973885657659759</v>
      </c>
      <c r="G24">
        <f t="shared" si="17"/>
        <v>5.9219267859378135</v>
      </c>
      <c r="H24">
        <f t="shared" si="17"/>
        <v>6.2816832930992073</v>
      </c>
      <c r="I24">
        <f t="shared" si="0"/>
        <v>1.9518634534748029</v>
      </c>
      <c r="J24">
        <f t="shared" si="15"/>
        <v>5.7657793002856295</v>
      </c>
      <c r="K24">
        <f t="shared" si="19"/>
        <v>5.7565259647618277</v>
      </c>
      <c r="L24">
        <f t="shared" si="19"/>
        <v>6.1818524118014961</v>
      </c>
      <c r="M24">
        <f t="shared" si="19"/>
        <v>6.595175496034221</v>
      </c>
      <c r="N24">
        <f t="shared" si="1"/>
        <v>2.2653556564098167</v>
      </c>
      <c r="O24">
        <f t="shared" si="16"/>
        <v>5.478587408153385</v>
      </c>
      <c r="P24">
        <f t="shared" si="20"/>
        <v>5.8313720981760664</v>
      </c>
      <c r="Q24">
        <f t="shared" si="18"/>
        <v>5.853747825969184</v>
      </c>
      <c r="R24">
        <f t="shared" si="21"/>
        <v>6.0503121592680804</v>
      </c>
      <c r="S24">
        <f t="shared" si="21"/>
        <v>6.6954745081206264</v>
      </c>
      <c r="T24">
        <f t="shared" si="2"/>
        <v>2.3656546684962221</v>
      </c>
      <c r="U24">
        <f t="shared" si="3"/>
        <v>-2.3656546684962221</v>
      </c>
      <c r="V24">
        <f t="shared" si="10"/>
        <v>6.3935996838784623</v>
      </c>
      <c r="W24">
        <f t="shared" si="4"/>
        <v>-2.063779844254058</v>
      </c>
      <c r="X24">
        <f t="shared" si="11"/>
        <v>6.0997362365643557</v>
      </c>
      <c r="Y24">
        <f t="shared" si="5"/>
        <v>-1.7699163969399514</v>
      </c>
      <c r="Z24">
        <f t="shared" si="12"/>
        <v>6.0470435291249824</v>
      </c>
      <c r="AA24">
        <f t="shared" si="6"/>
        <v>-1.7172236895005781</v>
      </c>
      <c r="AB24">
        <f t="shared" si="7"/>
        <v>-1.3015001603755962</v>
      </c>
      <c r="AC24">
        <f t="shared" si="8"/>
        <v>6.4249271839670117</v>
      </c>
      <c r="AD24">
        <f t="shared" si="9"/>
        <v>-2.0951073443426074</v>
      </c>
    </row>
    <row r="25" spans="1:53">
      <c r="A25">
        <v>23</v>
      </c>
      <c r="B25">
        <v>4.6674863807388984</v>
      </c>
      <c r="C25">
        <f t="shared" si="13"/>
        <v>5.6911820620398954</v>
      </c>
      <c r="D25">
        <f t="shared" si="13"/>
        <v>5.6816773167096013</v>
      </c>
      <c r="E25">
        <f t="shared" si="14"/>
        <v>5.7200419672095864</v>
      </c>
      <c r="F25">
        <f t="shared" si="17"/>
        <v>5.4613227905175057</v>
      </c>
      <c r="G25">
        <f t="shared" si="17"/>
        <v>5.7756583509283246</v>
      </c>
      <c r="H25">
        <f t="shared" si="17"/>
        <v>6.1072383943749751</v>
      </c>
      <c r="I25">
        <f t="shared" si="0"/>
        <v>1.4397520136360766</v>
      </c>
      <c r="J25">
        <f t="shared" si="15"/>
        <v>5.3196918322284592</v>
      </c>
      <c r="K25">
        <f t="shared" si="19"/>
        <v>5.6686302662326433</v>
      </c>
      <c r="L25">
        <f t="shared" si="19"/>
        <v>6.0272675392828656</v>
      </c>
      <c r="M25">
        <f t="shared" si="19"/>
        <v>6.42027500668559</v>
      </c>
      <c r="N25">
        <f t="shared" si="1"/>
        <v>1.7527886259466916</v>
      </c>
      <c r="O25">
        <f t="shared" si="16"/>
        <v>5.1892507419305476</v>
      </c>
      <c r="P25">
        <f t="shared" si="20"/>
        <v>5.7024187871239471</v>
      </c>
      <c r="Q25">
        <f t="shared" si="18"/>
        <v>5.5587517683849574</v>
      </c>
      <c r="R25">
        <f t="shared" si="21"/>
        <v>5.9808994135498219</v>
      </c>
      <c r="S25">
        <f t="shared" si="21"/>
        <v>6.5182736828496246</v>
      </c>
      <c r="T25">
        <f t="shared" si="2"/>
        <v>1.8507873021107262</v>
      </c>
      <c r="U25">
        <f t="shared" si="3"/>
        <v>-1.8507873021107262</v>
      </c>
      <c r="V25">
        <f t="shared" si="10"/>
        <v>6.1872216994530564</v>
      </c>
      <c r="W25">
        <f t="shared" si="4"/>
        <v>-1.519735318714158</v>
      </c>
      <c r="X25">
        <f t="shared" si="11"/>
        <v>5.7457529571763652</v>
      </c>
      <c r="Y25">
        <f t="shared" si="5"/>
        <v>-1.0782665764374668</v>
      </c>
      <c r="Z25">
        <f t="shared" si="12"/>
        <v>5.5318764222748094</v>
      </c>
      <c r="AA25">
        <f t="shared" si="6"/>
        <v>-0.86439004153591092</v>
      </c>
      <c r="AB25">
        <f t="shared" si="7"/>
        <v>-0.96939361926110212</v>
      </c>
      <c r="AC25">
        <f t="shared" si="8"/>
        <v>6.376169869121048</v>
      </c>
      <c r="AD25">
        <f t="shared" si="9"/>
        <v>-1.7086834883821496</v>
      </c>
    </row>
    <row r="26" spans="1:53">
      <c r="A26">
        <v>24</v>
      </c>
      <c r="B26">
        <v>4.7501909267997062</v>
      </c>
      <c r="C26">
        <f t="shared" si="13"/>
        <v>4.4986531101816514</v>
      </c>
      <c r="D26">
        <f t="shared" si="13"/>
        <v>6.0531675465210366</v>
      </c>
      <c r="E26">
        <f t="shared" si="14"/>
        <v>5.3499501682728967</v>
      </c>
      <c r="F26">
        <f t="shared" si="17"/>
        <v>5.568849589733925</v>
      </c>
      <c r="G26">
        <f t="shared" si="17"/>
        <v>5.5982517166090373</v>
      </c>
      <c r="H26">
        <f t="shared" si="17"/>
        <v>5.9390682905279162</v>
      </c>
      <c r="I26">
        <f t="shared" si="0"/>
        <v>1.18887736372821</v>
      </c>
      <c r="J26">
        <f t="shared" si="15"/>
        <v>5.456903070591915</v>
      </c>
      <c r="K26">
        <f t="shared" si="19"/>
        <v>5.5377632443810665</v>
      </c>
      <c r="L26">
        <f t="shared" si="19"/>
        <v>5.8622996608995344</v>
      </c>
      <c r="M26">
        <f t="shared" si="19"/>
        <v>6.2627467573644129</v>
      </c>
      <c r="N26">
        <f t="shared" si="1"/>
        <v>1.5125558305647067</v>
      </c>
      <c r="O26">
        <f t="shared" si="16"/>
        <v>5.3155606418334731</v>
      </c>
      <c r="P26">
        <f t="shared" si="20"/>
        <v>5.5169242119315545</v>
      </c>
      <c r="Q26">
        <f t="shared" si="18"/>
        <v>5.3434039035843037</v>
      </c>
      <c r="R26">
        <f t="shared" si="21"/>
        <v>5.8425149541760497</v>
      </c>
      <c r="S26">
        <f t="shared" si="21"/>
        <v>6.3590340573414936</v>
      </c>
      <c r="T26">
        <f t="shared" si="2"/>
        <v>1.6088431305417874</v>
      </c>
      <c r="U26">
        <f t="shared" si="3"/>
        <v>-1.6088431305417874</v>
      </c>
      <c r="V26">
        <f t="shared" si="10"/>
        <v>6.0352481675816403</v>
      </c>
      <c r="W26">
        <f t="shared" si="4"/>
        <v>-1.2850572407819341</v>
      </c>
      <c r="X26">
        <f t="shared" si="11"/>
        <v>5.5300996418888717</v>
      </c>
      <c r="Y26">
        <f t="shared" si="5"/>
        <v>-0.77990871508916548</v>
      </c>
      <c r="Z26">
        <f t="shared" si="12"/>
        <v>5.2725594098140363</v>
      </c>
      <c r="AA26">
        <f t="shared" si="6"/>
        <v>-0.52236848301433003</v>
      </c>
      <c r="AB26">
        <f t="shared" si="7"/>
        <v>-0.89224907320029434</v>
      </c>
      <c r="AC26">
        <f t="shared" si="8"/>
        <v>6.3276764593135519</v>
      </c>
      <c r="AD26">
        <f t="shared" si="9"/>
        <v>-1.5774855325138457</v>
      </c>
    </row>
    <row r="27" spans="1:53">
      <c r="A27">
        <v>25</v>
      </c>
      <c r="B27">
        <v>7.8835355632022983</v>
      </c>
      <c r="C27">
        <f t="shared" si="13"/>
        <v>4.7088386537693019</v>
      </c>
      <c r="D27">
        <f t="shared" si="13"/>
        <v>5.0949175861107729</v>
      </c>
      <c r="E27">
        <f t="shared" si="14"/>
        <v>4.5824990490543369</v>
      </c>
      <c r="F27">
        <f t="shared" si="17"/>
        <v>5.5732137661929864</v>
      </c>
      <c r="G27">
        <f t="shared" si="17"/>
        <v>5.5425203153391358</v>
      </c>
      <c r="H27">
        <f t="shared" si="17"/>
        <v>5.7652789511583924</v>
      </c>
      <c r="I27">
        <f t="shared" si="0"/>
        <v>-2.1182566120439059</v>
      </c>
      <c r="J27">
        <f t="shared" si="15"/>
        <v>5.2000103579045991</v>
      </c>
      <c r="K27">
        <f t="shared" si="19"/>
        <v>5.5087277061658728</v>
      </c>
      <c r="L27">
        <f t="shared" si="19"/>
        <v>5.7218465125546096</v>
      </c>
      <c r="M27">
        <f t="shared" si="19"/>
        <v>6.1008563270295282</v>
      </c>
      <c r="N27">
        <f t="shared" si="1"/>
        <v>-1.7826792361727701</v>
      </c>
      <c r="O27">
        <f t="shared" si="16"/>
        <v>5.7367153989641384</v>
      </c>
      <c r="P27">
        <f t="shared" si="20"/>
        <v>5.4803850960652838</v>
      </c>
      <c r="Q27">
        <f t="shared" si="18"/>
        <v>5.1160741060754074</v>
      </c>
      <c r="R27">
        <f t="shared" si="21"/>
        <v>5.7010461921298452</v>
      </c>
      <c r="S27">
        <f t="shared" si="21"/>
        <v>6.2006523300541758</v>
      </c>
      <c r="T27">
        <f t="shared" si="2"/>
        <v>-1.6828832331481225</v>
      </c>
      <c r="U27">
        <f t="shared" si="3"/>
        <v>1.6828832331481225</v>
      </c>
      <c r="V27">
        <f t="shared" si="10"/>
        <v>5.9067424435034468</v>
      </c>
      <c r="W27">
        <f t="shared" si="4"/>
        <v>1.9767931196988515</v>
      </c>
      <c r="X27">
        <f t="shared" si="11"/>
        <v>5.374117898871039</v>
      </c>
      <c r="Y27">
        <f t="shared" si="5"/>
        <v>2.5094176643312593</v>
      </c>
      <c r="Z27">
        <f t="shared" si="12"/>
        <v>5.1158488649097373</v>
      </c>
      <c r="AA27">
        <f t="shared" si="6"/>
        <v>2.767686698292561</v>
      </c>
      <c r="AB27">
        <f t="shared" si="7"/>
        <v>2.2355355632022977</v>
      </c>
      <c r="AC27">
        <f t="shared" si="8"/>
        <v>6.2794606329528371</v>
      </c>
      <c r="AD27">
        <f t="shared" si="9"/>
        <v>1.6040749302494612</v>
      </c>
    </row>
    <row r="28" spans="1:53">
      <c r="A28">
        <v>26</v>
      </c>
      <c r="B28">
        <v>7.5453159595133448</v>
      </c>
      <c r="C28">
        <f t="shared" si="13"/>
        <v>6.3168632450010023</v>
      </c>
      <c r="D28">
        <f t="shared" si="13"/>
        <v>4.6037458819754766</v>
      </c>
      <c r="E28">
        <f t="shared" si="14"/>
        <v>5.767070956913634</v>
      </c>
      <c r="F28">
        <f t="shared" si="17"/>
        <v>5.2174970615122733</v>
      </c>
      <c r="G28">
        <f t="shared" si="17"/>
        <v>5.534462048814806</v>
      </c>
      <c r="H28">
        <f t="shared" si="17"/>
        <v>5.6388101276254998</v>
      </c>
      <c r="I28">
        <f t="shared" si="0"/>
        <v>-1.9065058318878449</v>
      </c>
      <c r="J28">
        <f t="shared" si="15"/>
        <v>5.4077581775913268</v>
      </c>
      <c r="K28">
        <f t="shared" si="19"/>
        <v>5.4355961402526507</v>
      </c>
      <c r="L28">
        <f t="shared" si="19"/>
        <v>5.6179117953853517</v>
      </c>
      <c r="M28">
        <f t="shared" si="19"/>
        <v>5.9483165311346262</v>
      </c>
      <c r="N28">
        <f t="shared" si="1"/>
        <v>-1.5969994283787186</v>
      </c>
      <c r="O28">
        <f t="shared" si="16"/>
        <v>5.8352697339757302</v>
      </c>
      <c r="P28">
        <f t="shared" si="20"/>
        <v>5.504930469003722</v>
      </c>
      <c r="Q28">
        <f t="shared" si="18"/>
        <v>5.7435564620616111</v>
      </c>
      <c r="R28">
        <f t="shared" si="21"/>
        <v>5.5334213340056628</v>
      </c>
      <c r="S28">
        <f t="shared" si="21"/>
        <v>6.0475198055603867</v>
      </c>
      <c r="T28">
        <f t="shared" si="2"/>
        <v>-1.4977961539529581</v>
      </c>
      <c r="U28">
        <f t="shared" si="3"/>
        <v>1.4977961539529581</v>
      </c>
      <c r="V28">
        <f t="shared" si="10"/>
        <v>6.1044217554733322</v>
      </c>
      <c r="W28">
        <f t="shared" si="4"/>
        <v>1.4408942040400126</v>
      </c>
      <c r="X28">
        <f t="shared" si="11"/>
        <v>5.8760014317372908</v>
      </c>
      <c r="Y28">
        <f t="shared" si="5"/>
        <v>1.6693145277760539</v>
      </c>
      <c r="Z28">
        <f t="shared" si="12"/>
        <v>5.9461548743975055</v>
      </c>
      <c r="AA28">
        <f t="shared" si="6"/>
        <v>1.5991610851158393</v>
      </c>
      <c r="AB28">
        <f t="shared" si="7"/>
        <v>1.8917559595133442</v>
      </c>
      <c r="AC28">
        <f t="shared" si="8"/>
        <v>6.2315359913424855</v>
      </c>
      <c r="AD28">
        <f t="shared" si="9"/>
        <v>1.3137799681708593</v>
      </c>
      <c r="AK28" s="22" t="s">
        <v>146</v>
      </c>
    </row>
    <row r="29" spans="1:53">
      <c r="A29">
        <v>27</v>
      </c>
      <c r="B29">
        <v>7.8824700474618803</v>
      </c>
      <c r="C29">
        <f t="shared" si="13"/>
        <v>7.7144257613578215</v>
      </c>
      <c r="D29">
        <f t="shared" si="13"/>
        <v>5.5128509493851521</v>
      </c>
      <c r="E29">
        <f t="shared" si="14"/>
        <v>6.7263474831717831</v>
      </c>
      <c r="F29">
        <f t="shared" si="17"/>
        <v>5.2331733914136223</v>
      </c>
      <c r="G29">
        <f t="shared" si="17"/>
        <v>5.4531868058130613</v>
      </c>
      <c r="H29">
        <f t="shared" si="17"/>
        <v>5.5584113602543264</v>
      </c>
      <c r="I29">
        <f t="shared" si="0"/>
        <v>-2.3240586872075539</v>
      </c>
      <c r="J29">
        <f t="shared" si="15"/>
        <v>6.2116322075635617</v>
      </c>
      <c r="K29">
        <f t="shared" si="19"/>
        <v>5.3460908595790748</v>
      </c>
      <c r="L29">
        <f t="shared" si="19"/>
        <v>5.5376793392580588</v>
      </c>
      <c r="M29">
        <f t="shared" si="19"/>
        <v>5.8073313770305912</v>
      </c>
      <c r="N29">
        <f t="shared" si="1"/>
        <v>-2.0751386704312891</v>
      </c>
      <c r="O29">
        <f t="shared" si="16"/>
        <v>6.5457997755432258</v>
      </c>
      <c r="P29">
        <f t="shared" si="20"/>
        <v>5.511076784971455</v>
      </c>
      <c r="Q29">
        <f t="shared" si="18"/>
        <v>6.038148825722339</v>
      </c>
      <c r="R29">
        <f t="shared" si="21"/>
        <v>5.5267290911062759</v>
      </c>
      <c r="S29">
        <f t="shared" si="21"/>
        <v>5.8928523378622613</v>
      </c>
      <c r="T29">
        <f t="shared" si="2"/>
        <v>-1.989617709599619</v>
      </c>
      <c r="U29">
        <f t="shared" si="3"/>
        <v>1.989617709599619</v>
      </c>
      <c r="V29">
        <f t="shared" si="10"/>
        <v>6.2485111758773337</v>
      </c>
      <c r="W29">
        <f t="shared" si="4"/>
        <v>1.6339588715845466</v>
      </c>
      <c r="X29">
        <f t="shared" si="11"/>
        <v>6.209864337292502</v>
      </c>
      <c r="Y29">
        <f t="shared" si="5"/>
        <v>1.6726057101693783</v>
      </c>
      <c r="Z29">
        <f t="shared" si="12"/>
        <v>6.4259031999322573</v>
      </c>
      <c r="AA29">
        <f t="shared" si="6"/>
        <v>1.456566847529623</v>
      </c>
      <c r="AB29">
        <f t="shared" si="7"/>
        <v>2.2233500474618797</v>
      </c>
      <c r="AC29">
        <f t="shared" si="8"/>
        <v>6.1839160549033041</v>
      </c>
      <c r="AD29">
        <f t="shared" si="9"/>
        <v>1.6985539925585762</v>
      </c>
    </row>
    <row r="30" spans="1:53">
      <c r="A30">
        <v>28</v>
      </c>
      <c r="B30">
        <v>7.3575190178895351</v>
      </c>
      <c r="C30">
        <f t="shared" si="13"/>
        <v>7.7138930034876125</v>
      </c>
      <c r="D30">
        <f t="shared" si="13"/>
        <v>7.0156445031794119</v>
      </c>
      <c r="E30">
        <f t="shared" si="14"/>
        <v>7.7704405233925078</v>
      </c>
      <c r="F30">
        <f t="shared" si="17"/>
        <v>5.6919724963799183</v>
      </c>
      <c r="G30">
        <f t="shared" si="17"/>
        <v>5.3412947397062949</v>
      </c>
      <c r="H30">
        <f t="shared" si="17"/>
        <v>5.5100563899890007</v>
      </c>
      <c r="I30">
        <f t="shared" si="0"/>
        <v>-1.8474626279005344</v>
      </c>
      <c r="J30">
        <f t="shared" si="15"/>
        <v>7.0153781242443074</v>
      </c>
      <c r="K30">
        <f t="shared" si="19"/>
        <v>5.5690759534128507</v>
      </c>
      <c r="L30">
        <f t="shared" si="19"/>
        <v>5.4570444875946658</v>
      </c>
      <c r="M30">
        <f t="shared" si="19"/>
        <v>5.6849343270243891</v>
      </c>
      <c r="N30">
        <f t="shared" si="1"/>
        <v>-1.6725846908651461</v>
      </c>
      <c r="O30">
        <f t="shared" si="16"/>
        <v>7.0838063029733531</v>
      </c>
      <c r="P30">
        <f t="shared" si="20"/>
        <v>5.7245192584494227</v>
      </c>
      <c r="Q30">
        <f t="shared" si="18"/>
        <v>6.1764697862234224</v>
      </c>
      <c r="R30">
        <f t="shared" si="21"/>
        <v>5.608947148632967</v>
      </c>
      <c r="S30">
        <f t="shared" si="21"/>
        <v>5.7724871907059558</v>
      </c>
      <c r="T30">
        <f t="shared" si="2"/>
        <v>-1.5850318271835793</v>
      </c>
      <c r="U30">
        <f t="shared" si="3"/>
        <v>1.5850318271835793</v>
      </c>
      <c r="V30">
        <f t="shared" si="10"/>
        <v>6.4119070630357884</v>
      </c>
      <c r="W30">
        <f t="shared" si="4"/>
        <v>0.94561195485374672</v>
      </c>
      <c r="X30">
        <f t="shared" si="11"/>
        <v>6.5443854793263778</v>
      </c>
      <c r="Y30">
        <f t="shared" si="5"/>
        <v>0.81313353856315729</v>
      </c>
      <c r="Z30">
        <f t="shared" si="12"/>
        <v>6.8628732541911441</v>
      </c>
      <c r="AA30">
        <f t="shared" si="6"/>
        <v>0.49464576369839097</v>
      </c>
      <c r="AB30">
        <f t="shared" si="7"/>
        <v>1.6928390178895345</v>
      </c>
      <c r="AC30">
        <f t="shared" si="8"/>
        <v>6.1366142594177298</v>
      </c>
      <c r="AD30">
        <f t="shared" si="9"/>
        <v>1.2209047584718054</v>
      </c>
    </row>
    <row r="31" spans="1:53">
      <c r="A31">
        <v>29</v>
      </c>
      <c r="B31">
        <v>6.5946564853166052</v>
      </c>
      <c r="C31">
        <f t="shared" si="13"/>
        <v>7.6199945326757081</v>
      </c>
      <c r="D31">
        <f t="shared" si="13"/>
        <v>7.714159382422717</v>
      </c>
      <c r="E31">
        <f t="shared" si="14"/>
        <v>7.5951016749549209</v>
      </c>
      <c r="F31">
        <f t="shared" si="17"/>
        <v>6.7546196544926422</v>
      </c>
      <c r="G31">
        <f t="shared" si="17"/>
        <v>5.380880983101938</v>
      </c>
      <c r="H31">
        <f t="shared" si="17"/>
        <v>5.4429811981113874</v>
      </c>
      <c r="I31">
        <f t="shared" si="0"/>
        <v>-1.1516752872052178</v>
      </c>
      <c r="J31">
        <f t="shared" si="15"/>
        <v>7.667210147016764</v>
      </c>
      <c r="K31">
        <f t="shared" si="19"/>
        <v>5.9586947168259483</v>
      </c>
      <c r="L31">
        <f t="shared" si="19"/>
        <v>5.4648726648526118</v>
      </c>
      <c r="M31">
        <f t="shared" si="19"/>
        <v>5.5836205336981717</v>
      </c>
      <c r="N31">
        <f t="shared" si="1"/>
        <v>-1.0110359516184335</v>
      </c>
      <c r="O31">
        <f t="shared" si="16"/>
        <v>7.452699414676732</v>
      </c>
      <c r="P31">
        <f t="shared" si="20"/>
        <v>6.1034303706579847</v>
      </c>
      <c r="Q31">
        <f t="shared" si="18"/>
        <v>6.6810863159342775</v>
      </c>
      <c r="R31">
        <f t="shared" si="21"/>
        <v>5.6627341420086736</v>
      </c>
      <c r="S31">
        <f t="shared" si="21"/>
        <v>5.6989263556001033</v>
      </c>
      <c r="T31">
        <f t="shared" si="2"/>
        <v>-0.8957301297165019</v>
      </c>
      <c r="U31">
        <f t="shared" si="3"/>
        <v>0.8957301297165019</v>
      </c>
      <c r="V31">
        <f t="shared" si="10"/>
        <v>6.5064682585211635</v>
      </c>
      <c r="W31">
        <f t="shared" si="4"/>
        <v>8.8188226795441693E-2</v>
      </c>
      <c r="X31">
        <f t="shared" si="11"/>
        <v>6.7070121870390089</v>
      </c>
      <c r="Y31">
        <f t="shared" si="5"/>
        <v>-0.11235570172240372</v>
      </c>
      <c r="Z31">
        <f t="shared" si="12"/>
        <v>7.0112669833006613</v>
      </c>
      <c r="AA31">
        <f t="shared" si="6"/>
        <v>-0.41661049798405614</v>
      </c>
      <c r="AB31">
        <f t="shared" si="7"/>
        <v>0.92441648531660459</v>
      </c>
      <c r="AC31">
        <f t="shared" si="8"/>
        <v>6.0896439522977568</v>
      </c>
      <c r="AD31">
        <f t="shared" si="9"/>
        <v>0.50501253301884841</v>
      </c>
    </row>
    <row r="32" spans="1:53">
      <c r="A32">
        <v>30</v>
      </c>
      <c r="B32">
        <v>4.7585540439543745</v>
      </c>
      <c r="C32">
        <f t="shared" si="13"/>
        <v>6.9760877516030702</v>
      </c>
      <c r="D32">
        <f t="shared" si="13"/>
        <v>7.6669437680816603</v>
      </c>
      <c r="E32">
        <f t="shared" si="14"/>
        <v>7.2782151835560072</v>
      </c>
      <c r="F32">
        <f t="shared" si="17"/>
        <v>7.3639632271730706</v>
      </c>
      <c r="G32">
        <f t="shared" si="17"/>
        <v>5.8932551807620612</v>
      </c>
      <c r="H32">
        <f t="shared" si="17"/>
        <v>5.391787509540432</v>
      </c>
      <c r="I32">
        <f t="shared" si="0"/>
        <v>0.63323346558605742</v>
      </c>
      <c r="J32">
        <f t="shared" si="15"/>
        <v>7.3449903775453418</v>
      </c>
      <c r="K32">
        <f t="shared" si="19"/>
        <v>6.5754946641039895</v>
      </c>
      <c r="L32">
        <f t="shared" si="19"/>
        <v>5.5773644175176313</v>
      </c>
      <c r="M32">
        <f t="shared" si="19"/>
        <v>5.5193770717726718</v>
      </c>
      <c r="N32">
        <f t="shared" si="1"/>
        <v>0.76082302781829725</v>
      </c>
      <c r="O32">
        <f t="shared" si="16"/>
        <v>6.8277031108271489</v>
      </c>
      <c r="P32">
        <f t="shared" si="20"/>
        <v>6.5308581252266364</v>
      </c>
      <c r="Q32">
        <f t="shared" si="18"/>
        <v>7.0022813333638956</v>
      </c>
      <c r="R32">
        <f t="shared" si="21"/>
        <v>5.8497898999335609</v>
      </c>
      <c r="S32">
        <f t="shared" si="21"/>
        <v>5.6458988103432448</v>
      </c>
      <c r="T32">
        <f t="shared" si="2"/>
        <v>0.88734476638887028</v>
      </c>
      <c r="U32">
        <f t="shared" si="3"/>
        <v>-0.88734476638887028</v>
      </c>
      <c r="V32">
        <f t="shared" si="10"/>
        <v>6.5152870812007073</v>
      </c>
      <c r="W32">
        <f t="shared" si="4"/>
        <v>-1.7567330372463328</v>
      </c>
      <c r="X32">
        <f t="shared" si="11"/>
        <v>6.6845410466945285</v>
      </c>
      <c r="Y32">
        <f t="shared" si="5"/>
        <v>-1.925987002740154</v>
      </c>
      <c r="Z32">
        <f t="shared" si="12"/>
        <v>6.8862838339054449</v>
      </c>
      <c r="AA32">
        <f t="shared" si="6"/>
        <v>-2.1277297899510703</v>
      </c>
      <c r="AB32">
        <f t="shared" si="7"/>
        <v>-0.91724595604562609</v>
      </c>
      <c r="AC32">
        <f t="shared" si="8"/>
        <v>6.0430183888774112</v>
      </c>
      <c r="AD32">
        <f t="shared" si="9"/>
        <v>-1.2844643449230366</v>
      </c>
    </row>
    <row r="33" spans="1:39">
      <c r="A33">
        <v>31</v>
      </c>
      <c r="B33">
        <v>4.6528960403792174</v>
      </c>
      <c r="C33">
        <f t="shared" si="13"/>
        <v>5.6766052646354899</v>
      </c>
      <c r="D33">
        <f t="shared" si="13"/>
        <v>7.2980411421393896</v>
      </c>
      <c r="E33">
        <f t="shared" si="14"/>
        <v>6.2369098490535047</v>
      </c>
      <c r="F33">
        <f t="shared" si="17"/>
        <v>7.547919127301145</v>
      </c>
      <c r="G33">
        <f t="shared" si="17"/>
        <v>6.6035184593485434</v>
      </c>
      <c r="H33">
        <f t="shared" si="17"/>
        <v>5.5384769678567638</v>
      </c>
      <c r="I33">
        <f t="shared" si="0"/>
        <v>0.88558092747754635</v>
      </c>
      <c r="J33">
        <f t="shared" si="15"/>
        <v>6.6482998986555994</v>
      </c>
      <c r="K33">
        <f t="shared" si="19"/>
        <v>7.059802714092493</v>
      </c>
      <c r="L33">
        <f t="shared" si="19"/>
        <v>5.8623390484804654</v>
      </c>
      <c r="M33">
        <f t="shared" si="19"/>
        <v>5.5092402273057415</v>
      </c>
      <c r="N33">
        <f t="shared" si="1"/>
        <v>0.85634418692652403</v>
      </c>
      <c r="O33">
        <f t="shared" si="16"/>
        <v>6.2492191270003232</v>
      </c>
      <c r="P33">
        <f t="shared" si="20"/>
        <v>6.7490556675992384</v>
      </c>
      <c r="Q33">
        <f t="shared" si="18"/>
        <v>7.0036751862230062</v>
      </c>
      <c r="R33">
        <f t="shared" si="21"/>
        <v>6.126269471563492</v>
      </c>
      <c r="S33">
        <f t="shared" si="21"/>
        <v>5.6471113013028313</v>
      </c>
      <c r="T33">
        <f t="shared" si="2"/>
        <v>0.9942152609236139</v>
      </c>
      <c r="U33">
        <f t="shared" si="3"/>
        <v>-0.9942152609236139</v>
      </c>
      <c r="V33">
        <f t="shared" si="10"/>
        <v>6.3396137774760737</v>
      </c>
      <c r="W33">
        <f t="shared" si="4"/>
        <v>-1.6867177370968562</v>
      </c>
      <c r="X33">
        <f t="shared" si="11"/>
        <v>6.2993436461464976</v>
      </c>
      <c r="Y33">
        <f t="shared" si="5"/>
        <v>-1.6464476057672801</v>
      </c>
      <c r="Z33">
        <f t="shared" si="12"/>
        <v>6.2479648969201236</v>
      </c>
      <c r="AA33">
        <f t="shared" si="6"/>
        <v>-1.5950688565409061</v>
      </c>
      <c r="AB33">
        <f t="shared" si="7"/>
        <v>-1.0284639596207832</v>
      </c>
      <c r="AC33">
        <f t="shared" si="8"/>
        <v>5.9967507287307997</v>
      </c>
      <c r="AD33">
        <f t="shared" si="9"/>
        <v>-1.3438546883515823</v>
      </c>
    </row>
    <row r="34" spans="1:39">
      <c r="A34">
        <v>32</v>
      </c>
      <c r="B34">
        <v>6.2991068548848217</v>
      </c>
      <c r="C34">
        <f t="shared" si="13"/>
        <v>4.7057250421667955</v>
      </c>
      <c r="D34">
        <f t="shared" si="13"/>
        <v>6.32634650811928</v>
      </c>
      <c r="E34">
        <f t="shared" si="14"/>
        <v>5.3353688565500654</v>
      </c>
      <c r="F34">
        <f t="shared" si="17"/>
        <v>7.0367422358548106</v>
      </c>
      <c r="G34">
        <f t="shared" si="17"/>
        <v>7.2221673363222862</v>
      </c>
      <c r="H34">
        <f t="shared" si="17"/>
        <v>5.9592182077375142</v>
      </c>
      <c r="I34">
        <f t="shared" si="0"/>
        <v>-0.33988864714730749</v>
      </c>
      <c r="J34">
        <f t="shared" si="15"/>
        <v>5.8409063968849333</v>
      </c>
      <c r="K34">
        <f t="shared" si="19"/>
        <v>7.1689696368655031</v>
      </c>
      <c r="L34">
        <f t="shared" si="19"/>
        <v>6.2907670121088195</v>
      </c>
      <c r="M34">
        <f t="shared" si="19"/>
        <v>5.5904051546113438</v>
      </c>
      <c r="N34">
        <f t="shared" si="1"/>
        <v>-0.7087017002734779</v>
      </c>
      <c r="O34">
        <f t="shared" si="16"/>
        <v>5.9325464884849115</v>
      </c>
      <c r="P34">
        <f t="shared" si="20"/>
        <v>6.8318455462041552</v>
      </c>
      <c r="Q34">
        <f t="shared" si="18"/>
        <v>6.4652352657524936</v>
      </c>
      <c r="R34">
        <f t="shared" si="21"/>
        <v>6.4408696515880921</v>
      </c>
      <c r="S34">
        <f t="shared" si="21"/>
        <v>5.7179818478751052</v>
      </c>
      <c r="T34">
        <f t="shared" si="2"/>
        <v>-0.58112500700971648</v>
      </c>
      <c r="U34">
        <f t="shared" si="3"/>
        <v>0.58112500700971648</v>
      </c>
      <c r="V34">
        <f t="shared" si="10"/>
        <v>6.1709420037663882</v>
      </c>
      <c r="W34">
        <f t="shared" si="4"/>
        <v>0.12816485111843345</v>
      </c>
      <c r="X34">
        <f t="shared" si="11"/>
        <v>5.9700541249930419</v>
      </c>
      <c r="Y34">
        <f t="shared" si="5"/>
        <v>0.3290527298917798</v>
      </c>
      <c r="Z34">
        <f t="shared" si="12"/>
        <v>5.7694442399578518</v>
      </c>
      <c r="AA34">
        <f t="shared" si="6"/>
        <v>0.52966261492696987</v>
      </c>
      <c r="AB34">
        <f t="shared" si="7"/>
        <v>0.61218685488482105</v>
      </c>
      <c r="AC34">
        <f t="shared" si="8"/>
        <v>5.950854032016748</v>
      </c>
      <c r="AD34">
        <f t="shared" si="9"/>
        <v>0.34825282286807369</v>
      </c>
    </row>
    <row r="35" spans="1:39">
      <c r="A35">
        <v>33</v>
      </c>
      <c r="B35">
        <v>5.6907630124780653</v>
      </c>
      <c r="C35">
        <f t="shared" si="13"/>
        <v>5.4760014476320196</v>
      </c>
      <c r="D35">
        <f t="shared" si="13"/>
        <v>5.1911651534011423</v>
      </c>
      <c r="E35">
        <f t="shared" si="14"/>
        <v>5.2368523130728049</v>
      </c>
      <c r="F35">
        <f t="shared" si="17"/>
        <v>6.2834979630531924</v>
      </c>
      <c r="G35">
        <f t="shared" si="17"/>
        <v>7.3162081967763415</v>
      </c>
      <c r="H35">
        <f t="shared" si="17"/>
        <v>6.57298032547763</v>
      </c>
      <c r="I35">
        <f t="shared" si="0"/>
        <v>0.88221731299956474</v>
      </c>
      <c r="J35">
        <f t="shared" si="15"/>
        <v>5.5763033561337547</v>
      </c>
      <c r="K35">
        <f t="shared" si="19"/>
        <v>6.8753517050256594</v>
      </c>
      <c r="L35">
        <f t="shared" si="19"/>
        <v>6.6907404329719835</v>
      </c>
      <c r="M35">
        <f t="shared" si="19"/>
        <v>5.7988357857398816</v>
      </c>
      <c r="N35">
        <f t="shared" si="1"/>
        <v>0.1080727732618163</v>
      </c>
      <c r="O35">
        <f t="shared" si="16"/>
        <v>5.5991952874026172</v>
      </c>
      <c r="P35">
        <f t="shared" si="20"/>
        <v>6.7091948887924939</v>
      </c>
      <c r="Q35">
        <f t="shared" si="18"/>
        <v>6.2575337483144056</v>
      </c>
      <c r="R35">
        <f t="shared" si="21"/>
        <v>6.5611494522032388</v>
      </c>
      <c r="S35">
        <f t="shared" si="21"/>
        <v>5.8692232341388442</v>
      </c>
      <c r="T35">
        <f t="shared" si="2"/>
        <v>0.17846022166077891</v>
      </c>
      <c r="U35">
        <f t="shared" si="3"/>
        <v>-0.17846022166077891</v>
      </c>
      <c r="V35">
        <f t="shared" si="10"/>
        <v>6.1837584888782313</v>
      </c>
      <c r="W35">
        <f t="shared" si="4"/>
        <v>-0.49299547640016605</v>
      </c>
      <c r="X35">
        <f t="shared" si="11"/>
        <v>6.0358646709713977</v>
      </c>
      <c r="Y35">
        <f t="shared" si="5"/>
        <v>-0.34510165849333241</v>
      </c>
      <c r="Z35">
        <f t="shared" si="12"/>
        <v>5.928343024435943</v>
      </c>
      <c r="AA35">
        <f t="shared" si="6"/>
        <v>-0.2375800119578777</v>
      </c>
      <c r="AB35">
        <f t="shared" si="7"/>
        <v>-1.716987521935387E-3</v>
      </c>
      <c r="AC35">
        <f t="shared" si="8"/>
        <v>5.9053412558510736</v>
      </c>
      <c r="AD35">
        <f t="shared" si="9"/>
        <v>-0.21457824337300835</v>
      </c>
    </row>
    <row r="36" spans="1:39">
      <c r="A36">
        <v>34</v>
      </c>
      <c r="B36">
        <v>5.695095873612793</v>
      </c>
      <c r="C36">
        <f t="shared" si="13"/>
        <v>5.9949349336814439</v>
      </c>
      <c r="D36">
        <f t="shared" si="13"/>
        <v>5.090863244899408</v>
      </c>
      <c r="E36">
        <f t="shared" si="14"/>
        <v>5.5475886359140345</v>
      </c>
      <c r="F36">
        <f t="shared" si="17"/>
        <v>5.6030436728921247</v>
      </c>
      <c r="G36">
        <f t="shared" si="17"/>
        <v>6.9560531087363833</v>
      </c>
      <c r="H36">
        <f t="shared" si="17"/>
        <v>7.0472979974823895</v>
      </c>
      <c r="I36">
        <f t="shared" si="0"/>
        <v>1.3522021238695965</v>
      </c>
      <c r="J36">
        <f t="shared" si="15"/>
        <v>5.3503299879241197</v>
      </c>
      <c r="K36">
        <f t="shared" si="19"/>
        <v>6.3526250073049066</v>
      </c>
      <c r="L36">
        <f t="shared" si="19"/>
        <v>6.9199046800219115</v>
      </c>
      <c r="M36">
        <f t="shared" si="19"/>
        <v>6.1053027277697254</v>
      </c>
      <c r="N36">
        <f t="shared" si="1"/>
        <v>0.41020685415693237</v>
      </c>
      <c r="O36">
        <f t="shared" si="16"/>
        <v>5.419283165061854</v>
      </c>
      <c r="P36">
        <f t="shared" si="20"/>
        <v>6.4122726856783459</v>
      </c>
      <c r="Q36">
        <f t="shared" si="18"/>
        <v>5.8922492424837705</v>
      </c>
      <c r="R36">
        <f t="shared" si="21"/>
        <v>6.5977136059685835</v>
      </c>
      <c r="S36">
        <f t="shared" si="21"/>
        <v>6.0416266276550035</v>
      </c>
      <c r="T36">
        <f t="shared" si="2"/>
        <v>0.34653075404221045</v>
      </c>
      <c r="U36">
        <f t="shared" si="3"/>
        <v>-0.34653075404221045</v>
      </c>
      <c r="V36">
        <f t="shared" si="10"/>
        <v>6.1344589412382149</v>
      </c>
      <c r="W36">
        <f t="shared" si="4"/>
        <v>-0.43936306762542188</v>
      </c>
      <c r="X36">
        <f t="shared" si="11"/>
        <v>5.9668443392727308</v>
      </c>
      <c r="Y36">
        <f t="shared" si="5"/>
        <v>-0.27174846565993782</v>
      </c>
      <c r="Z36">
        <f t="shared" si="12"/>
        <v>5.8570690208485798</v>
      </c>
      <c r="AA36">
        <f t="shared" si="6"/>
        <v>-0.16197314723578682</v>
      </c>
      <c r="AB36">
        <f t="shared" si="7"/>
        <v>-2.9441263872076462E-3</v>
      </c>
      <c r="AC36">
        <f t="shared" si="8"/>
        <v>5.8602252507074661</v>
      </c>
      <c r="AD36">
        <f t="shared" si="9"/>
        <v>-0.16512937709467312</v>
      </c>
    </row>
    <row r="37" spans="1:39">
      <c r="A37">
        <v>35</v>
      </c>
      <c r="B37">
        <v>5.1427531820698169</v>
      </c>
      <c r="C37">
        <f t="shared" si="13"/>
        <v>5.6929294430454291</v>
      </c>
      <c r="D37">
        <f t="shared" si="13"/>
        <v>5.7354681906567322</v>
      </c>
      <c r="E37">
        <f t="shared" si="14"/>
        <v>5.8949885803252267</v>
      </c>
      <c r="F37">
        <f t="shared" si="17"/>
        <v>5.3732699351789686</v>
      </c>
      <c r="G37">
        <f t="shared" si="17"/>
        <v>6.307761290600042</v>
      </c>
      <c r="H37">
        <f t="shared" si="17"/>
        <v>7.1648095472783373</v>
      </c>
      <c r="I37">
        <f t="shared" si="0"/>
        <v>2.0220563652085204</v>
      </c>
      <c r="J37">
        <f t="shared" si="15"/>
        <v>5.5844654453387239</v>
      </c>
      <c r="K37">
        <f t="shared" si="19"/>
        <v>5.8539599098996025</v>
      </c>
      <c r="L37">
        <f t="shared" si="19"/>
        <v>6.8641872658221406</v>
      </c>
      <c r="M37">
        <f t="shared" si="19"/>
        <v>6.4409377933957943</v>
      </c>
      <c r="N37">
        <f t="shared" si="1"/>
        <v>1.2981846113259774</v>
      </c>
      <c r="O37">
        <f t="shared" si="16"/>
        <v>5.4961229926849429</v>
      </c>
      <c r="P37">
        <f t="shared" si="20"/>
        <v>6.005589435755371</v>
      </c>
      <c r="Q37">
        <f t="shared" si="18"/>
        <v>5.6151787184376465</v>
      </c>
      <c r="R37">
        <f t="shared" si="21"/>
        <v>6.5503435153453085</v>
      </c>
      <c r="S37">
        <f t="shared" si="21"/>
        <v>6.2064210372109407</v>
      </c>
      <c r="T37">
        <f t="shared" si="2"/>
        <v>1.0636678551411238</v>
      </c>
      <c r="U37">
        <f t="shared" si="3"/>
        <v>-1.0636678551411238</v>
      </c>
      <c r="V37">
        <f t="shared" si="10"/>
        <v>6.0905226344756729</v>
      </c>
      <c r="W37">
        <f t="shared" si="4"/>
        <v>-0.94776945240585597</v>
      </c>
      <c r="X37">
        <f t="shared" si="11"/>
        <v>5.9124946461407433</v>
      </c>
      <c r="Y37">
        <f t="shared" si="5"/>
        <v>-0.76974146407092636</v>
      </c>
      <c r="Z37">
        <f t="shared" si="12"/>
        <v>5.8084770766778435</v>
      </c>
      <c r="AA37">
        <f t="shared" si="6"/>
        <v>-0.66572389460802661</v>
      </c>
      <c r="AB37">
        <f t="shared" si="7"/>
        <v>-0.56084681793018376</v>
      </c>
      <c r="AC37">
        <f t="shared" si="8"/>
        <v>5.8155187568479905</v>
      </c>
      <c r="AD37">
        <f t="shared" si="9"/>
        <v>-0.67276557477817356</v>
      </c>
    </row>
    <row r="38" spans="1:39">
      <c r="A38">
        <v>36</v>
      </c>
      <c r="B38">
        <v>4.1797914994912215</v>
      </c>
      <c r="C38">
        <f t="shared" si="13"/>
        <v>5.4189245278413054</v>
      </c>
      <c r="D38">
        <f t="shared" si="13"/>
        <v>5.8439321883634365</v>
      </c>
      <c r="E38">
        <f t="shared" si="14"/>
        <v>5.509537356053559</v>
      </c>
      <c r="F38">
        <f t="shared" si="17"/>
        <v>5.5598098431040226</v>
      </c>
      <c r="G38">
        <f t="shared" si="17"/>
        <v>5.7532705237080952</v>
      </c>
      <c r="H38">
        <f t="shared" si="17"/>
        <v>6.8600075320375886</v>
      </c>
      <c r="I38">
        <f t="shared" si="0"/>
        <v>2.6802160325463671</v>
      </c>
      <c r="J38">
        <f t="shared" si="15"/>
        <v>5.7069297307613747</v>
      </c>
      <c r="K38">
        <f t="shared" si="19"/>
        <v>5.5880012965703827</v>
      </c>
      <c r="L38">
        <f t="shared" si="19"/>
        <v>6.5627265647739179</v>
      </c>
      <c r="M38">
        <f t="shared" si="19"/>
        <v>6.6913998477312138</v>
      </c>
      <c r="N38">
        <f t="shared" si="1"/>
        <v>2.5116083482399922</v>
      </c>
      <c r="O38">
        <f t="shared" si="16"/>
        <v>5.401502084507344</v>
      </c>
      <c r="P38">
        <f t="shared" si="20"/>
        <v>5.7392734121269289</v>
      </c>
      <c r="Q38">
        <f t="shared" si="18"/>
        <v>5.3731948345631819</v>
      </c>
      <c r="R38">
        <f t="shared" si="21"/>
        <v>6.37269224909587</v>
      </c>
      <c r="S38">
        <f t="shared" si="21"/>
        <v>6.3543559327670458</v>
      </c>
      <c r="T38">
        <f t="shared" si="2"/>
        <v>2.1745644332758243</v>
      </c>
      <c r="U38">
        <f t="shared" si="3"/>
        <v>-2.1745644332758243</v>
      </c>
      <c r="V38">
        <f t="shared" si="10"/>
        <v>5.9957456892350871</v>
      </c>
      <c r="W38">
        <f t="shared" si="4"/>
        <v>-1.8159541897438656</v>
      </c>
      <c r="X38">
        <f t="shared" si="11"/>
        <v>5.7585463533265582</v>
      </c>
      <c r="Y38">
        <f t="shared" si="5"/>
        <v>-1.5787548538353366</v>
      </c>
      <c r="Z38">
        <f t="shared" si="12"/>
        <v>5.6087599082954354</v>
      </c>
      <c r="AA38">
        <f t="shared" si="6"/>
        <v>-1.4289684088042138</v>
      </c>
      <c r="AB38">
        <f t="shared" si="7"/>
        <v>-1.5293685005087791</v>
      </c>
      <c r="AC38">
        <f t="shared" si="8"/>
        <v>5.7712344007842153</v>
      </c>
      <c r="AD38">
        <f t="shared" si="9"/>
        <v>-1.5914429012929938</v>
      </c>
    </row>
    <row r="39" spans="1:39">
      <c r="A39">
        <v>37</v>
      </c>
      <c r="B39">
        <v>7.6969287289915744</v>
      </c>
      <c r="C39">
        <f t="shared" si="13"/>
        <v>4.6612723407805188</v>
      </c>
      <c r="D39">
        <f t="shared" si="13"/>
        <v>5.5559269854433673</v>
      </c>
      <c r="E39">
        <f t="shared" si="14"/>
        <v>5.0058801850579444</v>
      </c>
      <c r="F39">
        <f t="shared" si="17"/>
        <v>5.6507048574309406</v>
      </c>
      <c r="G39">
        <f t="shared" si="17"/>
        <v>5.5120411503917053</v>
      </c>
      <c r="H39">
        <f t="shared" si="17"/>
        <v>6.3390283076815068</v>
      </c>
      <c r="I39">
        <f t="shared" si="0"/>
        <v>-1.3579004213100676</v>
      </c>
      <c r="J39">
        <f t="shared" si="15"/>
        <v>5.1771008919129748</v>
      </c>
      <c r="K39">
        <f t="shared" si="19"/>
        <v>5.554507130039493</v>
      </c>
      <c r="L39">
        <f t="shared" si="19"/>
        <v>6.1674844797001374</v>
      </c>
      <c r="M39">
        <f t="shared" si="19"/>
        <v>6.7593897358974884</v>
      </c>
      <c r="N39">
        <f t="shared" si="1"/>
        <v>-0.93753899309408606</v>
      </c>
      <c r="O39">
        <f t="shared" si="16"/>
        <v>5.6810664593286946</v>
      </c>
      <c r="P39">
        <f t="shared" si="20"/>
        <v>5.5697300036283339</v>
      </c>
      <c r="Q39">
        <f t="shared" si="18"/>
        <v>5.2767344104859895</v>
      </c>
      <c r="R39">
        <f t="shared" si="21"/>
        <v>6.1011778326290838</v>
      </c>
      <c r="S39">
        <f t="shared" si="21"/>
        <v>6.4415063242940969</v>
      </c>
      <c r="T39">
        <f t="shared" si="2"/>
        <v>-1.2554224046974776</v>
      </c>
      <c r="U39">
        <f t="shared" si="3"/>
        <v>1.2554224046974776</v>
      </c>
      <c r="V39">
        <f t="shared" si="10"/>
        <v>5.8141502702607006</v>
      </c>
      <c r="W39">
        <f t="shared" si="4"/>
        <v>1.8827784587308738</v>
      </c>
      <c r="X39">
        <f t="shared" si="11"/>
        <v>5.442795382559491</v>
      </c>
      <c r="Y39">
        <f t="shared" si="5"/>
        <v>2.2541333464320834</v>
      </c>
      <c r="Z39">
        <f t="shared" si="12"/>
        <v>5.1800693856541713</v>
      </c>
      <c r="AA39">
        <f t="shared" si="6"/>
        <v>2.5168593433374031</v>
      </c>
      <c r="AB39">
        <f t="shared" si="7"/>
        <v>1.9822087289915737</v>
      </c>
      <c r="AC39">
        <f t="shared" si="8"/>
        <v>5.7273846917699176</v>
      </c>
      <c r="AD39">
        <f t="shared" si="9"/>
        <v>1.9695440372216568</v>
      </c>
    </row>
    <row r="40" spans="1:39">
      <c r="A40">
        <v>38</v>
      </c>
      <c r="B40">
        <v>5.3388634395719565</v>
      </c>
      <c r="C40">
        <f t="shared" si="13"/>
        <v>5.938360114241398</v>
      </c>
      <c r="D40">
        <f t="shared" si="13"/>
        <v>5.0400984343109121</v>
      </c>
      <c r="E40">
        <f t="shared" si="14"/>
        <v>5.6731578035175376</v>
      </c>
      <c r="F40">
        <f t="shared" si="17"/>
        <v>5.4701353738122434</v>
      </c>
      <c r="G40">
        <f t="shared" si="17"/>
        <v>5.5279282119046442</v>
      </c>
      <c r="H40">
        <f t="shared" si="17"/>
        <v>5.8576909882332808</v>
      </c>
      <c r="I40">
        <f t="shared" si="0"/>
        <v>0.5188275486613243</v>
      </c>
      <c r="J40">
        <f t="shared" si="15"/>
        <v>5.6786423210413517</v>
      </c>
      <c r="K40">
        <f t="shared" si="19"/>
        <v>5.4547065139842985</v>
      </c>
      <c r="L40">
        <f t="shared" si="19"/>
        <v>5.8372733359535962</v>
      </c>
      <c r="M40">
        <f t="shared" si="19"/>
        <v>6.6285757475795268</v>
      </c>
      <c r="N40">
        <f t="shared" si="1"/>
        <v>1.2897123080075703</v>
      </c>
      <c r="O40">
        <f t="shared" si="16"/>
        <v>5.6106865447474723</v>
      </c>
      <c r="P40">
        <f t="shared" si="20"/>
        <v>5.5194339977970905</v>
      </c>
      <c r="Q40">
        <f t="shared" si="18"/>
        <v>5.7840731919213821</v>
      </c>
      <c r="R40">
        <f t="shared" si="21"/>
        <v>5.8133543700062482</v>
      </c>
      <c r="S40">
        <f t="shared" si="21"/>
        <v>6.4373243844716947</v>
      </c>
      <c r="T40">
        <f t="shared" si="2"/>
        <v>1.0984609448997382</v>
      </c>
      <c r="U40">
        <f t="shared" si="3"/>
        <v>-1.0984609448997382</v>
      </c>
      <c r="V40">
        <f t="shared" si="10"/>
        <v>6.002428116133788</v>
      </c>
      <c r="W40">
        <f t="shared" si="4"/>
        <v>-0.66356467656183149</v>
      </c>
      <c r="X40">
        <f t="shared" si="11"/>
        <v>5.8936220518459077</v>
      </c>
      <c r="Y40">
        <f t="shared" si="5"/>
        <v>-0.55475861227395118</v>
      </c>
      <c r="Z40">
        <f t="shared" si="12"/>
        <v>5.9351271886553922</v>
      </c>
      <c r="AA40">
        <f t="shared" si="6"/>
        <v>-0.59626374908343571</v>
      </c>
      <c r="AB40">
        <f t="shared" si="7"/>
        <v>-0.38141656042804417</v>
      </c>
      <c r="AC40">
        <f t="shared" si="8"/>
        <v>5.6839820183263843</v>
      </c>
      <c r="AD40">
        <f t="shared" si="9"/>
        <v>-0.34511857875442775</v>
      </c>
    </row>
    <row r="41" spans="1:39">
      <c r="A41">
        <v>39</v>
      </c>
      <c r="B41">
        <v>5.7270042474305516</v>
      </c>
      <c r="C41">
        <f t="shared" si="13"/>
        <v>6.5178960842817659</v>
      </c>
      <c r="D41">
        <f t="shared" si="13"/>
        <v>5.2998162275109584</v>
      </c>
      <c r="E41">
        <f t="shared" si="14"/>
        <v>5.7385278893515839</v>
      </c>
      <c r="F41">
        <f t="shared" si="17"/>
        <v>5.3961917815430134</v>
      </c>
      <c r="G41">
        <f t="shared" si="17"/>
        <v>5.5602166914490683</v>
      </c>
      <c r="H41">
        <f t="shared" si="17"/>
        <v>5.5977466286681477</v>
      </c>
      <c r="I41">
        <f t="shared" si="0"/>
        <v>-0.12925761876240394</v>
      </c>
      <c r="J41">
        <f t="shared" si="15"/>
        <v>5.5895842125311423</v>
      </c>
      <c r="K41">
        <f t="shared" si="19"/>
        <v>5.5367845972636065</v>
      </c>
      <c r="L41">
        <f t="shared" si="19"/>
        <v>5.6127937126234446</v>
      </c>
      <c r="M41">
        <f t="shared" si="19"/>
        <v>6.3579179115624482</v>
      </c>
      <c r="N41">
        <f t="shared" si="1"/>
        <v>0.63091366413189665</v>
      </c>
      <c r="O41">
        <f t="shared" si="16"/>
        <v>5.6170682195110242</v>
      </c>
      <c r="P41">
        <f t="shared" si="20"/>
        <v>5.5217322492660621</v>
      </c>
      <c r="Q41">
        <f t="shared" si="18"/>
        <v>5.6240326227025719</v>
      </c>
      <c r="R41">
        <f t="shared" si="21"/>
        <v>5.6998273577010634</v>
      </c>
      <c r="S41">
        <f t="shared" si="21"/>
        <v>6.3327385042080548</v>
      </c>
      <c r="T41">
        <f t="shared" si="2"/>
        <v>0.60573425677750325</v>
      </c>
      <c r="U41">
        <f t="shared" si="3"/>
        <v>-0.60573425677750325</v>
      </c>
      <c r="V41">
        <f t="shared" si="10"/>
        <v>5.936071648477605</v>
      </c>
      <c r="W41">
        <f t="shared" si="4"/>
        <v>-0.20906740104705346</v>
      </c>
      <c r="X41">
        <f t="shared" si="11"/>
        <v>5.7826703293911175</v>
      </c>
      <c r="Y41">
        <f t="shared" si="5"/>
        <v>-5.5666081960565883E-2</v>
      </c>
      <c r="Z41">
        <f t="shared" si="12"/>
        <v>5.7562480639303617</v>
      </c>
      <c r="AA41">
        <f t="shared" si="6"/>
        <v>-2.9243816499810116E-2</v>
      </c>
      <c r="AB41">
        <f t="shared" si="7"/>
        <v>1.1642474305508799E-3</v>
      </c>
      <c r="AC41">
        <f t="shared" si="8"/>
        <v>5.6410386448012249</v>
      </c>
      <c r="AD41">
        <f t="shared" si="9"/>
        <v>8.5965602629326732E-2</v>
      </c>
    </row>
    <row r="42" spans="1:39">
      <c r="A42">
        <v>40</v>
      </c>
      <c r="B42">
        <v>6.8432179792785295</v>
      </c>
      <c r="C42">
        <f t="shared" si="13"/>
        <v>5.5329338435012545</v>
      </c>
      <c r="D42">
        <f t="shared" si="13"/>
        <v>6.228128099261582</v>
      </c>
      <c r="E42">
        <f t="shared" si="14"/>
        <v>6.2542654719980275</v>
      </c>
      <c r="F42">
        <f t="shared" si="17"/>
        <v>5.4725219593090229</v>
      </c>
      <c r="G42">
        <f t="shared" si="17"/>
        <v>5.5056773375953982</v>
      </c>
      <c r="H42">
        <f t="shared" si="17"/>
        <v>5.5333953512484726</v>
      </c>
      <c r="I42">
        <f t="shared" si="0"/>
        <v>-1.3098226280300569</v>
      </c>
      <c r="J42">
        <f t="shared" si="15"/>
        <v>5.7356469788713262</v>
      </c>
      <c r="K42">
        <f t="shared" si="19"/>
        <v>5.5380642890617109</v>
      </c>
      <c r="L42">
        <f t="shared" si="19"/>
        <v>5.5334998844644456</v>
      </c>
      <c r="M42">
        <f t="shared" si="19"/>
        <v>6.0450695232627734</v>
      </c>
      <c r="N42">
        <f t="shared" si="1"/>
        <v>-0.79814845601575612</v>
      </c>
      <c r="O42">
        <f t="shared" si="16"/>
        <v>5.9571611789527665</v>
      </c>
      <c r="P42">
        <f t="shared" si="20"/>
        <v>5.5612892601558954</v>
      </c>
      <c r="Q42">
        <f t="shared" si="18"/>
        <v>5.630072828527986</v>
      </c>
      <c r="R42">
        <f t="shared" si="21"/>
        <v>5.5942438367657568</v>
      </c>
      <c r="S42">
        <f t="shared" si="21"/>
        <v>6.1891848217910264</v>
      </c>
      <c r="T42">
        <f t="shared" si="2"/>
        <v>-0.65403315748750313</v>
      </c>
      <c r="U42">
        <f t="shared" si="3"/>
        <v>0.65403315748750313</v>
      </c>
      <c r="V42">
        <f t="shared" si="10"/>
        <v>5.9151649083728994</v>
      </c>
      <c r="W42">
        <f t="shared" si="4"/>
        <v>0.92805307090563005</v>
      </c>
      <c r="X42">
        <f t="shared" si="11"/>
        <v>5.7715371129990043</v>
      </c>
      <c r="Y42">
        <f t="shared" si="5"/>
        <v>1.0716808662795252</v>
      </c>
      <c r="Z42">
        <f t="shared" si="12"/>
        <v>5.7474749189804184</v>
      </c>
      <c r="AA42">
        <f t="shared" si="6"/>
        <v>1.0957430602981111</v>
      </c>
      <c r="AB42">
        <f t="shared" si="7"/>
        <v>1.1118179792785288</v>
      </c>
      <c r="AC42">
        <f t="shared" si="8"/>
        <v>5.5985667079616945</v>
      </c>
      <c r="AD42">
        <f t="shared" si="9"/>
        <v>1.244651271316835</v>
      </c>
    </row>
    <row r="43" spans="1:39">
      <c r="A43">
        <v>41</v>
      </c>
      <c r="B43">
        <v>6.6555084829098403</v>
      </c>
      <c r="C43">
        <f t="shared" si="13"/>
        <v>6.2851111133545405</v>
      </c>
      <c r="D43">
        <f t="shared" si="13"/>
        <v>6.0254149638915102</v>
      </c>
      <c r="E43">
        <f t="shared" si="14"/>
        <v>5.9696952220936792</v>
      </c>
      <c r="F43">
        <f t="shared" si="17"/>
        <v>5.88865038828905</v>
      </c>
      <c r="G43">
        <f t="shared" si="17"/>
        <v>5.4462830382214271</v>
      </c>
      <c r="H43">
        <f t="shared" si="17"/>
        <v>5.5312740803163694</v>
      </c>
      <c r="I43">
        <f t="shared" si="0"/>
        <v>-1.124234402593471</v>
      </c>
      <c r="J43">
        <f t="shared" si="15"/>
        <v>6.4015035988181523</v>
      </c>
      <c r="K43">
        <f t="shared" si="19"/>
        <v>5.545243601089199</v>
      </c>
      <c r="L43">
        <f t="shared" si="19"/>
        <v>5.5210156325872779</v>
      </c>
      <c r="M43">
        <f t="shared" si="19"/>
        <v>5.7877628531854057</v>
      </c>
      <c r="N43">
        <f t="shared" si="1"/>
        <v>-0.86774562972443459</v>
      </c>
      <c r="O43">
        <f t="shared" si="16"/>
        <v>6.4523045756364894</v>
      </c>
      <c r="P43">
        <f t="shared" si="20"/>
        <v>5.653496897409461</v>
      </c>
      <c r="Q43">
        <f t="shared" si="18"/>
        <v>5.8214265128056084</v>
      </c>
      <c r="R43">
        <f t="shared" si="21"/>
        <v>5.5505477677731276</v>
      </c>
      <c r="S43">
        <f t="shared" si="21"/>
        <v>6.0219398602572225</v>
      </c>
      <c r="T43">
        <f t="shared" si="2"/>
        <v>-0.63356862265261782</v>
      </c>
      <c r="U43">
        <f t="shared" si="3"/>
        <v>0.63356862265261782</v>
      </c>
      <c r="V43">
        <f t="shared" si="10"/>
        <v>6.0079702154634624</v>
      </c>
      <c r="W43">
        <f t="shared" si="4"/>
        <v>0.64753826744637788</v>
      </c>
      <c r="X43">
        <f t="shared" si="11"/>
        <v>5.9858732862549093</v>
      </c>
      <c r="Y43">
        <f t="shared" si="5"/>
        <v>0.66963519665493099</v>
      </c>
      <c r="Z43">
        <f t="shared" si="12"/>
        <v>6.0761978370698522</v>
      </c>
      <c r="AA43">
        <f t="shared" si="6"/>
        <v>0.57931064583998815</v>
      </c>
      <c r="AB43">
        <f t="shared" si="7"/>
        <v>0.91854848290983959</v>
      </c>
      <c r="AC43">
        <f t="shared" si="8"/>
        <v>5.5565782136234416</v>
      </c>
      <c r="AD43">
        <f t="shared" si="9"/>
        <v>1.0989302692863987</v>
      </c>
      <c r="AM43" t="s">
        <v>89</v>
      </c>
    </row>
    <row r="44" spans="1:39">
      <c r="A44">
        <v>42</v>
      </c>
      <c r="B44">
        <v>5.3328505643899966</v>
      </c>
      <c r="C44">
        <f t="shared" si="13"/>
        <v>6.7493632310941845</v>
      </c>
      <c r="D44">
        <f t="shared" si="13"/>
        <v>5.9090224784278975</v>
      </c>
      <c r="E44">
        <f t="shared" si="14"/>
        <v>6.4085769032063071</v>
      </c>
      <c r="F44">
        <f t="shared" si="17"/>
        <v>5.9874961944810972</v>
      </c>
      <c r="G44">
        <f t="shared" si="17"/>
        <v>5.585788043047029</v>
      </c>
      <c r="H44">
        <f t="shared" si="17"/>
        <v>5.5040590224219654</v>
      </c>
      <c r="I44">
        <f t="shared" si="0"/>
        <v>0.17120845803196882</v>
      </c>
      <c r="J44">
        <f t="shared" si="15"/>
        <v>6.1411485372977195</v>
      </c>
      <c r="K44">
        <f t="shared" si="19"/>
        <v>5.8513442778154934</v>
      </c>
      <c r="L44">
        <f t="shared" si="19"/>
        <v>5.5186997503497039</v>
      </c>
      <c r="M44">
        <f t="shared" si="19"/>
        <v>5.6261456414071915</v>
      </c>
      <c r="N44">
        <f t="shared" si="1"/>
        <v>0.29329507701719493</v>
      </c>
      <c r="O44">
        <f t="shared" si="16"/>
        <v>5.9794889427161753</v>
      </c>
      <c r="P44">
        <f t="shared" si="20"/>
        <v>5.8636573956352889</v>
      </c>
      <c r="Q44">
        <f t="shared" si="18"/>
        <v>6.0735523962789451</v>
      </c>
      <c r="R44">
        <f t="shared" si="21"/>
        <v>5.5849224001677866</v>
      </c>
      <c r="S44">
        <f t="shared" si="21"/>
        <v>5.8553072356618578</v>
      </c>
      <c r="T44">
        <f t="shared" si="2"/>
        <v>0.52245667127186124</v>
      </c>
      <c r="U44">
        <f t="shared" si="3"/>
        <v>-0.52245667127186124</v>
      </c>
      <c r="V44">
        <f t="shared" si="10"/>
        <v>6.0727240422081001</v>
      </c>
      <c r="W44">
        <f t="shared" si="4"/>
        <v>-0.73987347781810353</v>
      </c>
      <c r="X44">
        <f t="shared" si="11"/>
        <v>6.1198003255858957</v>
      </c>
      <c r="Y44">
        <f t="shared" si="5"/>
        <v>-0.7869497611958991</v>
      </c>
      <c r="Z44">
        <f t="shared" si="12"/>
        <v>6.2499910308218487</v>
      </c>
      <c r="AA44">
        <f t="shared" si="6"/>
        <v>-0.9171404664318521</v>
      </c>
      <c r="AB44">
        <f t="shared" si="7"/>
        <v>-0.40966943561000413</v>
      </c>
      <c r="AC44">
        <f t="shared" si="8"/>
        <v>5.5150850333156436</v>
      </c>
      <c r="AD44">
        <f t="shared" si="9"/>
        <v>-0.18223446892564699</v>
      </c>
      <c r="AM44" t="s">
        <v>90</v>
      </c>
    </row>
    <row r="45" spans="1:39">
      <c r="A45">
        <v>43</v>
      </c>
      <c r="B45">
        <v>3.3305884229026752</v>
      </c>
      <c r="C45">
        <f t="shared" si="13"/>
        <v>5.9941795236499189</v>
      </c>
      <c r="D45">
        <f t="shared" si="13"/>
        <v>6.5172371722243625</v>
      </c>
      <c r="E45">
        <f t="shared" si="14"/>
        <v>6.2771923421927882</v>
      </c>
      <c r="F45">
        <f t="shared" si="17"/>
        <v>6.2108458657660046</v>
      </c>
      <c r="G45">
        <f t="shared" si="17"/>
        <v>5.7828895140263903</v>
      </c>
      <c r="H45">
        <f t="shared" si="17"/>
        <v>5.5125828062879512</v>
      </c>
      <c r="I45">
        <f t="shared" si="0"/>
        <v>2.181994383385276</v>
      </c>
      <c r="J45">
        <f t="shared" si="15"/>
        <v>6.1396453185022297</v>
      </c>
      <c r="K45">
        <f t="shared" si="19"/>
        <v>5.9669708318795855</v>
      </c>
      <c r="L45">
        <f t="shared" si="19"/>
        <v>5.6178591913075024</v>
      </c>
      <c r="M45">
        <f t="shared" si="19"/>
        <v>5.5465022450062182</v>
      </c>
      <c r="N45">
        <f t="shared" si="1"/>
        <v>2.215913822103543</v>
      </c>
      <c r="O45">
        <f t="shared" si="16"/>
        <v>5.5778339393823186</v>
      </c>
      <c r="P45">
        <f t="shared" si="20"/>
        <v>5.9233418923127861</v>
      </c>
      <c r="Q45">
        <f t="shared" si="18"/>
        <v>6.2657289070954079</v>
      </c>
      <c r="R45">
        <f t="shared" si="21"/>
        <v>5.7016486604537464</v>
      </c>
      <c r="S45">
        <f t="shared" si="21"/>
        <v>5.7240122608405111</v>
      </c>
      <c r="T45">
        <f t="shared" si="2"/>
        <v>2.3934238379378359</v>
      </c>
      <c r="U45">
        <f t="shared" si="3"/>
        <v>-2.3934238379378359</v>
      </c>
      <c r="V45">
        <f t="shared" si="10"/>
        <v>5.9987366944262899</v>
      </c>
      <c r="W45">
        <f t="shared" si="4"/>
        <v>-2.6681482715236147</v>
      </c>
      <c r="X45">
        <f t="shared" si="11"/>
        <v>5.9624103733467155</v>
      </c>
      <c r="Y45">
        <f t="shared" si="5"/>
        <v>-2.6318219504440403</v>
      </c>
      <c r="Z45">
        <f t="shared" si="12"/>
        <v>5.974848890892293</v>
      </c>
      <c r="AA45">
        <f t="shared" si="6"/>
        <v>-2.6442604679896178</v>
      </c>
      <c r="AB45">
        <f t="shared" si="7"/>
        <v>-2.4174915770973255</v>
      </c>
      <c r="AC45">
        <f t="shared" si="8"/>
        <v>5.4740989009834289</v>
      </c>
      <c r="AD45">
        <f t="shared" si="9"/>
        <v>-2.1435104780807537</v>
      </c>
      <c r="AM45" t="s">
        <v>91</v>
      </c>
    </row>
    <row r="46" spans="1:39">
      <c r="A46">
        <v>44</v>
      </c>
      <c r="B46">
        <v>5.2662274708256049</v>
      </c>
      <c r="C46">
        <f t="shared" si="13"/>
        <v>4.3317194936463359</v>
      </c>
      <c r="D46">
        <f t="shared" si="13"/>
        <v>6.3717713773720517</v>
      </c>
      <c r="E46">
        <f t="shared" si="14"/>
        <v>5.1063158234008377</v>
      </c>
      <c r="F46">
        <f t="shared" si="17"/>
        <v>6.2184881558309248</v>
      </c>
      <c r="G46">
        <f t="shared" si="17"/>
        <v>6.0289974828453836</v>
      </c>
      <c r="H46">
        <f t="shared" si="17"/>
        <v>5.6049868650982821</v>
      </c>
      <c r="I46">
        <f t="shared" si="0"/>
        <v>0.33875939427267721</v>
      </c>
      <c r="J46">
        <f t="shared" si="15"/>
        <v>5.5405413623702602</v>
      </c>
      <c r="K46">
        <f t="shared" si="19"/>
        <v>6.1044861083723569</v>
      </c>
      <c r="L46">
        <f t="shared" si="19"/>
        <v>5.7254057499614968</v>
      </c>
      <c r="M46">
        <f t="shared" si="19"/>
        <v>5.5477686146772323</v>
      </c>
      <c r="N46">
        <f t="shared" si="1"/>
        <v>0.28154114385162732</v>
      </c>
      <c r="O46">
        <f t="shared" si="16"/>
        <v>5.4856785840613291</v>
      </c>
      <c r="P46">
        <f t="shared" si="20"/>
        <v>5.9167713712397552</v>
      </c>
      <c r="Q46">
        <f t="shared" si="18"/>
        <v>5.538005522747258</v>
      </c>
      <c r="R46">
        <f t="shared" si="21"/>
        <v>5.866481076555317</v>
      </c>
      <c r="S46">
        <f t="shared" si="21"/>
        <v>5.6574240654779553</v>
      </c>
      <c r="T46">
        <f t="shared" si="2"/>
        <v>0.39119659465235035</v>
      </c>
      <c r="U46">
        <f t="shared" si="3"/>
        <v>-0.39119659465235035</v>
      </c>
      <c r="V46">
        <f t="shared" si="10"/>
        <v>5.7319218672739281</v>
      </c>
      <c r="W46">
        <f t="shared" si="4"/>
        <v>-0.46569439644832311</v>
      </c>
      <c r="X46">
        <f t="shared" si="11"/>
        <v>5.4360459832579071</v>
      </c>
      <c r="Y46">
        <f t="shared" si="5"/>
        <v>-0.16981851243230217</v>
      </c>
      <c r="Z46">
        <f t="shared" si="12"/>
        <v>5.1815707504954078</v>
      </c>
      <c r="AA46">
        <f t="shared" si="6"/>
        <v>8.4656720330197111E-2</v>
      </c>
      <c r="AB46">
        <f t="shared" si="7"/>
        <v>-0.48741252917439581</v>
      </c>
      <c r="AC46">
        <f t="shared" si="8"/>
        <v>5.4336314097285277</v>
      </c>
      <c r="AD46">
        <f t="shared" si="9"/>
        <v>-0.16740393890292271</v>
      </c>
      <c r="AM46" t="s">
        <v>84</v>
      </c>
    </row>
    <row r="47" spans="1:39">
      <c r="A47">
        <v>45</v>
      </c>
      <c r="B47">
        <v>4.8155561125628683</v>
      </c>
      <c r="C47">
        <f t="shared" si="13"/>
        <v>4.2984079468641401</v>
      </c>
      <c r="D47">
        <f t="shared" si="13"/>
        <v>5.1629495086481274</v>
      </c>
      <c r="E47">
        <f t="shared" si="14"/>
        <v>4.643222152706092</v>
      </c>
      <c r="F47">
        <f t="shared" si="17"/>
        <v>5.9306950229333113</v>
      </c>
      <c r="G47">
        <f t="shared" si="17"/>
        <v>6.1389434053593419</v>
      </c>
      <c r="H47">
        <f t="shared" si="17"/>
        <v>5.7992250133062671</v>
      </c>
      <c r="I47">
        <f t="shared" si="0"/>
        <v>0.98366890074339874</v>
      </c>
      <c r="J47">
        <f t="shared" si="15"/>
        <v>5.1462937352570295</v>
      </c>
      <c r="K47">
        <f t="shared" si="19"/>
        <v>6.0557097042470902</v>
      </c>
      <c r="L47">
        <f t="shared" si="19"/>
        <v>5.8670112047891587</v>
      </c>
      <c r="M47">
        <f t="shared" si="19"/>
        <v>5.5957450810514953</v>
      </c>
      <c r="N47">
        <f t="shared" si="1"/>
        <v>0.78018896848862695</v>
      </c>
      <c r="O47">
        <f t="shared" si="16"/>
        <v>5.0801462107181976</v>
      </c>
      <c r="P47">
        <f t="shared" si="20"/>
        <v>5.8904934441498158</v>
      </c>
      <c r="Q47">
        <f t="shared" si="18"/>
        <v>5.5258995279561995</v>
      </c>
      <c r="R47">
        <f t="shared" si="21"/>
        <v>5.82546979835963</v>
      </c>
      <c r="S47">
        <f t="shared" si="21"/>
        <v>5.6662785165694665</v>
      </c>
      <c r="T47">
        <f t="shared" si="2"/>
        <v>0.85072240400659815</v>
      </c>
      <c r="U47">
        <f t="shared" si="3"/>
        <v>-0.85072240400659815</v>
      </c>
      <c r="V47">
        <f t="shared" si="10"/>
        <v>5.6853524276290957</v>
      </c>
      <c r="W47">
        <f t="shared" si="4"/>
        <v>-0.86979631506622734</v>
      </c>
      <c r="X47">
        <f t="shared" si="11"/>
        <v>5.402082280771447</v>
      </c>
      <c r="Y47">
        <f t="shared" si="5"/>
        <v>-0.58652616820857872</v>
      </c>
      <c r="Z47">
        <f t="shared" si="12"/>
        <v>5.2069677665944667</v>
      </c>
      <c r="AA47">
        <f t="shared" si="6"/>
        <v>-0.39141165403159839</v>
      </c>
      <c r="AB47">
        <f t="shared" si="7"/>
        <v>-0.94364388743713157</v>
      </c>
      <c r="AC47">
        <f t="shared" si="8"/>
        <v>5.393694008589037</v>
      </c>
      <c r="AD47">
        <f t="shared" si="9"/>
        <v>-0.57813789602616872</v>
      </c>
    </row>
    <row r="48" spans="1:39">
      <c r="A48">
        <v>46</v>
      </c>
      <c r="B48">
        <v>4.2345162768002034</v>
      </c>
      <c r="C48">
        <f t="shared" si="13"/>
        <v>5.0408917916942366</v>
      </c>
      <c r="D48">
        <f t="shared" si="13"/>
        <v>4.315063720255238</v>
      </c>
      <c r="E48">
        <f t="shared" si="14"/>
        <v>4.4707906687637164</v>
      </c>
      <c r="F48">
        <f t="shared" si="17"/>
        <v>5.342243439433239</v>
      </c>
      <c r="G48">
        <f t="shared" si="17"/>
        <v>6.12000968151008</v>
      </c>
      <c r="H48">
        <f t="shared" si="17"/>
        <v>5.9836101340770389</v>
      </c>
      <c r="I48">
        <f t="shared" si="0"/>
        <v>1.7490938572768355</v>
      </c>
      <c r="J48">
        <f t="shared" si="15"/>
        <v>4.6863056426702858</v>
      </c>
      <c r="K48">
        <f t="shared" si="19"/>
        <v>5.7419072383568093</v>
      </c>
      <c r="L48">
        <f t="shared" si="19"/>
        <v>5.9946277305786309</v>
      </c>
      <c r="M48">
        <f t="shared" si="19"/>
        <v>5.682243974101965</v>
      </c>
      <c r="N48">
        <f t="shared" si="1"/>
        <v>1.4477276973017617</v>
      </c>
      <c r="O48">
        <f t="shared" si="16"/>
        <v>4.5959477694962692</v>
      </c>
      <c r="P48">
        <f t="shared" si="20"/>
        <v>5.7150904505029017</v>
      </c>
      <c r="Q48">
        <f t="shared" si="18"/>
        <v>5.3739915054782523</v>
      </c>
      <c r="R48">
        <f t="shared" si="21"/>
        <v>5.8091142825685678</v>
      </c>
      <c r="S48">
        <f t="shared" si="21"/>
        <v>5.6872189233458945</v>
      </c>
      <c r="T48">
        <f t="shared" si="2"/>
        <v>1.4527026465456911</v>
      </c>
      <c r="U48">
        <f t="shared" si="3"/>
        <v>-1.4527026465456911</v>
      </c>
      <c r="V48">
        <f t="shared" si="10"/>
        <v>5.5983727961224732</v>
      </c>
      <c r="W48">
        <f t="shared" si="4"/>
        <v>-1.3638565193222698</v>
      </c>
      <c r="X48">
        <f t="shared" si="11"/>
        <v>5.2847770471297313</v>
      </c>
      <c r="Y48">
        <f t="shared" si="5"/>
        <v>-1.0502607703295279</v>
      </c>
      <c r="Z48">
        <f t="shared" si="12"/>
        <v>5.0895442703849874</v>
      </c>
      <c r="AA48">
        <f t="shared" si="6"/>
        <v>-0.85502799358478399</v>
      </c>
      <c r="AB48">
        <f t="shared" si="7"/>
        <v>-1.5302437231997974</v>
      </c>
      <c r="AC48">
        <f t="shared" si="8"/>
        <v>5.3542979993592112</v>
      </c>
      <c r="AD48">
        <f t="shared" si="9"/>
        <v>-1.1197817225590079</v>
      </c>
    </row>
    <row r="49" spans="1:37">
      <c r="A49">
        <v>47</v>
      </c>
      <c r="B49">
        <v>3.2831972305071049</v>
      </c>
      <c r="C49">
        <f t="shared" si="13"/>
        <v>4.5250361946815358</v>
      </c>
      <c r="D49">
        <f t="shared" si="13"/>
        <v>4.6696498692791888</v>
      </c>
      <c r="E49">
        <f t="shared" si="14"/>
        <v>4.7720999533962258</v>
      </c>
      <c r="F49">
        <f t="shared" si="17"/>
        <v>4.7401095482902145</v>
      </c>
      <c r="G49">
        <f t="shared" si="17"/>
        <v>5.830475539399159</v>
      </c>
      <c r="H49">
        <f t="shared" si="17"/>
        <v>6.0959835232382682</v>
      </c>
      <c r="I49">
        <f t="shared" si="0"/>
        <v>2.8127862927311633</v>
      </c>
      <c r="J49">
        <f t="shared" si="15"/>
        <v>4.4117220707728375</v>
      </c>
      <c r="K49">
        <f t="shared" si="19"/>
        <v>5.3781965146999511</v>
      </c>
      <c r="L49">
        <f t="shared" si="19"/>
        <v>5.96726847071396</v>
      </c>
      <c r="M49">
        <f t="shared" si="19"/>
        <v>5.801225969159197</v>
      </c>
      <c r="N49">
        <f t="shared" si="1"/>
        <v>2.5180287386520921</v>
      </c>
      <c r="O49">
        <f t="shared" si="16"/>
        <v>4.1860171027196911</v>
      </c>
      <c r="P49">
        <f t="shared" si="20"/>
        <v>5.3438190892748576</v>
      </c>
      <c r="Q49">
        <f t="shared" si="18"/>
        <v>4.9392078883985322</v>
      </c>
      <c r="R49">
        <f t="shared" si="21"/>
        <v>5.7664340620602781</v>
      </c>
      <c r="S49">
        <f t="shared" si="21"/>
        <v>5.7230306643130291</v>
      </c>
      <c r="T49">
        <f t="shared" si="2"/>
        <v>2.4398334338059242</v>
      </c>
      <c r="U49">
        <f t="shared" si="3"/>
        <v>-2.4398334338059242</v>
      </c>
      <c r="V49">
        <f t="shared" si="10"/>
        <v>5.4619871441902461</v>
      </c>
      <c r="W49">
        <f t="shared" si="4"/>
        <v>-2.1787899136831412</v>
      </c>
      <c r="X49">
        <f t="shared" si="11"/>
        <v>5.0747248930638253</v>
      </c>
      <c r="Y49">
        <f t="shared" si="5"/>
        <v>-1.7915276625567205</v>
      </c>
      <c r="Z49">
        <f t="shared" si="12"/>
        <v>4.8330358723095523</v>
      </c>
      <c r="AA49">
        <f t="shared" si="6"/>
        <v>-1.5498386418024475</v>
      </c>
      <c r="AB49">
        <f t="shared" si="7"/>
        <v>-2.487122769492895</v>
      </c>
      <c r="AC49">
        <f t="shared" si="8"/>
        <v>5.3154545334501426</v>
      </c>
      <c r="AD49">
        <f t="shared" si="9"/>
        <v>-2.0322573029430377</v>
      </c>
    </row>
    <row r="50" spans="1:37">
      <c r="A50">
        <v>48</v>
      </c>
      <c r="B50">
        <v>5.4060116997724386</v>
      </c>
      <c r="C50">
        <f t="shared" si="13"/>
        <v>3.7588567536536539</v>
      </c>
      <c r="D50">
        <f t="shared" si="13"/>
        <v>4.7829639931878862</v>
      </c>
      <c r="E50">
        <f t="shared" si="14"/>
        <v>4.1110898732900587</v>
      </c>
      <c r="F50">
        <f t="shared" si="17"/>
        <v>4.6287042582886784</v>
      </c>
      <c r="G50">
        <f t="shared" si="17"/>
        <v>5.3376826702189213</v>
      </c>
      <c r="H50">
        <f t="shared" si="17"/>
        <v>6.0298095420895272</v>
      </c>
      <c r="I50">
        <f t="shared" si="0"/>
        <v>0.62379784231708868</v>
      </c>
      <c r="J50">
        <f t="shared" si="15"/>
        <v>4.3998742726739453</v>
      </c>
      <c r="K50">
        <f t="shared" si="19"/>
        <v>4.9462157027676028</v>
      </c>
      <c r="L50">
        <f t="shared" si="19"/>
        <v>5.8200748914190523</v>
      </c>
      <c r="M50">
        <f t="shared" si="19"/>
        <v>5.8885782890108116</v>
      </c>
      <c r="N50">
        <f t="shared" si="1"/>
        <v>0.48256658923837303</v>
      </c>
      <c r="O50">
        <f t="shared" si="16"/>
        <v>4.6011017580936437</v>
      </c>
      <c r="P50">
        <f t="shared" si="20"/>
        <v>4.9851247212755618</v>
      </c>
      <c r="Q50">
        <f t="shared" si="18"/>
        <v>4.3771560129980758</v>
      </c>
      <c r="R50">
        <f t="shared" si="21"/>
        <v>5.6193976246590998</v>
      </c>
      <c r="S50">
        <f t="shared" si="21"/>
        <v>5.7590117133608878</v>
      </c>
      <c r="T50">
        <f t="shared" si="2"/>
        <v>0.35300001358844924</v>
      </c>
      <c r="U50">
        <f t="shared" si="3"/>
        <v>-0.35300001358844924</v>
      </c>
      <c r="V50">
        <f t="shared" si="10"/>
        <v>5.2441081528219318</v>
      </c>
      <c r="W50">
        <f t="shared" si="4"/>
        <v>0.16190354695050679</v>
      </c>
      <c r="X50">
        <f t="shared" si="11"/>
        <v>4.7164193605524813</v>
      </c>
      <c r="Y50">
        <f t="shared" si="5"/>
        <v>0.68959233921995722</v>
      </c>
      <c r="Z50">
        <f t="shared" si="12"/>
        <v>4.3680842797688184</v>
      </c>
      <c r="AA50">
        <f t="shared" si="6"/>
        <v>1.0379274200036201</v>
      </c>
      <c r="AB50">
        <f t="shared" si="7"/>
        <v>-0.36986830022756223</v>
      </c>
      <c r="AC50">
        <f t="shared" si="8"/>
        <v>5.2771746087922189</v>
      </c>
      <c r="AD50">
        <f t="shared" si="9"/>
        <v>0.12883709098021967</v>
      </c>
    </row>
    <row r="51" spans="1:37">
      <c r="A51">
        <v>49</v>
      </c>
      <c r="B51">
        <v>2.9587743207245385</v>
      </c>
      <c r="C51">
        <f t="shared" si="13"/>
        <v>4.3446044651397715</v>
      </c>
      <c r="D51">
        <f t="shared" si="13"/>
        <v>4.1419464741675949</v>
      </c>
      <c r="E51">
        <f t="shared" si="14"/>
        <v>4.3079084023599155</v>
      </c>
      <c r="F51">
        <f t="shared" si="17"/>
        <v>4.451326831816667</v>
      </c>
      <c r="G51">
        <f t="shared" si="17"/>
        <v>4.9036857486707106</v>
      </c>
      <c r="H51">
        <f t="shared" si="17"/>
        <v>5.7627226303760537</v>
      </c>
      <c r="I51">
        <f t="shared" si="0"/>
        <v>2.8039483096515152</v>
      </c>
      <c r="J51">
        <f t="shared" si="15"/>
        <v>4.4348203299106537</v>
      </c>
      <c r="K51">
        <f t="shared" si="19"/>
        <v>4.661048930343525</v>
      </c>
      <c r="L51">
        <f t="shared" si="19"/>
        <v>5.5305072900178631</v>
      </c>
      <c r="M51">
        <f t="shared" si="19"/>
        <v>5.9122455743752003</v>
      </c>
      <c r="N51">
        <f t="shared" si="1"/>
        <v>2.9534712536506618</v>
      </c>
      <c r="O51">
        <f t="shared" si="16"/>
        <v>4.1396111280734305</v>
      </c>
      <c r="P51">
        <f t="shared" si="20"/>
        <v>4.7897782850178263</v>
      </c>
      <c r="Q51">
        <f t="shared" si="18"/>
        <v>4.3893495355618155</v>
      </c>
      <c r="R51">
        <f t="shared" si="21"/>
        <v>5.3366648941122881</v>
      </c>
      <c r="S51">
        <f t="shared" si="21"/>
        <v>5.7647575841094394</v>
      </c>
      <c r="T51">
        <f t="shared" si="2"/>
        <v>2.8059832633849009</v>
      </c>
      <c r="U51">
        <f t="shared" si="3"/>
        <v>-2.8059832633849009</v>
      </c>
      <c r="V51">
        <f t="shared" si="10"/>
        <v>5.2602985075169828</v>
      </c>
      <c r="W51">
        <f t="shared" si="4"/>
        <v>-2.3015241867924443</v>
      </c>
      <c r="X51">
        <f t="shared" si="11"/>
        <v>4.8543378283964724</v>
      </c>
      <c r="Y51">
        <f t="shared" si="5"/>
        <v>-1.8955635076719339</v>
      </c>
      <c r="Z51">
        <f t="shared" si="12"/>
        <v>4.6794625057699042</v>
      </c>
      <c r="AA51">
        <f t="shared" si="6"/>
        <v>-1.7206881850453657</v>
      </c>
      <c r="AB51">
        <f t="shared" si="7"/>
        <v>-2.8226656792754614</v>
      </c>
      <c r="AC51">
        <f t="shared" si="8"/>
        <v>5.2394690667802193</v>
      </c>
      <c r="AD51">
        <f t="shared" si="9"/>
        <v>-2.2806947460556808</v>
      </c>
    </row>
    <row r="52" spans="1:37">
      <c r="A52">
        <v>50</v>
      </c>
      <c r="B52">
        <v>3.9357580766325073</v>
      </c>
      <c r="C52">
        <f t="shared" si="13"/>
        <v>4.1823930102484885</v>
      </c>
      <c r="D52">
        <f t="shared" si="13"/>
        <v>4.0517306093967127</v>
      </c>
      <c r="E52">
        <f t="shared" si="14"/>
        <v>3.8826610836680273</v>
      </c>
      <c r="F52">
        <f t="shared" si="17"/>
        <v>4.3970327430153997</v>
      </c>
      <c r="G52">
        <f t="shared" si="17"/>
        <v>4.6067135461318527</v>
      </c>
      <c r="H52">
        <f t="shared" si="17"/>
        <v>5.357281319429597</v>
      </c>
      <c r="I52">
        <f t="shared" si="0"/>
        <v>1.4215232427970896</v>
      </c>
      <c r="J52">
        <f t="shared" si="15"/>
        <v>3.9706248819510712</v>
      </c>
      <c r="K52">
        <f t="shared" si="19"/>
        <v>4.4831805790069303</v>
      </c>
      <c r="L52">
        <f t="shared" si="19"/>
        <v>5.1818420965419723</v>
      </c>
      <c r="M52">
        <f t="shared" si="19"/>
        <v>5.8281195956823764</v>
      </c>
      <c r="N52">
        <f t="shared" si="1"/>
        <v>1.892361519049869</v>
      </c>
      <c r="O52">
        <f t="shared" si="16"/>
        <v>3.9636515208873582</v>
      </c>
      <c r="P52">
        <f t="shared" si="20"/>
        <v>4.5205647938202471</v>
      </c>
      <c r="Q52">
        <f t="shared" si="18"/>
        <v>4.3273805185321264</v>
      </c>
      <c r="R52">
        <f t="shared" si="21"/>
        <v>5.0239349988566886</v>
      </c>
      <c r="S52">
        <f t="shared" si="21"/>
        <v>5.7039269563858639</v>
      </c>
      <c r="T52">
        <f t="shared" si="2"/>
        <v>1.7681688797533566</v>
      </c>
      <c r="U52">
        <f t="shared" si="3"/>
        <v>-1.7681688797533566</v>
      </c>
      <c r="V52">
        <f t="shared" si="10"/>
        <v>5.0301460888377383</v>
      </c>
      <c r="W52">
        <f t="shared" si="4"/>
        <v>-1.094388012205231</v>
      </c>
      <c r="X52">
        <f t="shared" si="11"/>
        <v>4.4752251268620853</v>
      </c>
      <c r="Y52">
        <f t="shared" si="5"/>
        <v>-0.53946705022957797</v>
      </c>
      <c r="Z52">
        <f t="shared" si="12"/>
        <v>4.1632560502562947</v>
      </c>
      <c r="AA52">
        <f t="shared" si="6"/>
        <v>-0.22749797362378743</v>
      </c>
      <c r="AB52">
        <f t="shared" si="7"/>
        <v>-1.8512419233674926</v>
      </c>
      <c r="AC52">
        <f t="shared" si="8"/>
        <v>5.2023485892618764</v>
      </c>
      <c r="AD52">
        <f t="shared" si="9"/>
        <v>-1.2665905126293691</v>
      </c>
    </row>
    <row r="53" spans="1:37">
      <c r="A53">
        <v>51</v>
      </c>
      <c r="B53">
        <v>6.8736827608679647</v>
      </c>
      <c r="C53">
        <f t="shared" si="13"/>
        <v>3.4472661986785229</v>
      </c>
      <c r="D53">
        <f t="shared" si="13"/>
        <v>4.26349873769413</v>
      </c>
      <c r="E53">
        <f t="shared" si="14"/>
        <v>4.1001813657098287</v>
      </c>
      <c r="F53">
        <f t="shared" si="17"/>
        <v>4.100553119772667</v>
      </c>
      <c r="G53">
        <f t="shared" si="17"/>
        <v>4.4923546110402484</v>
      </c>
      <c r="H53">
        <f t="shared" si="17"/>
        <v>4.9493606550071618</v>
      </c>
      <c r="I53">
        <f t="shared" si="0"/>
        <v>-1.9243221058608029</v>
      </c>
      <c r="J53">
        <f t="shared" si="15"/>
        <v>3.895935331909147</v>
      </c>
      <c r="K53">
        <f t="shared" si="19"/>
        <v>4.3042603888271271</v>
      </c>
      <c r="L53">
        <f t="shared" si="19"/>
        <v>4.8671604317045025</v>
      </c>
      <c r="M53">
        <f t="shared" si="19"/>
        <v>5.624923187173211</v>
      </c>
      <c r="N53">
        <f t="shared" si="1"/>
        <v>-1.2487595736947537</v>
      </c>
      <c r="O53">
        <f t="shared" si="16"/>
        <v>4.4914848177009103</v>
      </c>
      <c r="P53">
        <f t="shared" si="20"/>
        <v>4.2972658558540777</v>
      </c>
      <c r="Q53">
        <f t="shared" si="18"/>
        <v>4.1056356194999433</v>
      </c>
      <c r="R53">
        <f t="shared" si="21"/>
        <v>4.8221641648208342</v>
      </c>
      <c r="S53">
        <f t="shared" si="21"/>
        <v>5.5635026101027591</v>
      </c>
      <c r="T53">
        <f t="shared" si="2"/>
        <v>-1.3101801507652056</v>
      </c>
      <c r="U53">
        <f t="shared" si="3"/>
        <v>1.3101801507652056</v>
      </c>
      <c r="V53">
        <f t="shared" si="10"/>
        <v>4.9207072876172155</v>
      </c>
      <c r="W53">
        <f t="shared" si="4"/>
        <v>1.9529754732507492</v>
      </c>
      <c r="X53">
        <f t="shared" si="11"/>
        <v>4.3673317168161701</v>
      </c>
      <c r="Y53">
        <f t="shared" si="5"/>
        <v>2.5063510440517947</v>
      </c>
      <c r="Z53">
        <f t="shared" si="12"/>
        <v>4.0950066581691589</v>
      </c>
      <c r="AA53">
        <f t="shared" si="6"/>
        <v>2.7786761026988058</v>
      </c>
      <c r="AB53">
        <f t="shared" si="7"/>
        <v>1.0811227608679648</v>
      </c>
      <c r="AC53">
        <f t="shared" si="8"/>
        <v>5.1658236955707739</v>
      </c>
      <c r="AD53">
        <f t="shared" si="9"/>
        <v>1.7078590652971908</v>
      </c>
    </row>
    <row r="54" spans="1:37">
      <c r="A54">
        <v>52</v>
      </c>
      <c r="B54">
        <v>3.9301986487752139</v>
      </c>
      <c r="C54">
        <f t="shared" si="13"/>
        <v>5.4047204187502356</v>
      </c>
      <c r="D54">
        <f t="shared" si="13"/>
        <v>3.8148296044635055</v>
      </c>
      <c r="E54">
        <f t="shared" si="14"/>
        <v>4.5894050527416708</v>
      </c>
      <c r="F54">
        <f t="shared" si="17"/>
        <v>4.0969169505792573</v>
      </c>
      <c r="G54">
        <f t="shared" si="17"/>
        <v>4.3163042315349109</v>
      </c>
      <c r="H54">
        <f t="shared" si="17"/>
        <v>4.6675846352809378</v>
      </c>
      <c r="I54">
        <f t="shared" si="0"/>
        <v>0.73738598650572396</v>
      </c>
      <c r="J54">
        <f t="shared" si="15"/>
        <v>4.7935567144993625</v>
      </c>
      <c r="K54">
        <f t="shared" si="19"/>
        <v>4.1753137041112041</v>
      </c>
      <c r="L54">
        <f t="shared" si="19"/>
        <v>4.5986764002362968</v>
      </c>
      <c r="M54">
        <f t="shared" si="19"/>
        <v>5.349896177420848</v>
      </c>
      <c r="N54">
        <f t="shared" si="1"/>
        <v>1.4196975286456341</v>
      </c>
      <c r="O54">
        <f t="shared" si="16"/>
        <v>4.6208851013545331</v>
      </c>
      <c r="P54">
        <f t="shared" si="20"/>
        <v>4.2763732654950068</v>
      </c>
      <c r="Q54">
        <f t="shared" si="18"/>
        <v>4.4486567275507927</v>
      </c>
      <c r="R54">
        <f t="shared" si="21"/>
        <v>4.5854535134114576</v>
      </c>
      <c r="S54">
        <f t="shared" si="21"/>
        <v>5.3962850045129604</v>
      </c>
      <c r="T54">
        <f t="shared" si="2"/>
        <v>1.4660863557377466</v>
      </c>
      <c r="U54">
        <f t="shared" si="3"/>
        <v>-1.4660863557377466</v>
      </c>
      <c r="V54">
        <f t="shared" si="10"/>
        <v>5.1160048349422906</v>
      </c>
      <c r="W54">
        <f t="shared" si="4"/>
        <v>-1.1858061861670768</v>
      </c>
      <c r="X54">
        <f t="shared" si="11"/>
        <v>4.8686019256265292</v>
      </c>
      <c r="Y54">
        <f t="shared" si="5"/>
        <v>-0.9384032768513153</v>
      </c>
      <c r="Z54">
        <f t="shared" si="12"/>
        <v>4.9286094889788004</v>
      </c>
      <c r="AA54">
        <f t="shared" si="6"/>
        <v>-0.9984108402035865</v>
      </c>
      <c r="AB54">
        <f t="shared" si="7"/>
        <v>-1.8679213512247861</v>
      </c>
      <c r="AC54">
        <f t="shared" si="8"/>
        <v>5.1299047396043722</v>
      </c>
      <c r="AD54">
        <f t="shared" si="9"/>
        <v>-1.1997060908291584</v>
      </c>
    </row>
    <row r="55" spans="1:37">
      <c r="A55">
        <v>53</v>
      </c>
      <c r="B55">
        <v>3.4671670644287698</v>
      </c>
      <c r="C55">
        <f t="shared" si="13"/>
        <v>5.4019407048215893</v>
      </c>
      <c r="D55">
        <f t="shared" si="13"/>
        <v>4.4259933087143795</v>
      </c>
      <c r="E55">
        <f t="shared" si="14"/>
        <v>4.9132131620918953</v>
      </c>
      <c r="F55">
        <f t="shared" si="17"/>
        <v>4.190749167373176</v>
      </c>
      <c r="G55">
        <f t="shared" si="17"/>
        <v>4.198167604455775</v>
      </c>
      <c r="H55">
        <f t="shared" si="17"/>
        <v>4.4717907962356707</v>
      </c>
      <c r="I55">
        <f t="shared" si="0"/>
        <v>1.0046237318069009</v>
      </c>
      <c r="J55">
        <f t="shared" si="15"/>
        <v>4.4246034517500563</v>
      </c>
      <c r="K55">
        <f t="shared" si="19"/>
        <v>4.2737343145675588</v>
      </c>
      <c r="L55">
        <f t="shared" si="19"/>
        <v>4.4059509005721971</v>
      </c>
      <c r="M55">
        <f t="shared" si="19"/>
        <v>5.0445465546251587</v>
      </c>
      <c r="N55">
        <f t="shared" si="1"/>
        <v>1.5773794901963889</v>
      </c>
      <c r="O55">
        <f t="shared" si="16"/>
        <v>4.233116174285799</v>
      </c>
      <c r="P55">
        <f t="shared" si="20"/>
        <v>4.3633468652219749</v>
      </c>
      <c r="Q55">
        <f t="shared" si="18"/>
        <v>4.3979371228799611</v>
      </c>
      <c r="R55">
        <f t="shared" si="21"/>
        <v>4.4312310504235475</v>
      </c>
      <c r="S55">
        <f t="shared" si="21"/>
        <v>5.1923415429867745</v>
      </c>
      <c r="T55">
        <f t="shared" si="2"/>
        <v>1.7251744785580048</v>
      </c>
      <c r="U55">
        <f t="shared" si="3"/>
        <v>-1.7251744785580048</v>
      </c>
      <c r="V55">
        <f t="shared" si="10"/>
        <v>4.9974242163255829</v>
      </c>
      <c r="W55">
        <f t="shared" si="4"/>
        <v>-1.5302571518968131</v>
      </c>
      <c r="X55">
        <f t="shared" si="11"/>
        <v>4.6809212702562659</v>
      </c>
      <c r="Y55">
        <f t="shared" si="5"/>
        <v>-1.2137542058274962</v>
      </c>
      <c r="Z55">
        <f t="shared" si="12"/>
        <v>4.6290862369177246</v>
      </c>
      <c r="AA55">
        <f t="shared" si="6"/>
        <v>-1.1619191724889548</v>
      </c>
      <c r="AB55">
        <f t="shared" si="7"/>
        <v>-2.3365129355712302</v>
      </c>
      <c r="AC55">
        <f t="shared" si="8"/>
        <v>5.0946019069479886</v>
      </c>
      <c r="AD55">
        <f t="shared" si="9"/>
        <v>-1.6274348425192189</v>
      </c>
    </row>
    <row r="56" spans="1:37">
      <c r="A56">
        <v>54</v>
      </c>
      <c r="B56">
        <v>4.8118780978681963</v>
      </c>
      <c r="C56">
        <f t="shared" si="13"/>
        <v>3.6986828566019918</v>
      </c>
      <c r="D56">
        <f t="shared" si="13"/>
        <v>5.4033305617859124</v>
      </c>
      <c r="E56">
        <f t="shared" si="14"/>
        <v>4.7570161580239825</v>
      </c>
      <c r="F56">
        <f t="shared" si="17"/>
        <v>4.534266526847798</v>
      </c>
      <c r="G56">
        <f t="shared" si="17"/>
        <v>4.1294064125750332</v>
      </c>
      <c r="H56">
        <f t="shared" si="17"/>
        <v>4.3356088156769781</v>
      </c>
      <c r="I56">
        <f t="shared" si="0"/>
        <v>-0.47626928219121822</v>
      </c>
      <c r="J56">
        <f t="shared" si="15"/>
        <v>4.5517016376761141</v>
      </c>
      <c r="K56">
        <f t="shared" si="19"/>
        <v>4.2711800950274093</v>
      </c>
      <c r="L56">
        <f t="shared" si="19"/>
        <v>4.3091222466282053</v>
      </c>
      <c r="M56">
        <f t="shared" si="19"/>
        <v>4.7634074572637424</v>
      </c>
      <c r="N56">
        <f t="shared" si="1"/>
        <v>-4.8470640604453941E-2</v>
      </c>
      <c r="O56">
        <f t="shared" si="16"/>
        <v>4.6037369297145307</v>
      </c>
      <c r="P56">
        <f t="shared" si="20"/>
        <v>4.2897497484604061</v>
      </c>
      <c r="Q56">
        <f t="shared" si="18"/>
        <v>4.4285987618669056</v>
      </c>
      <c r="R56">
        <f t="shared" si="21"/>
        <v>4.3410192561704521</v>
      </c>
      <c r="S56">
        <f t="shared" si="21"/>
        <v>4.9698077077139864</v>
      </c>
      <c r="T56">
        <f t="shared" si="2"/>
        <v>0.15792960984579008</v>
      </c>
      <c r="U56">
        <f t="shared" si="3"/>
        <v>-0.15792960984579008</v>
      </c>
      <c r="V56">
        <f t="shared" si="10"/>
        <v>4.8443985011359016</v>
      </c>
      <c r="W56">
        <f t="shared" si="4"/>
        <v>-3.2520403267705333E-2</v>
      </c>
      <c r="X56">
        <f t="shared" si="11"/>
        <v>4.4381704290907669</v>
      </c>
      <c r="Y56">
        <f t="shared" si="5"/>
        <v>0.37370766877742945</v>
      </c>
      <c r="Z56">
        <f t="shared" si="12"/>
        <v>4.280510485171038</v>
      </c>
      <c r="AA56">
        <f t="shared" si="6"/>
        <v>0.53136761269715826</v>
      </c>
      <c r="AB56">
        <f t="shared" si="7"/>
        <v>-0.99736190213180365</v>
      </c>
      <c r="AC56">
        <f t="shared" si="8"/>
        <v>5.0599252120455462</v>
      </c>
      <c r="AD56">
        <f t="shared" si="9"/>
        <v>-0.24804711417734993</v>
      </c>
      <c r="AK56" s="22" t="s">
        <v>148</v>
      </c>
    </row>
    <row r="57" spans="1:37">
      <c r="A57">
        <v>55</v>
      </c>
      <c r="B57">
        <v>4.2137669038540402</v>
      </c>
      <c r="C57">
        <f t="shared" si="13"/>
        <v>4.1395225811484835</v>
      </c>
      <c r="D57">
        <f t="shared" si="13"/>
        <v>4.550311780711791</v>
      </c>
      <c r="E57">
        <f t="shared" si="14"/>
        <v>4.0697479370240606</v>
      </c>
      <c r="F57">
        <f t="shared" si="17"/>
        <v>4.7532114576191828</v>
      </c>
      <c r="G57">
        <f t="shared" si="17"/>
        <v>4.2739775482667435</v>
      </c>
      <c r="H57">
        <f t="shared" si="17"/>
        <v>4.21462608285524</v>
      </c>
      <c r="I57">
        <f t="shared" si="0"/>
        <v>8.5917900119980573E-4</v>
      </c>
      <c r="J57">
        <f t="shared" si="15"/>
        <v>4.7707316429850364</v>
      </c>
      <c r="K57">
        <f t="shared" si="19"/>
        <v>4.41644928395867</v>
      </c>
      <c r="L57">
        <f t="shared" si="19"/>
        <v>4.2561221256333255</v>
      </c>
      <c r="M57">
        <f t="shared" si="19"/>
        <v>4.5452274947853004</v>
      </c>
      <c r="N57">
        <f t="shared" si="1"/>
        <v>0.33146059093126023</v>
      </c>
      <c r="O57">
        <f t="shared" si="16"/>
        <v>4.6593386951588371</v>
      </c>
      <c r="P57">
        <f t="shared" si="20"/>
        <v>4.3825749087886265</v>
      </c>
      <c r="Q57">
        <f t="shared" si="18"/>
        <v>4.3295764948828648</v>
      </c>
      <c r="R57">
        <f t="shared" si="21"/>
        <v>4.3495930476485904</v>
      </c>
      <c r="S57">
        <f t="shared" si="21"/>
        <v>4.7567446462992118</v>
      </c>
      <c r="T57">
        <f t="shared" si="2"/>
        <v>0.54297774244517161</v>
      </c>
      <c r="U57">
        <f t="shared" si="3"/>
        <v>-0.54297774244517161</v>
      </c>
      <c r="V57">
        <f t="shared" si="10"/>
        <v>4.8411464608091315</v>
      </c>
      <c r="W57">
        <f t="shared" si="4"/>
        <v>-0.62737955695509129</v>
      </c>
      <c r="X57">
        <f t="shared" si="11"/>
        <v>4.5129119628462524</v>
      </c>
      <c r="Y57">
        <f t="shared" si="5"/>
        <v>-0.29914505899221222</v>
      </c>
      <c r="Z57">
        <f t="shared" si="12"/>
        <v>4.4399207689801852</v>
      </c>
      <c r="AA57">
        <f t="shared" si="6"/>
        <v>-0.22615386512614499</v>
      </c>
      <c r="AB57">
        <f t="shared" si="7"/>
        <v>-1.6010330961459598</v>
      </c>
      <c r="AC57">
        <f t="shared" si="8"/>
        <v>5.0258844954178326</v>
      </c>
      <c r="AD57">
        <f t="shared" si="9"/>
        <v>-0.81211759156379237</v>
      </c>
    </row>
    <row r="58" spans="1:37">
      <c r="A58">
        <v>56</v>
      </c>
      <c r="B58">
        <v>7.0684666309851192</v>
      </c>
      <c r="C58">
        <f t="shared" si="13"/>
        <v>4.5128225008611178</v>
      </c>
      <c r="D58">
        <f t="shared" si="13"/>
        <v>3.9191027188752376</v>
      </c>
      <c r="E58">
        <f t="shared" si="14"/>
        <v>4.1642706887170027</v>
      </c>
      <c r="F58">
        <f t="shared" si="17"/>
        <v>4.5799924190466461</v>
      </c>
      <c r="G58">
        <f t="shared" si="17"/>
        <v>4.4927423839467195</v>
      </c>
      <c r="H58">
        <f t="shared" si="17"/>
        <v>4.2005171884325172</v>
      </c>
      <c r="I58">
        <f t="shared" si="0"/>
        <v>-2.867949442552602</v>
      </c>
      <c r="J58">
        <f t="shared" si="15"/>
        <v>4.1057526787315552</v>
      </c>
      <c r="K58">
        <f t="shared" si="19"/>
        <v>4.6351483617276426</v>
      </c>
      <c r="L58">
        <f t="shared" si="19"/>
        <v>4.2841693494162101</v>
      </c>
      <c r="M58">
        <f t="shared" si="19"/>
        <v>4.3924679182675064</v>
      </c>
      <c r="N58">
        <f t="shared" si="1"/>
        <v>-2.6759987127176128</v>
      </c>
      <c r="O58">
        <f t="shared" si="16"/>
        <v>4.698295469182268</v>
      </c>
      <c r="P58">
        <f t="shared" si="20"/>
        <v>4.5217123436429221</v>
      </c>
      <c r="Q58">
        <f t="shared" si="18"/>
        <v>4.538741925404449</v>
      </c>
      <c r="R58">
        <f t="shared" si="21"/>
        <v>4.3396308742020988</v>
      </c>
      <c r="S58">
        <f t="shared" si="21"/>
        <v>4.5922326718885946</v>
      </c>
      <c r="T58">
        <f t="shared" si="2"/>
        <v>-2.4762339590965246</v>
      </c>
      <c r="U58">
        <f t="shared" si="3"/>
        <v>2.4762339590965246</v>
      </c>
      <c r="V58">
        <f t="shared" si="10"/>
        <v>4.7784085051136227</v>
      </c>
      <c r="W58">
        <f t="shared" si="4"/>
        <v>2.2900581258714965</v>
      </c>
      <c r="X58">
        <f t="shared" si="11"/>
        <v>4.4530829510478096</v>
      </c>
      <c r="Y58">
        <f t="shared" si="5"/>
        <v>2.6153836799373096</v>
      </c>
      <c r="Z58">
        <f t="shared" si="12"/>
        <v>4.3720746094423415</v>
      </c>
      <c r="AA58">
        <f t="shared" si="6"/>
        <v>2.6963920215427777</v>
      </c>
      <c r="AB58">
        <f t="shared" si="7"/>
        <v>1.2481066309851192</v>
      </c>
      <c r="AC58">
        <f t="shared" si="8"/>
        <v>4.9924894209290978</v>
      </c>
      <c r="AD58">
        <f t="shared" si="9"/>
        <v>2.0759772100560214</v>
      </c>
    </row>
    <row r="59" spans="1:37">
      <c r="A59">
        <v>57</v>
      </c>
      <c r="B59">
        <v>7.3759109477409277</v>
      </c>
      <c r="C59">
        <f t="shared" si="13"/>
        <v>5.6411167674195797</v>
      </c>
      <c r="D59">
        <f t="shared" si="13"/>
        <v>4.3261725410048006</v>
      </c>
      <c r="E59">
        <f t="shared" si="14"/>
        <v>5.3647038775691174</v>
      </c>
      <c r="F59">
        <f t="shared" si="17"/>
        <v>4.3303449279216819</v>
      </c>
      <c r="G59">
        <f t="shared" si="17"/>
        <v>4.6224901345045426</v>
      </c>
      <c r="H59">
        <f t="shared" si="17"/>
        <v>4.2987087815961651</v>
      </c>
      <c r="I59">
        <f t="shared" si="0"/>
        <v>-3.0772021661447626</v>
      </c>
      <c r="J59">
        <f t="shared" si="15"/>
        <v>4.8903196742840311</v>
      </c>
      <c r="K59">
        <f t="shared" si="19"/>
        <v>4.4631973527856905</v>
      </c>
      <c r="L59">
        <f t="shared" si="19"/>
        <v>4.3991280138203201</v>
      </c>
      <c r="M59">
        <f t="shared" si="19"/>
        <v>4.3138411555624847</v>
      </c>
      <c r="N59">
        <f t="shared" si="1"/>
        <v>-3.062069792178443</v>
      </c>
      <c r="O59">
        <f t="shared" si="16"/>
        <v>5.3874379289754106</v>
      </c>
      <c r="P59">
        <f t="shared" si="20"/>
        <v>4.563074473939194</v>
      </c>
      <c r="Q59">
        <f t="shared" si="18"/>
        <v>5.0608600177965508</v>
      </c>
      <c r="R59">
        <f t="shared" si="21"/>
        <v>4.3748577753474862</v>
      </c>
      <c r="S59">
        <f t="shared" si="21"/>
        <v>4.478181984446163</v>
      </c>
      <c r="T59">
        <f t="shared" si="2"/>
        <v>-2.8977289632947647</v>
      </c>
      <c r="U59">
        <f t="shared" si="3"/>
        <v>2.8977289632947647</v>
      </c>
      <c r="V59">
        <f t="shared" si="10"/>
        <v>5.0074143177007722</v>
      </c>
      <c r="W59">
        <f t="shared" si="4"/>
        <v>2.3684966300401555</v>
      </c>
      <c r="X59">
        <f t="shared" si="11"/>
        <v>4.9761596870352713</v>
      </c>
      <c r="Y59">
        <f t="shared" si="5"/>
        <v>2.3997512607056564</v>
      </c>
      <c r="Z59">
        <f t="shared" si="12"/>
        <v>5.1809922159051744</v>
      </c>
      <c r="AA59">
        <f t="shared" si="6"/>
        <v>2.1949187318357533</v>
      </c>
      <c r="AB59">
        <f t="shared" si="7"/>
        <v>1.5499909477409277</v>
      </c>
      <c r="AC59">
        <f t="shared" si="8"/>
        <v>4.9597494731027032</v>
      </c>
      <c r="AD59">
        <f t="shared" si="9"/>
        <v>2.4161614746382245</v>
      </c>
    </row>
    <row r="60" spans="1:37">
      <c r="A60">
        <v>58</v>
      </c>
      <c r="B60">
        <v>6.0248348636097244</v>
      </c>
      <c r="C60">
        <f t="shared" si="13"/>
        <v>7.2221887893630239</v>
      </c>
      <c r="D60">
        <f t="shared" si="13"/>
        <v>5.0769696341403492</v>
      </c>
      <c r="E60">
        <f t="shared" si="14"/>
        <v>6.2193814941933629</v>
      </c>
      <c r="F60">
        <f t="shared" si="17"/>
        <v>4.5329075011033941</v>
      </c>
      <c r="G60">
        <f t="shared" si="17"/>
        <v>4.5545162681958367</v>
      </c>
      <c r="H60">
        <f t="shared" si="17"/>
        <v>4.4630700222393349</v>
      </c>
      <c r="I60">
        <f t="shared" si="0"/>
        <v>-1.5617648413703895</v>
      </c>
      <c r="J60">
        <f t="shared" si="15"/>
        <v>5.86750564511207</v>
      </c>
      <c r="K60">
        <f t="shared" si="19"/>
        <v>4.579626408419184</v>
      </c>
      <c r="L60">
        <f t="shared" si="19"/>
        <v>4.4464937733748533</v>
      </c>
      <c r="M60">
        <f t="shared" si="19"/>
        <v>4.3121354338745155</v>
      </c>
      <c r="N60">
        <f t="shared" si="1"/>
        <v>-1.7126994297352089</v>
      </c>
      <c r="O60">
        <f t="shared" si="16"/>
        <v>5.8989714888116014</v>
      </c>
      <c r="P60">
        <f t="shared" si="20"/>
        <v>4.7163850394633684</v>
      </c>
      <c r="Q60">
        <f t="shared" si="18"/>
        <v>5.1445647156087118</v>
      </c>
      <c r="R60">
        <f t="shared" si="21"/>
        <v>4.5340618417302538</v>
      </c>
      <c r="S60">
        <f t="shared" si="21"/>
        <v>4.4036309195339385</v>
      </c>
      <c r="T60">
        <f t="shared" si="2"/>
        <v>-1.6212039440757859</v>
      </c>
      <c r="U60">
        <f t="shared" si="3"/>
        <v>1.6212039440757859</v>
      </c>
      <c r="V60">
        <f t="shared" si="10"/>
        <v>5.2442639807047877</v>
      </c>
      <c r="W60">
        <f t="shared" si="4"/>
        <v>0.7805708829049367</v>
      </c>
      <c r="X60">
        <f t="shared" si="11"/>
        <v>5.456109939176403</v>
      </c>
      <c r="Y60">
        <f t="shared" si="5"/>
        <v>0.56872492443332145</v>
      </c>
      <c r="Z60">
        <f t="shared" si="12"/>
        <v>5.8394678354559009</v>
      </c>
      <c r="AA60">
        <f t="shared" si="6"/>
        <v>0.18536702815382355</v>
      </c>
      <c r="AB60">
        <f t="shared" si="7"/>
        <v>0.19335486360972443</v>
      </c>
      <c r="AC60">
        <f t="shared" si="8"/>
        <v>4.9276739544865951</v>
      </c>
      <c r="AD60">
        <f t="shared" si="9"/>
        <v>1.0971609091231294</v>
      </c>
    </row>
    <row r="61" spans="1:37">
      <c r="A61">
        <v>59</v>
      </c>
      <c r="B61">
        <v>6.6531693936582821</v>
      </c>
      <c r="C61">
        <f t="shared" si="13"/>
        <v>6.7003729056753265</v>
      </c>
      <c r="D61">
        <f t="shared" si="13"/>
        <v>6.4316527783913013</v>
      </c>
      <c r="E61">
        <f t="shared" si="14"/>
        <v>6.823070814111925</v>
      </c>
      <c r="F61">
        <f t="shared" si="17"/>
        <v>5.2494520201598283</v>
      </c>
      <c r="G61">
        <f t="shared" si="17"/>
        <v>4.4810816160239071</v>
      </c>
      <c r="H61">
        <f t="shared" si="17"/>
        <v>4.5565829288823663</v>
      </c>
      <c r="I61">
        <f t="shared" si="0"/>
        <v>-2.0965864647759158</v>
      </c>
      <c r="J61">
        <f t="shared" si="15"/>
        <v>6.1707448365474526</v>
      </c>
      <c r="K61">
        <f t="shared" si="19"/>
        <v>4.9085774102781734</v>
      </c>
      <c r="L61">
        <f t="shared" si="19"/>
        <v>4.5236053517227965</v>
      </c>
      <c r="M61">
        <f t="shared" si="19"/>
        <v>4.3464783155611775</v>
      </c>
      <c r="N61">
        <f t="shared" si="1"/>
        <v>-2.3066910780971046</v>
      </c>
      <c r="O61">
        <f t="shared" si="16"/>
        <v>6.2672297479696182</v>
      </c>
      <c r="P61">
        <f t="shared" si="20"/>
        <v>5.0495561023685287</v>
      </c>
      <c r="Q61">
        <f t="shared" si="18"/>
        <v>5.4936707514144629</v>
      </c>
      <c r="R61">
        <f t="shared" si="21"/>
        <v>4.6500465064065741</v>
      </c>
      <c r="S61">
        <f t="shared" si="21"/>
        <v>4.3950656409204045</v>
      </c>
      <c r="T61">
        <f t="shared" si="2"/>
        <v>-2.2581037527378776</v>
      </c>
      <c r="U61">
        <f t="shared" si="3"/>
        <v>2.2581037527378776</v>
      </c>
      <c r="V61">
        <f t="shared" si="10"/>
        <v>5.3223210689952811</v>
      </c>
      <c r="W61">
        <f t="shared" si="4"/>
        <v>1.330848324663001</v>
      </c>
      <c r="X61">
        <f t="shared" si="11"/>
        <v>5.5698549240630673</v>
      </c>
      <c r="Y61">
        <f t="shared" si="5"/>
        <v>1.0833144695952148</v>
      </c>
      <c r="Z61">
        <f t="shared" si="12"/>
        <v>5.8950779439020478</v>
      </c>
      <c r="AA61">
        <f t="shared" si="6"/>
        <v>0.75809144975623433</v>
      </c>
      <c r="AB61">
        <f t="shared" si="7"/>
        <v>0.81612939365828208</v>
      </c>
      <c r="AC61">
        <f t="shared" si="8"/>
        <v>4.8962719830693189</v>
      </c>
      <c r="AD61">
        <f t="shared" si="9"/>
        <v>1.7568974105889632</v>
      </c>
    </row>
    <row r="62" spans="1:37">
      <c r="A62">
        <v>60</v>
      </c>
      <c r="B62">
        <v>7.3167608843213081</v>
      </c>
      <c r="C62">
        <f t="shared" si="13"/>
        <v>6.3390021286340037</v>
      </c>
      <c r="D62">
        <f t="shared" si="13"/>
        <v>6.9612808475191752</v>
      </c>
      <c r="E62">
        <f t="shared" si="14"/>
        <v>6.6846384016696447</v>
      </c>
      <c r="F62">
        <f t="shared" si="17"/>
        <v>6.1357187286248021</v>
      </c>
      <c r="G62">
        <f t="shared" si="17"/>
        <v>4.7042348163949681</v>
      </c>
      <c r="H62">
        <f t="shared" si="17"/>
        <v>4.5526960062414288</v>
      </c>
      <c r="I62">
        <f t="shared" si="0"/>
        <v>-2.7640648780798793</v>
      </c>
      <c r="J62">
        <f t="shared" si="15"/>
        <v>6.7805954589985138</v>
      </c>
      <c r="K62">
        <f t="shared" si="19"/>
        <v>5.2585807086687772</v>
      </c>
      <c r="L62">
        <f t="shared" si="19"/>
        <v>4.6466373833026724</v>
      </c>
      <c r="M62">
        <f t="shared" si="19"/>
        <v>4.4133491220835452</v>
      </c>
      <c r="N62">
        <f t="shared" si="1"/>
        <v>-2.9034117622377629</v>
      </c>
      <c r="O62">
        <f t="shared" si="16"/>
        <v>6.8878285440630718</v>
      </c>
      <c r="P62">
        <f t="shared" si="20"/>
        <v>5.3822546660195467</v>
      </c>
      <c r="Q62">
        <f t="shared" si="18"/>
        <v>6.0246711396193815</v>
      </c>
      <c r="R62">
        <f t="shared" si="21"/>
        <v>4.8326687778289905</v>
      </c>
      <c r="S62">
        <f t="shared" si="21"/>
        <v>4.4315348835842423</v>
      </c>
      <c r="T62">
        <f t="shared" si="2"/>
        <v>-2.8852260007370658</v>
      </c>
      <c r="U62">
        <f t="shared" si="3"/>
        <v>2.8852260007370658</v>
      </c>
      <c r="V62">
        <f t="shared" si="10"/>
        <v>5.4554059014615817</v>
      </c>
      <c r="W62">
        <f t="shared" si="4"/>
        <v>1.8613549828597264</v>
      </c>
      <c r="X62">
        <f t="shared" si="11"/>
        <v>5.7865178179821104</v>
      </c>
      <c r="Y62">
        <f t="shared" si="5"/>
        <v>1.5302430663391977</v>
      </c>
      <c r="Z62">
        <f t="shared" si="12"/>
        <v>6.1225053788289179</v>
      </c>
      <c r="AA62">
        <f t="shared" si="6"/>
        <v>1.1942555054923902</v>
      </c>
      <c r="AB62">
        <f t="shared" si="7"/>
        <v>1.4741608843213081</v>
      </c>
      <c r="AC62">
        <f t="shared" si="8"/>
        <v>4.8655524897473121</v>
      </c>
      <c r="AD62">
        <f t="shared" si="9"/>
        <v>2.451208394573996</v>
      </c>
    </row>
    <row r="63" spans="1:37">
      <c r="A63">
        <v>61</v>
      </c>
      <c r="B63">
        <v>4.000147347868416</v>
      </c>
      <c r="C63">
        <f t="shared" si="13"/>
        <v>6.9849651389897947</v>
      </c>
      <c r="D63">
        <f t="shared" si="13"/>
        <v>6.5196875171546651</v>
      </c>
      <c r="E63">
        <f t="shared" si="14"/>
        <v>6.6649217138631052</v>
      </c>
      <c r="F63">
        <f t="shared" si="17"/>
        <v>6.5756969033249772</v>
      </c>
      <c r="G63">
        <f t="shared" si="17"/>
        <v>5.3060260832960084</v>
      </c>
      <c r="H63">
        <f t="shared" si="17"/>
        <v>4.5799442335382379</v>
      </c>
      <c r="I63">
        <f t="shared" si="0"/>
        <v>0.5797968856698219</v>
      </c>
      <c r="J63">
        <f t="shared" si="15"/>
        <v>6.8426690223325606</v>
      </c>
      <c r="K63">
        <f t="shared" si="19"/>
        <v>5.9272914037355164</v>
      </c>
      <c r="L63">
        <f t="shared" si="19"/>
        <v>4.8024954700379565</v>
      </c>
      <c r="M63">
        <f t="shared" si="19"/>
        <v>4.5039661305551606</v>
      </c>
      <c r="N63">
        <f t="shared" si="1"/>
        <v>0.50381878268674463</v>
      </c>
      <c r="O63">
        <f t="shared" si="16"/>
        <v>6.2741646874397317</v>
      </c>
      <c r="P63">
        <f t="shared" si="20"/>
        <v>5.8279526358003944</v>
      </c>
      <c r="Q63">
        <f t="shared" si="18"/>
        <v>6.4421516040282327</v>
      </c>
      <c r="R63">
        <f t="shared" si="21"/>
        <v>5.0986808407877371</v>
      </c>
      <c r="S63">
        <f t="shared" si="21"/>
        <v>4.5134764705273325</v>
      </c>
      <c r="T63">
        <f t="shared" si="2"/>
        <v>0.5133291226589165</v>
      </c>
      <c r="U63">
        <f t="shared" si="3"/>
        <v>-0.5133291226589165</v>
      </c>
      <c r="V63">
        <f t="shared" si="10"/>
        <v>5.6415413997475543</v>
      </c>
      <c r="W63">
        <f t="shared" si="4"/>
        <v>-1.6413940518791383</v>
      </c>
      <c r="X63">
        <f t="shared" si="11"/>
        <v>6.0925664312499501</v>
      </c>
      <c r="Y63">
        <f t="shared" si="5"/>
        <v>-2.0924190833815342</v>
      </c>
      <c r="Z63">
        <f t="shared" si="12"/>
        <v>6.480782030476635</v>
      </c>
      <c r="AA63">
        <f t="shared" si="6"/>
        <v>-2.4806346826082191</v>
      </c>
      <c r="AB63">
        <f t="shared" si="7"/>
        <v>-1.8480126521315841</v>
      </c>
      <c r="AC63">
        <f t="shared" si="8"/>
        <v>4.8355242158441483</v>
      </c>
      <c r="AD63">
        <f t="shared" si="9"/>
        <v>-0.8353768679757323</v>
      </c>
    </row>
    <row r="64" spans="1:37">
      <c r="A64">
        <v>62</v>
      </c>
      <c r="B64">
        <v>6.7972032920975494</v>
      </c>
      <c r="C64">
        <f t="shared" si="13"/>
        <v>5.6584541160948625</v>
      </c>
      <c r="D64">
        <f t="shared" si="13"/>
        <v>6.6619836338118992</v>
      </c>
      <c r="E64">
        <f t="shared" si="14"/>
        <v>5.9900258752826687</v>
      </c>
      <c r="F64">
        <f t="shared" si="17"/>
        <v>6.7242103098815589</v>
      </c>
      <c r="G64">
        <f t="shared" si="17"/>
        <v>5.9869558840365364</v>
      </c>
      <c r="H64">
        <f t="shared" si="17"/>
        <v>4.8304475052382942</v>
      </c>
      <c r="I64">
        <f t="shared" si="0"/>
        <v>-1.9667557868592551</v>
      </c>
      <c r="J64">
        <f t="shared" si="15"/>
        <v>5.9987281223644331</v>
      </c>
      <c r="K64">
        <f t="shared" si="19"/>
        <v>6.4153787407476495</v>
      </c>
      <c r="L64">
        <f t="shared" si="19"/>
        <v>5.1685189827754128</v>
      </c>
      <c r="M64">
        <f t="shared" si="19"/>
        <v>4.6048079946095699</v>
      </c>
      <c r="N64">
        <f t="shared" si="1"/>
        <v>-2.1923952974879795</v>
      </c>
      <c r="O64">
        <f t="shared" si="16"/>
        <v>6.1584231563110565</v>
      </c>
      <c r="P64">
        <f t="shared" si="20"/>
        <v>6.1431264794518876</v>
      </c>
      <c r="Q64">
        <f t="shared" si="18"/>
        <v>6.4065483446972955</v>
      </c>
      <c r="R64">
        <f t="shared" si="21"/>
        <v>5.4507766923119645</v>
      </c>
      <c r="S64">
        <f t="shared" si="21"/>
        <v>4.6383244360505236</v>
      </c>
      <c r="T64">
        <f t="shared" si="2"/>
        <v>-2.1588788560470258</v>
      </c>
      <c r="U64">
        <f t="shared" si="3"/>
        <v>2.1588788560470258</v>
      </c>
      <c r="V64">
        <f t="shared" si="10"/>
        <v>5.4774019945596404</v>
      </c>
      <c r="W64">
        <f t="shared" si="4"/>
        <v>1.319801297537909</v>
      </c>
      <c r="X64">
        <f t="shared" si="11"/>
        <v>5.6740826145736429</v>
      </c>
      <c r="Y64">
        <f t="shared" si="5"/>
        <v>1.1231206775239064</v>
      </c>
      <c r="Z64">
        <f t="shared" si="12"/>
        <v>5.7365916256941691</v>
      </c>
      <c r="AA64">
        <f t="shared" si="6"/>
        <v>1.0606116664033802</v>
      </c>
      <c r="AB64">
        <f t="shared" si="7"/>
        <v>0.94348329209754933</v>
      </c>
      <c r="AC64">
        <f t="shared" si="8"/>
        <v>4.8061957106824522</v>
      </c>
      <c r="AD64">
        <f t="shared" si="9"/>
        <v>1.9910075814150971</v>
      </c>
    </row>
    <row r="65" spans="1:40">
      <c r="A65">
        <v>63</v>
      </c>
      <c r="B65">
        <v>6.2497422703884169</v>
      </c>
      <c r="C65">
        <f t="shared" si="13"/>
        <v>5.3986753199829831</v>
      </c>
      <c r="D65">
        <f t="shared" si="13"/>
        <v>6.3217096275423286</v>
      </c>
      <c r="E65">
        <f t="shared" si="14"/>
        <v>6.0380371747624251</v>
      </c>
      <c r="F65">
        <f t="shared" si="17"/>
        <v>6.4465286636051395</v>
      </c>
      <c r="G65">
        <f t="shared" si="17"/>
        <v>6.4785419806104469</v>
      </c>
      <c r="H65">
        <f t="shared" si="17"/>
        <v>5.332405594575838</v>
      </c>
      <c r="I65">
        <f t="shared" si="0"/>
        <v>-0.91733667581257894</v>
      </c>
      <c r="J65">
        <f t="shared" si="15"/>
        <v>6.1918202294863889</v>
      </c>
      <c r="K65">
        <f t="shared" si="19"/>
        <v>6.4481843600607398</v>
      </c>
      <c r="L65">
        <f t="shared" si="19"/>
        <v>5.6274570658575289</v>
      </c>
      <c r="M65">
        <f t="shared" si="19"/>
        <v>4.7853142969597098</v>
      </c>
      <c r="N65">
        <f t="shared" si="1"/>
        <v>-1.4644279734287071</v>
      </c>
      <c r="O65">
        <f t="shared" si="16"/>
        <v>6.2034046376667948</v>
      </c>
      <c r="P65">
        <f t="shared" si="20"/>
        <v>6.2973235249190163</v>
      </c>
      <c r="Q65">
        <f t="shared" si="18"/>
        <v>6.3613377882160345</v>
      </c>
      <c r="R65">
        <f t="shared" si="21"/>
        <v>5.7620777621941057</v>
      </c>
      <c r="S65">
        <f t="shared" si="21"/>
        <v>4.8235154057355007</v>
      </c>
      <c r="T65">
        <f t="shared" si="2"/>
        <v>-1.4262268646529161</v>
      </c>
      <c r="U65">
        <f t="shared" si="3"/>
        <v>1.4262268646529161</v>
      </c>
      <c r="V65">
        <f t="shared" si="10"/>
        <v>5.6093821243134316</v>
      </c>
      <c r="W65">
        <f t="shared" si="4"/>
        <v>0.64036014607498526</v>
      </c>
      <c r="X65">
        <f t="shared" si="11"/>
        <v>5.898706750078424</v>
      </c>
      <c r="Y65">
        <f t="shared" si="5"/>
        <v>0.35103552030999285</v>
      </c>
      <c r="Z65">
        <f t="shared" si="12"/>
        <v>6.0547751256151834</v>
      </c>
      <c r="AA65">
        <f t="shared" si="6"/>
        <v>0.19496714477323351</v>
      </c>
      <c r="AB65">
        <f t="shared" si="7"/>
        <v>0.39046227038841685</v>
      </c>
      <c r="AC65">
        <f t="shared" si="8"/>
        <v>4.7775753292091414</v>
      </c>
      <c r="AD65">
        <f t="shared" si="9"/>
        <v>1.4721669411792755</v>
      </c>
    </row>
    <row r="66" spans="1:40">
      <c r="A66">
        <v>64</v>
      </c>
      <c r="B66">
        <v>3.3370446363722417</v>
      </c>
      <c r="C66">
        <f t="shared" si="13"/>
        <v>6.5234727812429831</v>
      </c>
      <c r="D66">
        <f t="shared" si="13"/>
        <v>5.5285647180389228</v>
      </c>
      <c r="E66">
        <f t="shared" si="14"/>
        <v>5.682364303451461</v>
      </c>
      <c r="F66">
        <f t="shared" si="17"/>
        <v>6.2309949213027336</v>
      </c>
      <c r="G66">
        <f t="shared" si="17"/>
        <v>6.5821452922705577</v>
      </c>
      <c r="H66">
        <f t="shared" si="17"/>
        <v>5.9238413159809973</v>
      </c>
      <c r="I66">
        <f t="shared" si="0"/>
        <v>2.5867966796087556</v>
      </c>
      <c r="J66">
        <f t="shared" si="15"/>
        <v>6.0909634486689228</v>
      </c>
      <c r="K66">
        <f t="shared" si="19"/>
        <v>6.4534532082954739</v>
      </c>
      <c r="L66">
        <f t="shared" si="19"/>
        <v>6.0123588033031705</v>
      </c>
      <c r="M66">
        <f t="shared" si="19"/>
        <v>5.0612772254933933</v>
      </c>
      <c r="N66">
        <f t="shared" si="1"/>
        <v>1.7242325891211516</v>
      </c>
      <c r="O66">
        <f t="shared" si="16"/>
        <v>5.5401796862095862</v>
      </c>
      <c r="P66">
        <f t="shared" si="20"/>
        <v>6.3582101546900542</v>
      </c>
      <c r="Q66">
        <f t="shared" si="18"/>
        <v>6.1736430086572831</v>
      </c>
      <c r="R66">
        <f t="shared" si="21"/>
        <v>5.9788240572640206</v>
      </c>
      <c r="S66">
        <f t="shared" si="21"/>
        <v>5.0547187368766044</v>
      </c>
      <c r="T66">
        <f t="shared" si="2"/>
        <v>1.7176741005043628</v>
      </c>
      <c r="U66">
        <f t="shared" si="3"/>
        <v>-1.7176741005043628</v>
      </c>
      <c r="V66">
        <f t="shared" si="10"/>
        <v>5.6734181389209297</v>
      </c>
      <c r="W66">
        <f t="shared" si="4"/>
        <v>-2.336373502548688</v>
      </c>
      <c r="X66">
        <f t="shared" si="11"/>
        <v>5.968913854140423</v>
      </c>
      <c r="Y66">
        <f t="shared" si="5"/>
        <v>-2.6318692177681813</v>
      </c>
      <c r="Z66">
        <f t="shared" si="12"/>
        <v>6.1132652690471536</v>
      </c>
      <c r="AA66">
        <f t="shared" si="6"/>
        <v>-2.7762206326749119</v>
      </c>
      <c r="AB66">
        <f t="shared" si="7"/>
        <v>-2.5277953636277584</v>
      </c>
      <c r="AC66">
        <f t="shared" si="8"/>
        <v>4.7496712296746653</v>
      </c>
      <c r="AD66">
        <f t="shared" si="9"/>
        <v>-1.4126265933024236</v>
      </c>
    </row>
    <row r="67" spans="1:40">
      <c r="A67">
        <v>65</v>
      </c>
      <c r="B67">
        <v>5.4983137672107718</v>
      </c>
      <c r="C67">
        <f t="shared" si="13"/>
        <v>4.7933934533803289</v>
      </c>
      <c r="D67">
        <f t="shared" si="13"/>
        <v>5.9610740506129831</v>
      </c>
      <c r="E67">
        <f t="shared" si="14"/>
        <v>5.4613300662860693</v>
      </c>
      <c r="F67">
        <f t="shared" si="17"/>
        <v>5.9034757844988519</v>
      </c>
      <c r="G67">
        <f t="shared" si="17"/>
        <v>6.4672446315964782</v>
      </c>
      <c r="H67">
        <f t="shared" si="17"/>
        <v>6.3492143856391801</v>
      </c>
      <c r="I67">
        <f t="shared" ref="I67:I130" si="22">H67-B67</f>
        <v>0.85090061842840825</v>
      </c>
      <c r="J67">
        <f t="shared" si="15"/>
        <v>5.096034386681656</v>
      </c>
      <c r="K67">
        <f t="shared" si="19"/>
        <v>6.2810452057130766</v>
      </c>
      <c r="L67">
        <f t="shared" si="19"/>
        <v>6.3110769282098449</v>
      </c>
      <c r="M67">
        <f t="shared" si="19"/>
        <v>5.4027075804935176</v>
      </c>
      <c r="N67">
        <f t="shared" ref="N67:N130" si="23">M67-B67</f>
        <v>-9.5606186717254182E-2</v>
      </c>
      <c r="O67">
        <f t="shared" si="16"/>
        <v>5.1764902627874791</v>
      </c>
      <c r="P67">
        <f t="shared" si="20"/>
        <v>6.2128001423380486</v>
      </c>
      <c r="Q67">
        <f t="shared" si="18"/>
        <v>5.7256779707843686</v>
      </c>
      <c r="R67">
        <f t="shared" si="21"/>
        <v>6.1503371061054493</v>
      </c>
      <c r="S67">
        <f t="shared" si="21"/>
        <v>5.2955124394655657</v>
      </c>
      <c r="T67">
        <f t="shared" ref="T67:T130" si="24">S67-B67</f>
        <v>-0.20280132774520609</v>
      </c>
      <c r="U67">
        <f t="shared" ref="U67:U130" si="25">B67-S67</f>
        <v>0.20280132774520609</v>
      </c>
      <c r="V67">
        <f t="shared" si="10"/>
        <v>5.4397807886660612</v>
      </c>
      <c r="W67">
        <f t="shared" ref="W67:W130" si="26">B67-V67</f>
        <v>5.8532978544710623E-2</v>
      </c>
      <c r="X67">
        <f t="shared" si="11"/>
        <v>5.4425400105867867</v>
      </c>
      <c r="Y67">
        <f t="shared" ref="Y67:Y130" si="27">B67-X67</f>
        <v>5.5773756623985093E-2</v>
      </c>
      <c r="Z67">
        <f t="shared" si="12"/>
        <v>5.2803990792446802</v>
      </c>
      <c r="AA67">
        <f t="shared" ref="AA67:AA130" si="28">B67-Z67</f>
        <v>0.21791468796609159</v>
      </c>
      <c r="AB67">
        <f t="shared" ref="AB67:AB130" si="29">B67- ((0.00556 * A67)  +5.509)</f>
        <v>-0.37208623278922826</v>
      </c>
      <c r="AC67">
        <f t="shared" ref="AC67:AC130" si="30">0.00075*A67 + 5.509 + ($AI$6*SIN((A67/$AI$7)+ $AI$8))+ ($AI$6*COS((A67/$AI$7) + $AI$8))+ $AI$9</f>
        <v>4.7224913713668686</v>
      </c>
      <c r="AD67">
        <f t="shared" ref="AD67:AD130" si="31">B67-AC67</f>
        <v>0.77582239584390322</v>
      </c>
    </row>
    <row r="68" spans="1:40">
      <c r="A68">
        <v>66</v>
      </c>
      <c r="B68">
        <v>4.1279592119803823</v>
      </c>
      <c r="C68">
        <f t="shared" si="13"/>
        <v>4.4176792017915067</v>
      </c>
      <c r="D68">
        <f t="shared" si="13"/>
        <v>5.658433117311656</v>
      </c>
      <c r="E68">
        <f t="shared" si="14"/>
        <v>5.0283668913238095</v>
      </c>
      <c r="F68">
        <f t="shared" si="17"/>
        <v>5.7272438481666521</v>
      </c>
      <c r="G68">
        <f t="shared" si="17"/>
        <v>6.1936664564689083</v>
      </c>
      <c r="H68">
        <f t="shared" si="17"/>
        <v>6.5093106348258276</v>
      </c>
      <c r="I68">
        <f t="shared" si="22"/>
        <v>2.3813514228454453</v>
      </c>
      <c r="J68">
        <f t="shared" si="15"/>
        <v>5.4705759915172445</v>
      </c>
      <c r="K68">
        <f t="shared" si="19"/>
        <v>5.84438654680035</v>
      </c>
      <c r="L68">
        <f t="shared" si="19"/>
        <v>6.3995153787042351</v>
      </c>
      <c r="M68">
        <f t="shared" si="19"/>
        <v>5.7798529450364882</v>
      </c>
      <c r="N68">
        <f t="shared" si="23"/>
        <v>1.6518937330561059</v>
      </c>
      <c r="O68">
        <f t="shared" si="16"/>
        <v>5.2020526356098724</v>
      </c>
      <c r="P68">
        <f t="shared" si="20"/>
        <v>5.8705324860829293</v>
      </c>
      <c r="Q68">
        <f t="shared" si="18"/>
        <v>5.5332020330431178</v>
      </c>
      <c r="R68">
        <f t="shared" si="21"/>
        <v>6.1890049760004331</v>
      </c>
      <c r="S68">
        <f t="shared" si="21"/>
        <v>5.5455608727487116</v>
      </c>
      <c r="T68">
        <f t="shared" si="24"/>
        <v>1.4176016607683293</v>
      </c>
      <c r="U68">
        <f t="shared" si="25"/>
        <v>-1.4176016607683293</v>
      </c>
      <c r="V68">
        <f t="shared" ref="V68:V131" si="32">V67+0.1*(B67-V67)</f>
        <v>5.4456340865205322</v>
      </c>
      <c r="W68">
        <f t="shared" si="26"/>
        <v>-1.3176748745401499</v>
      </c>
      <c r="X68">
        <f t="shared" ref="X68:X131" si="33">X67+0.2*(B67-X67)</f>
        <v>5.4536947619115841</v>
      </c>
      <c r="Y68">
        <f t="shared" si="27"/>
        <v>-1.3257355499312018</v>
      </c>
      <c r="Z68">
        <f t="shared" ref="Z68:Z131" si="34">Z67+0.3*(B67-Z67)</f>
        <v>5.345773485634508</v>
      </c>
      <c r="AA68">
        <f t="shared" si="28"/>
        <v>-1.2178142736541258</v>
      </c>
      <c r="AB68">
        <f t="shared" si="29"/>
        <v>-1.7480007880196178</v>
      </c>
      <c r="AC68">
        <f t="shared" si="30"/>
        <v>4.6960435124001396</v>
      </c>
      <c r="AD68">
        <f t="shared" si="31"/>
        <v>-0.56808430041975733</v>
      </c>
    </row>
    <row r="69" spans="1:40">
      <c r="A69">
        <v>67</v>
      </c>
      <c r="B69">
        <v>3.5808180825869584</v>
      </c>
      <c r="C69">
        <f t="shared" ref="C69:D132" si="35">AVERAGE(B67:B68)</f>
        <v>4.8131364895955766</v>
      </c>
      <c r="D69">
        <f t="shared" si="35"/>
        <v>4.6055363275859182</v>
      </c>
      <c r="E69">
        <f t="shared" si="14"/>
        <v>4.3211058718544653</v>
      </c>
      <c r="F69">
        <f t="shared" si="17"/>
        <v>5.3906870870204466</v>
      </c>
      <c r="G69">
        <f t="shared" si="17"/>
        <v>5.9539048513227462</v>
      </c>
      <c r="H69">
        <f t="shared" si="17"/>
        <v>6.4143521267786481</v>
      </c>
      <c r="I69">
        <f t="shared" si="22"/>
        <v>2.8335340441916896</v>
      </c>
      <c r="J69">
        <f t="shared" si="15"/>
        <v>4.8032649714879527</v>
      </c>
      <c r="K69">
        <f t="shared" si="19"/>
        <v>5.7123485140885526</v>
      </c>
      <c r="L69">
        <f t="shared" si="19"/>
        <v>6.2567673302174107</v>
      </c>
      <c r="M69">
        <f t="shared" si="19"/>
        <v>6.0876020440186949</v>
      </c>
      <c r="N69">
        <f t="shared" si="23"/>
        <v>2.5067839614317364</v>
      </c>
      <c r="O69">
        <f t="shared" si="16"/>
        <v>4.5587755937077539</v>
      </c>
      <c r="P69">
        <f t="shared" si="20"/>
        <v>5.656110075716958</v>
      </c>
      <c r="Q69">
        <f t="shared" si="18"/>
        <v>5.0017350876529632</v>
      </c>
      <c r="R69">
        <f t="shared" si="21"/>
        <v>6.1070934582377214</v>
      </c>
      <c r="S69">
        <f t="shared" si="21"/>
        <v>5.7716169057772859</v>
      </c>
      <c r="T69">
        <f t="shared" si="24"/>
        <v>2.1907988231903275</v>
      </c>
      <c r="U69">
        <f t="shared" si="25"/>
        <v>-2.1907988231903275</v>
      </c>
      <c r="V69">
        <f t="shared" si="32"/>
        <v>5.3138665990665173</v>
      </c>
      <c r="W69">
        <f t="shared" si="26"/>
        <v>-1.7330485164795588</v>
      </c>
      <c r="X69">
        <f t="shared" si="33"/>
        <v>5.1885476519253437</v>
      </c>
      <c r="Y69">
        <f t="shared" si="27"/>
        <v>-1.6077295693383853</v>
      </c>
      <c r="Z69">
        <f t="shared" si="34"/>
        <v>4.9804292035382707</v>
      </c>
      <c r="AA69">
        <f t="shared" si="28"/>
        <v>-1.3996111209513122</v>
      </c>
      <c r="AB69">
        <f t="shared" si="29"/>
        <v>-2.3007019174130416</v>
      </c>
      <c r="AC69">
        <f t="shared" si="30"/>
        <v>4.6703352075604201</v>
      </c>
      <c r="AD69">
        <f t="shared" si="31"/>
        <v>-1.0895171249734616</v>
      </c>
    </row>
    <row r="70" spans="1:40">
      <c r="A70">
        <v>68</v>
      </c>
      <c r="B70">
        <v>3.5250455081074401</v>
      </c>
      <c r="C70">
        <f t="shared" si="35"/>
        <v>3.8543886472836704</v>
      </c>
      <c r="D70">
        <f t="shared" si="35"/>
        <v>4.6154078456935412</v>
      </c>
      <c r="E70">
        <f t="shared" ref="E70:E133" si="36">AVERAGE(B67:B69)</f>
        <v>4.4023636872593706</v>
      </c>
      <c r="F70">
        <f t="shared" si="17"/>
        <v>4.936934276488115</v>
      </c>
      <c r="G70">
        <f t="shared" si="17"/>
        <v>5.6738022398953163</v>
      </c>
      <c r="H70">
        <f t="shared" si="17"/>
        <v>6.2049386464627112</v>
      </c>
      <c r="I70">
        <f t="shared" si="22"/>
        <v>2.6798931383552711</v>
      </c>
      <c r="J70">
        <f t="shared" si="15"/>
        <v>4.136033924537589</v>
      </c>
      <c r="K70">
        <f t="shared" si="19"/>
        <v>5.3652096995889433</v>
      </c>
      <c r="L70">
        <f t="shared" si="19"/>
        <v>6.0728083687243632</v>
      </c>
      <c r="M70">
        <f t="shared" si="19"/>
        <v>6.2449296101086658</v>
      </c>
      <c r="N70">
        <f t="shared" si="23"/>
        <v>2.7198841020012257</v>
      </c>
      <c r="O70">
        <f t="shared" si="16"/>
        <v>4.0138362412515587</v>
      </c>
      <c r="P70">
        <f t="shared" si="20"/>
        <v>5.3361805631962973</v>
      </c>
      <c r="Q70">
        <f t="shared" si="18"/>
        <v>4.9318468767727195</v>
      </c>
      <c r="R70">
        <f t="shared" si="21"/>
        <v>5.8670240388418433</v>
      </c>
      <c r="S70">
        <f t="shared" si="21"/>
        <v>5.9396856753522833</v>
      </c>
      <c r="T70">
        <f t="shared" si="24"/>
        <v>2.4146401672448432</v>
      </c>
      <c r="U70">
        <f t="shared" si="25"/>
        <v>-2.4146401672448432</v>
      </c>
      <c r="V70">
        <f t="shared" si="32"/>
        <v>5.1405617474185616</v>
      </c>
      <c r="W70">
        <f t="shared" si="26"/>
        <v>-1.6155162393111215</v>
      </c>
      <c r="X70">
        <f t="shared" si="33"/>
        <v>4.8670017380576667</v>
      </c>
      <c r="Y70">
        <f t="shared" si="27"/>
        <v>-1.3419562299502266</v>
      </c>
      <c r="Z70">
        <f t="shared" si="34"/>
        <v>4.5605458672528769</v>
      </c>
      <c r="AA70">
        <f t="shared" si="28"/>
        <v>-1.0355003591454368</v>
      </c>
      <c r="AB70">
        <f t="shared" si="29"/>
        <v>-2.36203449189256</v>
      </c>
      <c r="AC70">
        <f t="shared" si="30"/>
        <v>4.645373806206706</v>
      </c>
      <c r="AD70">
        <f t="shared" si="31"/>
        <v>-1.1203282980992659</v>
      </c>
    </row>
    <row r="71" spans="1:40">
      <c r="A71">
        <v>69</v>
      </c>
      <c r="B71">
        <v>2.3989840749035878</v>
      </c>
      <c r="C71">
        <f t="shared" si="35"/>
        <v>3.5529317953471993</v>
      </c>
      <c r="D71">
        <f t="shared" si="35"/>
        <v>4.3337625684396235</v>
      </c>
      <c r="E71">
        <f t="shared" si="36"/>
        <v>3.7446076008915932</v>
      </c>
      <c r="F71">
        <f t="shared" si="17"/>
        <v>4.5839454834792148</v>
      </c>
      <c r="G71">
        <f t="shared" si="17"/>
        <v>5.351621737225071</v>
      </c>
      <c r="H71">
        <f t="shared" si="17"/>
        <v>5.9404578492289906</v>
      </c>
      <c r="I71">
        <f t="shared" si="22"/>
        <v>3.5414737743254028</v>
      </c>
      <c r="J71">
        <f t="shared" ref="J71:J134" si="37">AVERAGE(B67:B70)</f>
        <v>4.1830341424713877</v>
      </c>
      <c r="K71">
        <f t="shared" si="19"/>
        <v>4.8764773185561108</v>
      </c>
      <c r="L71">
        <f t="shared" si="19"/>
        <v>5.80074749154773</v>
      </c>
      <c r="M71">
        <f t="shared" si="19"/>
        <v>6.2600420014639635</v>
      </c>
      <c r="N71">
        <f t="shared" si="23"/>
        <v>3.8610579265603757</v>
      </c>
      <c r="O71">
        <f t="shared" ref="O71:O134" si="38">AVERAGE(B67:B71)</f>
        <v>3.8262241289578278</v>
      </c>
      <c r="P71">
        <f t="shared" si="20"/>
        <v>4.8982668839132497</v>
      </c>
      <c r="Q71">
        <f t="shared" si="18"/>
        <v>4.3864872461077011</v>
      </c>
      <c r="R71">
        <f t="shared" si="21"/>
        <v>5.6212404608544135</v>
      </c>
      <c r="S71">
        <f t="shared" si="21"/>
        <v>6.0090602331072622</v>
      </c>
      <c r="T71">
        <f t="shared" si="24"/>
        <v>3.6100761582036744</v>
      </c>
      <c r="U71">
        <f t="shared" si="25"/>
        <v>-3.6100761582036744</v>
      </c>
      <c r="V71">
        <f t="shared" si="32"/>
        <v>4.9790101234874493</v>
      </c>
      <c r="W71">
        <f t="shared" si="26"/>
        <v>-2.5800260485838615</v>
      </c>
      <c r="X71">
        <f t="shared" si="33"/>
        <v>4.5986104920676212</v>
      </c>
      <c r="Y71">
        <f t="shared" si="27"/>
        <v>-2.1996264171640334</v>
      </c>
      <c r="Z71">
        <f t="shared" si="34"/>
        <v>4.2498957595092461</v>
      </c>
      <c r="AA71">
        <f t="shared" si="28"/>
        <v>-1.8509116846056584</v>
      </c>
      <c r="AB71">
        <f t="shared" si="29"/>
        <v>-3.4936559250964123</v>
      </c>
      <c r="AC71">
        <f t="shared" si="30"/>
        <v>4.6211664502296035</v>
      </c>
      <c r="AD71">
        <f t="shared" si="31"/>
        <v>-2.2221823753260157</v>
      </c>
      <c r="AM71">
        <v>1</v>
      </c>
      <c r="AN71" t="s">
        <v>100</v>
      </c>
    </row>
    <row r="72" spans="1:40">
      <c r="A72">
        <v>70</v>
      </c>
      <c r="B72">
        <v>4.0593871026786594</v>
      </c>
      <c r="C72">
        <f t="shared" si="35"/>
        <v>2.9620147915055139</v>
      </c>
      <c r="D72">
        <f t="shared" si="35"/>
        <v>3.7036602213154346</v>
      </c>
      <c r="E72">
        <f t="shared" si="36"/>
        <v>3.1682825551993283</v>
      </c>
      <c r="F72">
        <f t="shared" si="17"/>
        <v>4.1560257200018098</v>
      </c>
      <c r="G72">
        <f t="shared" si="17"/>
        <v>4.9705222823292594</v>
      </c>
      <c r="H72">
        <f t="shared" si="17"/>
        <v>5.6597762761477108</v>
      </c>
      <c r="I72">
        <f t="shared" si="22"/>
        <v>1.6003891734690514</v>
      </c>
      <c r="J72">
        <f t="shared" si="37"/>
        <v>3.4082017193945919</v>
      </c>
      <c r="K72">
        <f t="shared" si="19"/>
        <v>4.6482272575035433</v>
      </c>
      <c r="L72">
        <f t="shared" si="19"/>
        <v>5.4496055197584887</v>
      </c>
      <c r="M72">
        <f t="shared" si="19"/>
        <v>6.1324596422984357</v>
      </c>
      <c r="N72">
        <f t="shared" si="23"/>
        <v>2.0730725396197762</v>
      </c>
      <c r="O72">
        <f t="shared" si="38"/>
        <v>3.5384387960514054</v>
      </c>
      <c r="P72">
        <f t="shared" si="20"/>
        <v>4.5554757724628994</v>
      </c>
      <c r="Q72">
        <f t="shared" si="18"/>
        <v>3.744694213526897</v>
      </c>
      <c r="R72">
        <f t="shared" si="21"/>
        <v>5.2920987038363592</v>
      </c>
      <c r="S72">
        <f t="shared" si="21"/>
        <v>5.9855873495506478</v>
      </c>
      <c r="T72">
        <f t="shared" si="24"/>
        <v>1.9262002468719883</v>
      </c>
      <c r="U72">
        <f t="shared" si="25"/>
        <v>-1.9262002468719883</v>
      </c>
      <c r="V72">
        <f t="shared" si="32"/>
        <v>4.7210075186290634</v>
      </c>
      <c r="W72">
        <f t="shared" si="26"/>
        <v>-0.66162041595040399</v>
      </c>
      <c r="X72">
        <f t="shared" si="33"/>
        <v>4.1586852086348145</v>
      </c>
      <c r="Y72">
        <f t="shared" si="27"/>
        <v>-9.9298105956155069E-2</v>
      </c>
      <c r="Z72">
        <f t="shared" si="34"/>
        <v>3.6946222541275486</v>
      </c>
      <c r="AA72">
        <f t="shared" si="28"/>
        <v>0.3647648485511108</v>
      </c>
      <c r="AB72">
        <f t="shared" si="29"/>
        <v>-1.8388128973213407</v>
      </c>
      <c r="AC72">
        <f t="shared" si="30"/>
        <v>4.5977200720675215</v>
      </c>
      <c r="AD72">
        <f t="shared" si="31"/>
        <v>-0.5383329693888621</v>
      </c>
      <c r="AM72">
        <v>2</v>
      </c>
      <c r="AN72" t="s">
        <v>101</v>
      </c>
    </row>
    <row r="73" spans="1:40">
      <c r="A73">
        <v>71</v>
      </c>
      <c r="B73">
        <v>2.4404956729532552</v>
      </c>
      <c r="C73">
        <f t="shared" si="35"/>
        <v>3.2291855887911236</v>
      </c>
      <c r="D73">
        <f t="shared" si="35"/>
        <v>3.2574732934263566</v>
      </c>
      <c r="E73">
        <f t="shared" si="36"/>
        <v>3.3278055618965623</v>
      </c>
      <c r="F73">
        <f t="shared" ref="F73:H136" si="39">AVERAGE(E70:E72)</f>
        <v>3.7717512811167637</v>
      </c>
      <c r="G73">
        <f t="shared" si="39"/>
        <v>4.5589684933230465</v>
      </c>
      <c r="H73">
        <f t="shared" si="39"/>
        <v>5.3319820864832153</v>
      </c>
      <c r="I73">
        <f t="shared" si="22"/>
        <v>2.8914864135299601</v>
      </c>
      <c r="J73">
        <f t="shared" si="37"/>
        <v>3.3910586920691612</v>
      </c>
      <c r="K73">
        <f t="shared" si="19"/>
        <v>4.1326336894728808</v>
      </c>
      <c r="L73">
        <f t="shared" si="19"/>
        <v>5.1505656974342875</v>
      </c>
      <c r="M73">
        <f t="shared" si="19"/>
        <v>5.8949821775619986</v>
      </c>
      <c r="N73">
        <f t="shared" si="23"/>
        <v>3.4544865046087434</v>
      </c>
      <c r="O73">
        <f t="shared" si="38"/>
        <v>3.2009460882459799</v>
      </c>
      <c r="P73">
        <f t="shared" si="20"/>
        <v>4.2278654791156836</v>
      </c>
      <c r="Q73">
        <f t="shared" ref="Q73:Q136" si="40">AVERAGE(B67:B72)</f>
        <v>3.8650846245779662</v>
      </c>
      <c r="R73">
        <f t="shared" si="21"/>
        <v>4.8872739046479614</v>
      </c>
      <c r="S73">
        <f t="shared" si="21"/>
        <v>5.8711331239793694</v>
      </c>
      <c r="T73">
        <f t="shared" si="24"/>
        <v>3.4306374510261142</v>
      </c>
      <c r="U73">
        <f t="shared" si="25"/>
        <v>-3.4306374510261142</v>
      </c>
      <c r="V73">
        <f t="shared" si="32"/>
        <v>4.6548454770340228</v>
      </c>
      <c r="W73">
        <f t="shared" si="26"/>
        <v>-2.2143498040807676</v>
      </c>
      <c r="X73">
        <f t="shared" si="33"/>
        <v>4.1388255874435833</v>
      </c>
      <c r="Y73">
        <f t="shared" si="27"/>
        <v>-1.6983299144903281</v>
      </c>
      <c r="Z73">
        <f t="shared" si="34"/>
        <v>3.804051708692882</v>
      </c>
      <c r="AA73">
        <f t="shared" si="28"/>
        <v>-1.3635560357396268</v>
      </c>
      <c r="AB73">
        <f t="shared" si="29"/>
        <v>-3.4632643270467449</v>
      </c>
      <c r="AC73">
        <f t="shared" si="30"/>
        <v>4.5750413927810332</v>
      </c>
      <c r="AD73">
        <f t="shared" si="31"/>
        <v>-2.134545719827778</v>
      </c>
    </row>
    <row r="74" spans="1:40">
      <c r="A74">
        <v>72</v>
      </c>
      <c r="B74">
        <v>5.2727445545715979</v>
      </c>
      <c r="C74">
        <f t="shared" si="35"/>
        <v>3.2499413878159573</v>
      </c>
      <c r="D74">
        <f t="shared" si="35"/>
        <v>3.0956001901483186</v>
      </c>
      <c r="E74">
        <f t="shared" si="36"/>
        <v>2.9662889501785004</v>
      </c>
      <c r="F74">
        <f t="shared" si="39"/>
        <v>3.4135652393291611</v>
      </c>
      <c r="G74">
        <f t="shared" si="39"/>
        <v>4.1705741615325964</v>
      </c>
      <c r="H74">
        <f t="shared" si="39"/>
        <v>4.960370837625792</v>
      </c>
      <c r="I74">
        <f t="shared" si="22"/>
        <v>-0.31237371694580585</v>
      </c>
      <c r="J74">
        <f t="shared" si="37"/>
        <v>3.1059780896607352</v>
      </c>
      <c r="K74">
        <f t="shared" si="19"/>
        <v>3.7795821196181825</v>
      </c>
      <c r="L74">
        <f t="shared" si="19"/>
        <v>4.7556369912803689</v>
      </c>
      <c r="M74">
        <f t="shared" si="19"/>
        <v>5.618431769366218</v>
      </c>
      <c r="N74">
        <f t="shared" si="23"/>
        <v>0.34568721479462017</v>
      </c>
      <c r="O74">
        <f t="shared" si="38"/>
        <v>3.5393313826429078</v>
      </c>
      <c r="P74">
        <f t="shared" si="20"/>
        <v>3.8276441696429053</v>
      </c>
      <c r="Q74">
        <f t="shared" si="40"/>
        <v>3.3554482755350468</v>
      </c>
      <c r="R74">
        <f t="shared" si="21"/>
        <v>4.5771750136135614</v>
      </c>
      <c r="S74">
        <f t="shared" si="21"/>
        <v>5.660622590403122</v>
      </c>
      <c r="T74">
        <f t="shared" si="24"/>
        <v>0.38787803583152414</v>
      </c>
      <c r="U74">
        <f t="shared" si="25"/>
        <v>-0.38787803583152414</v>
      </c>
      <c r="V74">
        <f t="shared" si="32"/>
        <v>4.433410496625946</v>
      </c>
      <c r="W74">
        <f t="shared" si="26"/>
        <v>0.83933405794565186</v>
      </c>
      <c r="X74">
        <f t="shared" si="33"/>
        <v>3.7991596045455176</v>
      </c>
      <c r="Y74">
        <f t="shared" si="27"/>
        <v>1.4735849500260803</v>
      </c>
      <c r="Z74">
        <f t="shared" si="34"/>
        <v>3.394984897970994</v>
      </c>
      <c r="AA74">
        <f t="shared" si="28"/>
        <v>1.8777596566006038</v>
      </c>
      <c r="AB74">
        <f t="shared" si="29"/>
        <v>-0.63657544542840228</v>
      </c>
      <c r="AC74">
        <f t="shared" si="30"/>
        <v>4.5531369201859615</v>
      </c>
      <c r="AD74">
        <f t="shared" si="31"/>
        <v>0.71960763438563635</v>
      </c>
    </row>
    <row r="75" spans="1:40">
      <c r="A75">
        <v>73</v>
      </c>
      <c r="B75">
        <v>2.7853821172463498</v>
      </c>
      <c r="C75">
        <f t="shared" si="35"/>
        <v>3.8566201137624265</v>
      </c>
      <c r="D75">
        <f t="shared" si="35"/>
        <v>3.2395634883035402</v>
      </c>
      <c r="E75">
        <f t="shared" si="36"/>
        <v>3.9242091100678373</v>
      </c>
      <c r="F75">
        <f t="shared" si="39"/>
        <v>3.1541256890914635</v>
      </c>
      <c r="G75">
        <f t="shared" si="39"/>
        <v>3.7804474134825781</v>
      </c>
      <c r="H75">
        <f t="shared" si="39"/>
        <v>4.5666883123949669</v>
      </c>
      <c r="I75">
        <f t="shared" si="22"/>
        <v>1.7813061951486171</v>
      </c>
      <c r="J75">
        <f t="shared" si="37"/>
        <v>3.5429028512767751</v>
      </c>
      <c r="K75">
        <f t="shared" ref="K75:M138" si="41">AVERAGE(J71:J74)</f>
        <v>3.5220681608989688</v>
      </c>
      <c r="L75">
        <f t="shared" si="41"/>
        <v>4.3592300962876793</v>
      </c>
      <c r="M75">
        <f t="shared" si="41"/>
        <v>5.2891389250052185</v>
      </c>
      <c r="N75">
        <f t="shared" si="23"/>
        <v>2.5037568077588688</v>
      </c>
      <c r="O75">
        <f t="shared" si="38"/>
        <v>3.3913987044706899</v>
      </c>
      <c r="P75">
        <f t="shared" si="20"/>
        <v>3.6237553274299357</v>
      </c>
      <c r="Q75">
        <f t="shared" si="40"/>
        <v>3.5462458326335828</v>
      </c>
      <c r="R75">
        <f t="shared" si="21"/>
        <v>4.2142160540288822</v>
      </c>
      <c r="S75">
        <f t="shared" si="21"/>
        <v>5.3919842633386432</v>
      </c>
      <c r="T75">
        <f t="shared" si="24"/>
        <v>2.6066021460922935</v>
      </c>
      <c r="U75">
        <f t="shared" si="25"/>
        <v>-2.6066021460922935</v>
      </c>
      <c r="V75">
        <f t="shared" si="32"/>
        <v>4.5173439024205111</v>
      </c>
      <c r="W75">
        <f t="shared" si="26"/>
        <v>-1.7319617851741613</v>
      </c>
      <c r="X75">
        <f t="shared" si="33"/>
        <v>4.0938765945507338</v>
      </c>
      <c r="Y75">
        <f t="shared" si="27"/>
        <v>-1.3084944773043841</v>
      </c>
      <c r="Z75">
        <f t="shared" si="34"/>
        <v>3.9583127949511754</v>
      </c>
      <c r="AA75">
        <f t="shared" si="28"/>
        <v>-1.1729306777048256</v>
      </c>
      <c r="AB75">
        <f t="shared" si="29"/>
        <v>-3.1294978827536504</v>
      </c>
      <c r="AC75">
        <f t="shared" si="30"/>
        <v>4.5320129470456925</v>
      </c>
      <c r="AD75">
        <f t="shared" si="31"/>
        <v>-1.7466308297993427</v>
      </c>
    </row>
    <row r="76" spans="1:40">
      <c r="A76">
        <v>74</v>
      </c>
      <c r="B76">
        <v>5.3864674854350634</v>
      </c>
      <c r="C76">
        <f t="shared" si="35"/>
        <v>4.0290633359089743</v>
      </c>
      <c r="D76">
        <f t="shared" si="35"/>
        <v>3.5532807507891917</v>
      </c>
      <c r="E76">
        <f t="shared" si="36"/>
        <v>3.4995407815904009</v>
      </c>
      <c r="F76">
        <f t="shared" si="39"/>
        <v>3.4061012073809667</v>
      </c>
      <c r="G76">
        <f t="shared" si="39"/>
        <v>3.4464807365124628</v>
      </c>
      <c r="H76">
        <f t="shared" si="39"/>
        <v>4.1699966894460738</v>
      </c>
      <c r="I76">
        <f t="shared" si="22"/>
        <v>-1.2164707959889896</v>
      </c>
      <c r="J76">
        <f t="shared" si="37"/>
        <v>3.6395023618624656</v>
      </c>
      <c r="K76">
        <f t="shared" si="41"/>
        <v>3.3620353381003159</v>
      </c>
      <c r="L76">
        <f t="shared" si="41"/>
        <v>4.0206278068733941</v>
      </c>
      <c r="M76">
        <f t="shared" si="41"/>
        <v>4.9287595761902061</v>
      </c>
      <c r="N76">
        <f t="shared" si="23"/>
        <v>-0.45770790924485727</v>
      </c>
      <c r="O76">
        <f t="shared" si="38"/>
        <v>3.9888953865769849</v>
      </c>
      <c r="P76">
        <f t="shared" si="20"/>
        <v>3.4992678200737624</v>
      </c>
      <c r="Q76">
        <f t="shared" si="40"/>
        <v>3.4136731717434814</v>
      </c>
      <c r="R76">
        <f t="shared" si="21"/>
        <v>3.9716345115256524</v>
      </c>
      <c r="S76">
        <f t="shared" si="21"/>
        <v>5.0765046959705034</v>
      </c>
      <c r="T76">
        <f t="shared" si="24"/>
        <v>-0.30996278946456002</v>
      </c>
      <c r="U76">
        <f t="shared" si="25"/>
        <v>0.30996278946456002</v>
      </c>
      <c r="V76">
        <f t="shared" si="32"/>
        <v>4.3441477239030952</v>
      </c>
      <c r="W76">
        <f t="shared" si="26"/>
        <v>1.0423197615319681</v>
      </c>
      <c r="X76">
        <f t="shared" si="33"/>
        <v>3.8321776990898568</v>
      </c>
      <c r="Y76">
        <f t="shared" si="27"/>
        <v>1.5542897863452065</v>
      </c>
      <c r="Z76">
        <f t="shared" si="34"/>
        <v>3.6064335916397279</v>
      </c>
      <c r="AA76">
        <f t="shared" si="28"/>
        <v>1.7800338937953355</v>
      </c>
      <c r="AB76">
        <f t="shared" si="29"/>
        <v>-0.53397251456493677</v>
      </c>
      <c r="AC76">
        <f t="shared" si="30"/>
        <v>4.5116755493232272</v>
      </c>
      <c r="AD76">
        <f t="shared" si="31"/>
        <v>0.87479193611183614</v>
      </c>
    </row>
    <row r="77" spans="1:40">
      <c r="A77">
        <v>75</v>
      </c>
      <c r="B77">
        <v>2.8894062767274127</v>
      </c>
      <c r="C77">
        <f t="shared" si="35"/>
        <v>4.0859248013407061</v>
      </c>
      <c r="D77">
        <f t="shared" si="35"/>
        <v>3.9428417248357004</v>
      </c>
      <c r="E77">
        <f t="shared" si="36"/>
        <v>4.481531385751004</v>
      </c>
      <c r="F77">
        <f t="shared" si="39"/>
        <v>3.4633462806122459</v>
      </c>
      <c r="G77">
        <f t="shared" si="39"/>
        <v>3.3245973786005307</v>
      </c>
      <c r="H77">
        <f t="shared" si="39"/>
        <v>3.7991674371758788</v>
      </c>
      <c r="I77">
        <f t="shared" si="22"/>
        <v>0.90976116044846611</v>
      </c>
      <c r="J77">
        <f t="shared" si="37"/>
        <v>3.9712724575515663</v>
      </c>
      <c r="K77">
        <f t="shared" si="41"/>
        <v>3.4198604987172843</v>
      </c>
      <c r="L77">
        <f t="shared" si="41"/>
        <v>3.6990798270225871</v>
      </c>
      <c r="M77">
        <f t="shared" si="41"/>
        <v>4.5715151479689329</v>
      </c>
      <c r="N77">
        <f t="shared" si="23"/>
        <v>1.6821088712415202</v>
      </c>
      <c r="O77">
        <f t="shared" si="38"/>
        <v>3.7548992213867356</v>
      </c>
      <c r="P77">
        <f t="shared" ref="P77:P140" si="42">AVERAGE(O72:O76)</f>
        <v>3.5318020715975935</v>
      </c>
      <c r="Q77">
        <f t="shared" si="40"/>
        <v>3.7239101679647519</v>
      </c>
      <c r="R77">
        <f t="shared" si="21"/>
        <v>3.7186055606874464</v>
      </c>
      <c r="S77">
        <f t="shared" si="21"/>
        <v>4.7606064414178055</v>
      </c>
      <c r="T77">
        <f t="shared" si="24"/>
        <v>1.8712001646903929</v>
      </c>
      <c r="U77">
        <f t="shared" si="25"/>
        <v>-1.8712001646903929</v>
      </c>
      <c r="V77">
        <f t="shared" si="32"/>
        <v>4.4483797000562921</v>
      </c>
      <c r="W77">
        <f t="shared" si="26"/>
        <v>-1.5589734233288794</v>
      </c>
      <c r="X77">
        <f t="shared" si="33"/>
        <v>4.1430356563588981</v>
      </c>
      <c r="Y77">
        <f t="shared" si="27"/>
        <v>-1.2536293796314855</v>
      </c>
      <c r="Z77">
        <f t="shared" si="34"/>
        <v>4.1404437597783286</v>
      </c>
      <c r="AA77">
        <f t="shared" si="28"/>
        <v>-1.2510374830509159</v>
      </c>
      <c r="AB77">
        <f t="shared" si="29"/>
        <v>-3.0365937232725875</v>
      </c>
      <c r="AC77">
        <f t="shared" si="30"/>
        <v>4.4921305844934514</v>
      </c>
      <c r="AD77">
        <f t="shared" si="31"/>
        <v>-1.6027243077660387</v>
      </c>
    </row>
    <row r="78" spans="1:40">
      <c r="A78">
        <v>76</v>
      </c>
      <c r="B78">
        <v>4.8153764451143752</v>
      </c>
      <c r="C78">
        <f t="shared" si="35"/>
        <v>4.137936881081238</v>
      </c>
      <c r="D78">
        <f t="shared" si="35"/>
        <v>4.0574940686248402</v>
      </c>
      <c r="E78">
        <f t="shared" si="36"/>
        <v>3.6870852931362754</v>
      </c>
      <c r="F78">
        <f t="shared" si="39"/>
        <v>3.9684270924697471</v>
      </c>
      <c r="G78">
        <f t="shared" si="39"/>
        <v>3.3411910590282257</v>
      </c>
      <c r="H78">
        <f t="shared" si="39"/>
        <v>3.5171751761985242</v>
      </c>
      <c r="I78">
        <f t="shared" si="22"/>
        <v>-1.2982012689158511</v>
      </c>
      <c r="J78">
        <f t="shared" si="37"/>
        <v>4.0835001084951061</v>
      </c>
      <c r="K78">
        <f t="shared" si="41"/>
        <v>3.5649139400878855</v>
      </c>
      <c r="L78">
        <f t="shared" si="41"/>
        <v>3.520886529333688</v>
      </c>
      <c r="M78">
        <f t="shared" si="41"/>
        <v>4.2086436803660074</v>
      </c>
      <c r="N78">
        <f t="shared" si="23"/>
        <v>-0.60673276474836779</v>
      </c>
      <c r="O78">
        <f t="shared" si="38"/>
        <v>4.2298753758189598</v>
      </c>
      <c r="P78">
        <f t="shared" si="42"/>
        <v>3.5750941566646595</v>
      </c>
      <c r="Q78">
        <f t="shared" si="40"/>
        <v>3.8056472016020564</v>
      </c>
      <c r="R78">
        <f t="shared" si="21"/>
        <v>3.6081760476636213</v>
      </c>
      <c r="S78">
        <f t="shared" si="21"/>
        <v>4.4435006247233106</v>
      </c>
      <c r="T78">
        <f t="shared" si="24"/>
        <v>-0.37187582039106459</v>
      </c>
      <c r="U78">
        <f t="shared" si="25"/>
        <v>0.37187582039106459</v>
      </c>
      <c r="V78">
        <f t="shared" si="32"/>
        <v>4.2924823577234044</v>
      </c>
      <c r="W78">
        <f t="shared" si="26"/>
        <v>0.52289408739097087</v>
      </c>
      <c r="X78">
        <f t="shared" si="33"/>
        <v>3.8923097804326012</v>
      </c>
      <c r="Y78">
        <f t="shared" si="27"/>
        <v>0.92306666468177401</v>
      </c>
      <c r="Z78">
        <f t="shared" si="34"/>
        <v>3.7651325148630539</v>
      </c>
      <c r="AA78">
        <f t="shared" si="28"/>
        <v>1.0502439302513213</v>
      </c>
      <c r="AB78">
        <f t="shared" si="29"/>
        <v>-1.1161835548856249</v>
      </c>
      <c r="AC78">
        <f t="shared" si="30"/>
        <v>4.4733836899160995</v>
      </c>
      <c r="AD78">
        <f t="shared" si="31"/>
        <v>0.34199275519827577</v>
      </c>
    </row>
    <row r="79" spans="1:40">
      <c r="A79">
        <v>77</v>
      </c>
      <c r="B79">
        <v>5.1429189843773591</v>
      </c>
      <c r="C79">
        <f t="shared" si="35"/>
        <v>3.852391360920894</v>
      </c>
      <c r="D79">
        <f t="shared" si="35"/>
        <v>4.1119308412109721</v>
      </c>
      <c r="E79">
        <f t="shared" si="36"/>
        <v>4.3637500690922835</v>
      </c>
      <c r="F79">
        <f t="shared" si="39"/>
        <v>3.8893858201592266</v>
      </c>
      <c r="G79">
        <f t="shared" si="39"/>
        <v>3.6126248601543201</v>
      </c>
      <c r="H79">
        <f t="shared" si="39"/>
        <v>3.3707563913804068</v>
      </c>
      <c r="I79">
        <f t="shared" si="22"/>
        <v>-1.7721625929969522</v>
      </c>
      <c r="J79">
        <f t="shared" si="37"/>
        <v>3.9691580811308</v>
      </c>
      <c r="K79">
        <f t="shared" si="41"/>
        <v>3.8092944447964783</v>
      </c>
      <c r="L79">
        <f t="shared" si="41"/>
        <v>3.4672194844511135</v>
      </c>
      <c r="M79">
        <f t="shared" si="41"/>
        <v>3.899956064879337</v>
      </c>
      <c r="N79">
        <f t="shared" si="23"/>
        <v>-1.2429629194980221</v>
      </c>
      <c r="O79">
        <f t="shared" si="38"/>
        <v>4.2039102617801118</v>
      </c>
      <c r="P79">
        <f t="shared" si="42"/>
        <v>3.7808800141792558</v>
      </c>
      <c r="Q79">
        <f t="shared" si="40"/>
        <v>3.9316454253413422</v>
      </c>
      <c r="R79">
        <f t="shared" ref="R79:S142" si="43">AVERAGE(Q73:Q78)</f>
        <v>3.6183348790094811</v>
      </c>
      <c r="S79">
        <f t="shared" si="43"/>
        <v>4.1628468486945218</v>
      </c>
      <c r="T79">
        <f t="shared" si="24"/>
        <v>-0.98007213568283724</v>
      </c>
      <c r="U79">
        <f t="shared" si="25"/>
        <v>0.98007213568283724</v>
      </c>
      <c r="V79">
        <f t="shared" si="32"/>
        <v>4.3447717664625012</v>
      </c>
      <c r="W79">
        <f t="shared" si="26"/>
        <v>0.79814721791485788</v>
      </c>
      <c r="X79">
        <f t="shared" si="33"/>
        <v>4.0769231133689559</v>
      </c>
      <c r="Y79">
        <f t="shared" si="27"/>
        <v>1.0659958710084032</v>
      </c>
      <c r="Z79">
        <f t="shared" si="34"/>
        <v>4.0802056939384501</v>
      </c>
      <c r="AA79">
        <f t="shared" si="28"/>
        <v>1.0627132904389089</v>
      </c>
      <c r="AB79">
        <f t="shared" si="29"/>
        <v>-0.79420101562264112</v>
      </c>
      <c r="AC79">
        <f t="shared" si="30"/>
        <v>4.4554402812698584</v>
      </c>
      <c r="AD79">
        <f t="shared" si="31"/>
        <v>0.6874787031075007</v>
      </c>
    </row>
    <row r="80" spans="1:40">
      <c r="A80">
        <v>78</v>
      </c>
      <c r="B80">
        <v>4.3046195676646217</v>
      </c>
      <c r="C80">
        <f t="shared" si="35"/>
        <v>4.9791477147458671</v>
      </c>
      <c r="D80">
        <f t="shared" si="35"/>
        <v>3.995164121001066</v>
      </c>
      <c r="E80">
        <f t="shared" si="36"/>
        <v>4.2825672354063826</v>
      </c>
      <c r="F80">
        <f t="shared" si="39"/>
        <v>4.1774555826598538</v>
      </c>
      <c r="G80">
        <f t="shared" si="39"/>
        <v>3.7737197310804067</v>
      </c>
      <c r="H80">
        <f t="shared" si="39"/>
        <v>3.4261377659276921</v>
      </c>
      <c r="I80">
        <f t="shared" si="22"/>
        <v>-0.87848180173692958</v>
      </c>
      <c r="J80">
        <f t="shared" si="37"/>
        <v>4.5585422979135526</v>
      </c>
      <c r="K80">
        <f t="shared" si="41"/>
        <v>3.9158582522599845</v>
      </c>
      <c r="L80">
        <f t="shared" si="41"/>
        <v>3.5390260554254911</v>
      </c>
      <c r="M80">
        <f t="shared" si="41"/>
        <v>3.6769534119201959</v>
      </c>
      <c r="N80">
        <f t="shared" si="23"/>
        <v>-0.62766615574442586</v>
      </c>
      <c r="O80">
        <f t="shared" si="38"/>
        <v>4.5077577518637666</v>
      </c>
      <c r="P80">
        <f t="shared" si="42"/>
        <v>3.9137957900066964</v>
      </c>
      <c r="Q80">
        <f t="shared" si="40"/>
        <v>4.3820493105786928</v>
      </c>
      <c r="R80">
        <f t="shared" si="43"/>
        <v>3.6294283458033774</v>
      </c>
      <c r="S80">
        <f t="shared" si="43"/>
        <v>3.9513570110881076</v>
      </c>
      <c r="T80">
        <f t="shared" si="24"/>
        <v>-0.35326255657651418</v>
      </c>
      <c r="U80">
        <f t="shared" si="25"/>
        <v>0.35326255657651418</v>
      </c>
      <c r="V80">
        <f t="shared" si="32"/>
        <v>4.4245864882539871</v>
      </c>
      <c r="W80">
        <f t="shared" si="26"/>
        <v>-0.11996692058936542</v>
      </c>
      <c r="X80">
        <f t="shared" si="33"/>
        <v>4.2901222875706368</v>
      </c>
      <c r="Y80">
        <f t="shared" si="27"/>
        <v>1.4497280093984877E-2</v>
      </c>
      <c r="Z80">
        <f t="shared" si="34"/>
        <v>4.399019681070123</v>
      </c>
      <c r="AA80">
        <f t="shared" si="28"/>
        <v>-9.4400113405501251E-2</v>
      </c>
      <c r="AB80">
        <f t="shared" si="29"/>
        <v>-1.6380604323353785</v>
      </c>
      <c r="AC80">
        <f t="shared" si="30"/>
        <v>4.4383055510480398</v>
      </c>
      <c r="AD80">
        <f t="shared" si="31"/>
        <v>-0.13368598338341808</v>
      </c>
      <c r="AK80" s="22" t="s">
        <v>149</v>
      </c>
    </row>
    <row r="81" spans="1:51">
      <c r="A81">
        <v>79</v>
      </c>
      <c r="B81">
        <v>3.2612667501182102</v>
      </c>
      <c r="C81">
        <f t="shared" si="35"/>
        <v>4.7237692760209899</v>
      </c>
      <c r="D81">
        <f t="shared" si="35"/>
        <v>4.4157695378333806</v>
      </c>
      <c r="E81">
        <f t="shared" si="36"/>
        <v>4.7543049990521187</v>
      </c>
      <c r="F81">
        <f t="shared" si="39"/>
        <v>4.111134199211647</v>
      </c>
      <c r="G81">
        <f t="shared" si="39"/>
        <v>4.0117561650962763</v>
      </c>
      <c r="H81">
        <f t="shared" si="39"/>
        <v>3.5758452167543173</v>
      </c>
      <c r="I81">
        <f t="shared" si="22"/>
        <v>0.31457846663610711</v>
      </c>
      <c r="J81">
        <f t="shared" si="37"/>
        <v>4.2880803184709428</v>
      </c>
      <c r="K81">
        <f t="shared" si="41"/>
        <v>4.1456182362727567</v>
      </c>
      <c r="L81">
        <f t="shared" si="41"/>
        <v>3.6774817839654084</v>
      </c>
      <c r="M81">
        <f t="shared" si="41"/>
        <v>3.5565529740582202</v>
      </c>
      <c r="N81">
        <f t="shared" si="23"/>
        <v>0.29528622394001003</v>
      </c>
      <c r="O81">
        <f t="shared" si="38"/>
        <v>4.0827176048003961</v>
      </c>
      <c r="P81">
        <f t="shared" si="42"/>
        <v>4.1370675994853121</v>
      </c>
      <c r="Q81">
        <f t="shared" si="40"/>
        <v>4.2206951460941973</v>
      </c>
      <c r="R81">
        <f t="shared" si="43"/>
        <v>3.8005285183106516</v>
      </c>
      <c r="S81">
        <f t="shared" si="43"/>
        <v>3.793399233119743</v>
      </c>
      <c r="T81">
        <f t="shared" si="24"/>
        <v>0.53213248300153282</v>
      </c>
      <c r="U81">
        <f t="shared" si="25"/>
        <v>-0.53213248300153282</v>
      </c>
      <c r="V81">
        <f t="shared" si="32"/>
        <v>4.4125897961950509</v>
      </c>
      <c r="W81">
        <f t="shared" si="26"/>
        <v>-1.1513230460768407</v>
      </c>
      <c r="X81">
        <f t="shared" si="33"/>
        <v>4.293021743589434</v>
      </c>
      <c r="Y81">
        <f t="shared" si="27"/>
        <v>-1.0317549934712238</v>
      </c>
      <c r="Z81">
        <f t="shared" si="34"/>
        <v>4.3706996470484727</v>
      </c>
      <c r="AA81">
        <f t="shared" si="28"/>
        <v>-1.1094328969302625</v>
      </c>
      <c r="AB81">
        <f t="shared" si="29"/>
        <v>-2.68697324988179</v>
      </c>
      <c r="AC81">
        <f t="shared" si="30"/>
        <v>4.4219844671162631</v>
      </c>
      <c r="AD81">
        <f t="shared" si="31"/>
        <v>-1.1607177169980529</v>
      </c>
    </row>
    <row r="82" spans="1:51">
      <c r="A82">
        <v>80</v>
      </c>
      <c r="B82">
        <v>5.524951950466134</v>
      </c>
      <c r="C82">
        <f t="shared" si="35"/>
        <v>3.782943158891416</v>
      </c>
      <c r="D82">
        <f t="shared" si="35"/>
        <v>4.8514584953834285</v>
      </c>
      <c r="E82">
        <f t="shared" si="36"/>
        <v>4.2362684340533967</v>
      </c>
      <c r="F82">
        <f t="shared" si="39"/>
        <v>4.4668741011835946</v>
      </c>
      <c r="G82">
        <f t="shared" si="39"/>
        <v>4.0593252006769092</v>
      </c>
      <c r="H82">
        <f t="shared" si="39"/>
        <v>3.7993669187770007</v>
      </c>
      <c r="I82">
        <f t="shared" si="22"/>
        <v>-1.7255850316891332</v>
      </c>
      <c r="J82">
        <f t="shared" si="37"/>
        <v>4.381045436818642</v>
      </c>
      <c r="K82">
        <f t="shared" si="41"/>
        <v>4.2248202015026006</v>
      </c>
      <c r="L82">
        <f t="shared" si="41"/>
        <v>3.8589212183542765</v>
      </c>
      <c r="M82">
        <f t="shared" si="41"/>
        <v>3.5511534632939252</v>
      </c>
      <c r="N82">
        <f t="shared" si="23"/>
        <v>-1.9737984871722087</v>
      </c>
      <c r="O82">
        <f t="shared" si="38"/>
        <v>4.60982673954814</v>
      </c>
      <c r="P82">
        <f t="shared" si="42"/>
        <v>4.155832043129994</v>
      </c>
      <c r="Q82">
        <f t="shared" si="40"/>
        <v>4.300009251572841</v>
      </c>
      <c r="R82">
        <f t="shared" si="43"/>
        <v>3.9129367372207535</v>
      </c>
      <c r="S82">
        <f t="shared" si="43"/>
        <v>3.7244513105000383</v>
      </c>
      <c r="T82">
        <f t="shared" si="24"/>
        <v>-1.8005006399660957</v>
      </c>
      <c r="U82">
        <f t="shared" si="25"/>
        <v>1.8005006399660957</v>
      </c>
      <c r="V82">
        <f t="shared" si="32"/>
        <v>4.2974574915873669</v>
      </c>
      <c r="W82">
        <f t="shared" si="26"/>
        <v>1.2274944588787671</v>
      </c>
      <c r="X82">
        <f t="shared" si="33"/>
        <v>4.0866707448951889</v>
      </c>
      <c r="Y82">
        <f t="shared" si="27"/>
        <v>1.4382812055709451</v>
      </c>
      <c r="Z82">
        <f t="shared" si="34"/>
        <v>4.0378697779693944</v>
      </c>
      <c r="AA82">
        <f t="shared" si="28"/>
        <v>1.4870821724967396</v>
      </c>
      <c r="AB82">
        <f t="shared" si="29"/>
        <v>-0.42884804953386624</v>
      </c>
      <c r="AC82">
        <f t="shared" si="30"/>
        <v>4.4064817713325226</v>
      </c>
      <c r="AD82">
        <f t="shared" si="31"/>
        <v>1.1184701791336114</v>
      </c>
    </row>
    <row r="83" spans="1:51">
      <c r="A83">
        <v>81</v>
      </c>
      <c r="B83">
        <v>3.0798697640008585</v>
      </c>
      <c r="C83">
        <f t="shared" si="35"/>
        <v>4.3931093502921721</v>
      </c>
      <c r="D83">
        <f t="shared" si="35"/>
        <v>4.2533562174562025</v>
      </c>
      <c r="E83">
        <f t="shared" si="36"/>
        <v>4.3636127560829889</v>
      </c>
      <c r="F83">
        <f t="shared" si="39"/>
        <v>4.424380222837299</v>
      </c>
      <c r="G83">
        <f t="shared" si="39"/>
        <v>4.2518212943516991</v>
      </c>
      <c r="H83">
        <f t="shared" si="39"/>
        <v>3.9482670322845306</v>
      </c>
      <c r="I83">
        <f t="shared" si="22"/>
        <v>0.86839726828367203</v>
      </c>
      <c r="J83">
        <f t="shared" si="37"/>
        <v>4.5584393131565815</v>
      </c>
      <c r="K83">
        <f t="shared" si="41"/>
        <v>4.2992065335834848</v>
      </c>
      <c r="L83">
        <f t="shared" si="41"/>
        <v>4.0238977837079553</v>
      </c>
      <c r="M83">
        <f t="shared" si="41"/>
        <v>3.6356621355490724</v>
      </c>
      <c r="N83">
        <f t="shared" si="23"/>
        <v>0.55579237154821381</v>
      </c>
      <c r="O83">
        <f t="shared" si="38"/>
        <v>4.2627254033254367</v>
      </c>
      <c r="P83">
        <f t="shared" si="42"/>
        <v>4.3268175467622756</v>
      </c>
      <c r="Q83">
        <f t="shared" si="40"/>
        <v>4.3230899957446853</v>
      </c>
      <c r="R83">
        <f t="shared" si="43"/>
        <v>4.0606594171923138</v>
      </c>
      <c r="S83">
        <f t="shared" si="43"/>
        <v>3.7146683481158891</v>
      </c>
      <c r="T83">
        <f t="shared" si="24"/>
        <v>0.63479858411503054</v>
      </c>
      <c r="U83">
        <f t="shared" si="25"/>
        <v>-0.63479858411503054</v>
      </c>
      <c r="V83">
        <f t="shared" si="32"/>
        <v>4.4202069374752435</v>
      </c>
      <c r="W83">
        <f t="shared" si="26"/>
        <v>-1.340337173474385</v>
      </c>
      <c r="X83">
        <f t="shared" si="33"/>
        <v>4.3743269860093781</v>
      </c>
      <c r="Y83">
        <f t="shared" si="27"/>
        <v>-1.2944572220085195</v>
      </c>
      <c r="Z83">
        <f t="shared" si="34"/>
        <v>4.4839944297184164</v>
      </c>
      <c r="AA83">
        <f t="shared" si="28"/>
        <v>-1.4041246657175579</v>
      </c>
      <c r="AB83">
        <f t="shared" si="29"/>
        <v>-2.8794902359991417</v>
      </c>
      <c r="AC83">
        <f t="shared" si="30"/>
        <v>4.3918019782300286</v>
      </c>
      <c r="AD83">
        <f t="shared" si="31"/>
        <v>-1.3119322142291701</v>
      </c>
    </row>
    <row r="84" spans="1:51">
      <c r="A84">
        <v>82</v>
      </c>
      <c r="B84">
        <v>4.8775234910502139</v>
      </c>
      <c r="C84">
        <f t="shared" si="35"/>
        <v>4.3024108572334967</v>
      </c>
      <c r="D84">
        <f t="shared" si="35"/>
        <v>4.088026254591794</v>
      </c>
      <c r="E84">
        <f t="shared" si="36"/>
        <v>3.9553628215284014</v>
      </c>
      <c r="F84">
        <f t="shared" si="39"/>
        <v>4.4513953963961681</v>
      </c>
      <c r="G84">
        <f t="shared" si="39"/>
        <v>4.3341295077441799</v>
      </c>
      <c r="H84">
        <f t="shared" si="39"/>
        <v>4.1076342200416285</v>
      </c>
      <c r="I84">
        <f t="shared" si="22"/>
        <v>-0.7698892710085854</v>
      </c>
      <c r="J84">
        <f t="shared" si="37"/>
        <v>4.0426770080624559</v>
      </c>
      <c r="K84">
        <f t="shared" si="41"/>
        <v>4.4465268415899297</v>
      </c>
      <c r="L84">
        <f t="shared" si="41"/>
        <v>4.1463758059047064</v>
      </c>
      <c r="M84">
        <f t="shared" si="41"/>
        <v>3.7748317103632827</v>
      </c>
      <c r="N84">
        <f t="shared" si="23"/>
        <v>-1.1026917806869312</v>
      </c>
      <c r="O84">
        <f t="shared" si="38"/>
        <v>4.2096463046600077</v>
      </c>
      <c r="P84">
        <f t="shared" si="42"/>
        <v>4.3333875522635701</v>
      </c>
      <c r="Q84">
        <f t="shared" si="40"/>
        <v>4.3548339102902593</v>
      </c>
      <c r="R84">
        <f t="shared" si="43"/>
        <v>4.1605227218223026</v>
      </c>
      <c r="S84">
        <f t="shared" si="43"/>
        <v>3.771677324200033</v>
      </c>
      <c r="T84">
        <f t="shared" si="24"/>
        <v>-1.1058461668501809</v>
      </c>
      <c r="U84">
        <f t="shared" si="25"/>
        <v>1.1058461668501809</v>
      </c>
      <c r="V84">
        <f t="shared" si="32"/>
        <v>4.2861732201278047</v>
      </c>
      <c r="W84">
        <f t="shared" si="26"/>
        <v>0.59135027092240922</v>
      </c>
      <c r="X84">
        <f t="shared" si="33"/>
        <v>4.115435541607674</v>
      </c>
      <c r="Y84">
        <f t="shared" si="27"/>
        <v>0.76208794944253988</v>
      </c>
      <c r="Z84">
        <f t="shared" si="34"/>
        <v>4.0627570300031488</v>
      </c>
      <c r="AA84">
        <f t="shared" si="28"/>
        <v>0.81476646104706507</v>
      </c>
      <c r="AB84">
        <f t="shared" si="29"/>
        <v>-1.0873965089497863</v>
      </c>
      <c r="AC84">
        <f t="shared" si="30"/>
        <v>4.3779493737632098</v>
      </c>
      <c r="AD84">
        <f t="shared" si="31"/>
        <v>0.49957411728700407</v>
      </c>
    </row>
    <row r="85" spans="1:51">
      <c r="A85">
        <v>83</v>
      </c>
      <c r="B85">
        <v>5.5931546839444275</v>
      </c>
      <c r="C85">
        <f t="shared" si="35"/>
        <v>3.9786966275255362</v>
      </c>
      <c r="D85">
        <f t="shared" si="35"/>
        <v>4.3477601037628339</v>
      </c>
      <c r="E85">
        <f t="shared" si="36"/>
        <v>4.4941150685057361</v>
      </c>
      <c r="F85">
        <f t="shared" si="39"/>
        <v>4.1850813372215958</v>
      </c>
      <c r="G85">
        <f t="shared" si="39"/>
        <v>4.447549906805687</v>
      </c>
      <c r="H85">
        <f t="shared" si="39"/>
        <v>4.2150920009242627</v>
      </c>
      <c r="I85">
        <f t="shared" si="22"/>
        <v>-1.3780626830201648</v>
      </c>
      <c r="J85">
        <f t="shared" si="37"/>
        <v>4.1859029889088539</v>
      </c>
      <c r="K85">
        <f t="shared" si="41"/>
        <v>4.3175605191271558</v>
      </c>
      <c r="L85">
        <f t="shared" si="41"/>
        <v>4.2790429532371927</v>
      </c>
      <c r="M85">
        <f t="shared" si="41"/>
        <v>3.9266691479830866</v>
      </c>
      <c r="N85">
        <f t="shared" si="23"/>
        <v>-1.6664855359613409</v>
      </c>
      <c r="O85">
        <f t="shared" si="38"/>
        <v>4.4673533279159683</v>
      </c>
      <c r="P85">
        <f t="shared" si="42"/>
        <v>4.3345347608395493</v>
      </c>
      <c r="Q85">
        <f t="shared" si="40"/>
        <v>4.3651917512795668</v>
      </c>
      <c r="R85">
        <f t="shared" si="43"/>
        <v>4.2520538399370027</v>
      </c>
      <c r="S85">
        <f t="shared" si="43"/>
        <v>3.8637351032264804</v>
      </c>
      <c r="T85">
        <f t="shared" si="24"/>
        <v>-1.7294195807179471</v>
      </c>
      <c r="U85">
        <f t="shared" si="25"/>
        <v>1.7294195807179471</v>
      </c>
      <c r="V85">
        <f t="shared" si="32"/>
        <v>4.3453082472200455</v>
      </c>
      <c r="W85">
        <f t="shared" si="26"/>
        <v>1.247846436724382</v>
      </c>
      <c r="X85">
        <f t="shared" si="33"/>
        <v>4.2678531314961816</v>
      </c>
      <c r="Y85">
        <f t="shared" si="27"/>
        <v>1.3253015524482459</v>
      </c>
      <c r="Z85">
        <f t="shared" si="34"/>
        <v>4.3071869683172679</v>
      </c>
      <c r="AA85">
        <f t="shared" si="28"/>
        <v>1.2859677156271596</v>
      </c>
      <c r="AB85">
        <f t="shared" si="29"/>
        <v>-0.37732531605557273</v>
      </c>
      <c r="AC85">
        <f t="shared" si="30"/>
        <v>4.3649280141171891</v>
      </c>
      <c r="AD85">
        <f t="shared" si="31"/>
        <v>1.2282266698272384</v>
      </c>
    </row>
    <row r="86" spans="1:51">
      <c r="A86">
        <v>84</v>
      </c>
      <c r="B86">
        <v>3.6223702462654077</v>
      </c>
      <c r="C86">
        <f t="shared" si="35"/>
        <v>5.2353390874973211</v>
      </c>
      <c r="D86">
        <f t="shared" si="35"/>
        <v>4.1405537423795167</v>
      </c>
      <c r="E86">
        <f t="shared" si="36"/>
        <v>4.5168493129984997</v>
      </c>
      <c r="F86">
        <f t="shared" si="39"/>
        <v>4.2710302153723747</v>
      </c>
      <c r="G86">
        <f t="shared" si="39"/>
        <v>4.3536189854850207</v>
      </c>
      <c r="H86">
        <f t="shared" si="39"/>
        <v>4.3445002363005223</v>
      </c>
      <c r="I86">
        <f t="shared" si="22"/>
        <v>0.72212999003511458</v>
      </c>
      <c r="J86">
        <f t="shared" si="37"/>
        <v>4.7688749723654089</v>
      </c>
      <c r="K86">
        <f t="shared" si="41"/>
        <v>4.2920161867366335</v>
      </c>
      <c r="L86">
        <f t="shared" si="41"/>
        <v>4.3220285239507925</v>
      </c>
      <c r="M86">
        <f t="shared" si="41"/>
        <v>4.0770594403010332</v>
      </c>
      <c r="N86">
        <f t="shared" si="23"/>
        <v>0.45468919403562547</v>
      </c>
      <c r="O86">
        <f t="shared" si="38"/>
        <v>4.5395740271454086</v>
      </c>
      <c r="P86">
        <f t="shared" si="42"/>
        <v>4.3264538760499907</v>
      </c>
      <c r="Q86">
        <f t="shared" si="40"/>
        <v>4.4402310345407443</v>
      </c>
      <c r="R86">
        <f t="shared" si="43"/>
        <v>4.3243115609267075</v>
      </c>
      <c r="S86">
        <f t="shared" si="43"/>
        <v>3.9693549300477335</v>
      </c>
      <c r="T86">
        <f t="shared" si="24"/>
        <v>0.34698468378232583</v>
      </c>
      <c r="U86">
        <f t="shared" si="25"/>
        <v>-0.34698468378232583</v>
      </c>
      <c r="V86">
        <f t="shared" si="32"/>
        <v>4.4700928908924835</v>
      </c>
      <c r="W86">
        <f t="shared" si="26"/>
        <v>-0.84772264462707581</v>
      </c>
      <c r="X86">
        <f t="shared" si="33"/>
        <v>4.5329134419858308</v>
      </c>
      <c r="Y86">
        <f t="shared" si="27"/>
        <v>-0.91054319572042308</v>
      </c>
      <c r="Z86">
        <f t="shared" si="34"/>
        <v>4.6929772830054155</v>
      </c>
      <c r="AA86">
        <f t="shared" si="28"/>
        <v>-1.0706070367400078</v>
      </c>
      <c r="AB86">
        <f t="shared" si="29"/>
        <v>-2.3536697537345925</v>
      </c>
      <c r="AC86">
        <f t="shared" si="30"/>
        <v>4.3527417245810947</v>
      </c>
      <c r="AD86">
        <f t="shared" si="31"/>
        <v>-0.73037147831568694</v>
      </c>
    </row>
    <row r="87" spans="1:51">
      <c r="A87">
        <v>85</v>
      </c>
      <c r="B87">
        <v>4.8952037674861897</v>
      </c>
      <c r="C87">
        <f t="shared" si="35"/>
        <v>4.6077624651049174</v>
      </c>
      <c r="D87">
        <f t="shared" si="35"/>
        <v>4.6070178575114289</v>
      </c>
      <c r="E87">
        <f t="shared" si="36"/>
        <v>4.6976828070866832</v>
      </c>
      <c r="F87">
        <f t="shared" si="39"/>
        <v>4.3221090676775455</v>
      </c>
      <c r="G87">
        <f t="shared" si="39"/>
        <v>4.3025023163300462</v>
      </c>
      <c r="H87">
        <f t="shared" si="39"/>
        <v>4.3784328000116295</v>
      </c>
      <c r="I87">
        <f t="shared" si="22"/>
        <v>-0.51677096747456019</v>
      </c>
      <c r="J87">
        <f t="shared" si="37"/>
        <v>4.293229546315227</v>
      </c>
      <c r="K87">
        <f t="shared" si="41"/>
        <v>4.3889735706233255</v>
      </c>
      <c r="L87">
        <f t="shared" si="41"/>
        <v>4.3388275202593007</v>
      </c>
      <c r="M87">
        <f t="shared" si="41"/>
        <v>4.1928362667001622</v>
      </c>
      <c r="N87">
        <f t="shared" si="23"/>
        <v>-0.7023675007860275</v>
      </c>
      <c r="O87">
        <f t="shared" si="38"/>
        <v>4.4136243905494199</v>
      </c>
      <c r="P87">
        <f t="shared" si="42"/>
        <v>4.4178251605189924</v>
      </c>
      <c r="Q87">
        <f t="shared" si="40"/>
        <v>4.326522814307542</v>
      </c>
      <c r="R87">
        <f t="shared" si="43"/>
        <v>4.3340085149203826</v>
      </c>
      <c r="S87">
        <f t="shared" si="43"/>
        <v>4.0851687992349559</v>
      </c>
      <c r="T87">
        <f t="shared" si="24"/>
        <v>-0.81003496825123378</v>
      </c>
      <c r="U87">
        <f t="shared" si="25"/>
        <v>0.81003496825123378</v>
      </c>
      <c r="V87">
        <f t="shared" si="32"/>
        <v>4.3853206264297757</v>
      </c>
      <c r="W87">
        <f t="shared" si="26"/>
        <v>0.50988314105641397</v>
      </c>
      <c r="X87">
        <f t="shared" si="33"/>
        <v>4.3508048028417461</v>
      </c>
      <c r="Y87">
        <f t="shared" si="27"/>
        <v>0.54439896464444359</v>
      </c>
      <c r="Z87">
        <f t="shared" si="34"/>
        <v>4.3717951719834129</v>
      </c>
      <c r="AA87">
        <f t="shared" si="28"/>
        <v>0.52340859550277674</v>
      </c>
      <c r="AB87">
        <f t="shared" si="29"/>
        <v>-1.0863962325138106</v>
      </c>
      <c r="AC87">
        <f t="shared" si="30"/>
        <v>4.3413940984855088</v>
      </c>
      <c r="AD87">
        <f t="shared" si="31"/>
        <v>0.55380966900068085</v>
      </c>
    </row>
    <row r="88" spans="1:51">
      <c r="A88">
        <v>86</v>
      </c>
      <c r="B88">
        <v>5.1017265309521784</v>
      </c>
      <c r="C88">
        <f t="shared" si="35"/>
        <v>4.2587870068757985</v>
      </c>
      <c r="D88">
        <f t="shared" si="35"/>
        <v>4.9215507763011193</v>
      </c>
      <c r="E88">
        <f t="shared" si="36"/>
        <v>4.7035762325653421</v>
      </c>
      <c r="F88">
        <f t="shared" si="39"/>
        <v>4.5695490628636399</v>
      </c>
      <c r="G88">
        <f t="shared" si="39"/>
        <v>4.2594068734238384</v>
      </c>
      <c r="H88">
        <f t="shared" si="39"/>
        <v>4.3678904028735843</v>
      </c>
      <c r="I88">
        <f t="shared" si="22"/>
        <v>-0.73383612807859411</v>
      </c>
      <c r="J88">
        <f t="shared" si="37"/>
        <v>4.7470630471865602</v>
      </c>
      <c r="K88">
        <f t="shared" si="41"/>
        <v>4.3226711289129867</v>
      </c>
      <c r="L88">
        <f t="shared" si="41"/>
        <v>4.3612692795192611</v>
      </c>
      <c r="M88">
        <f t="shared" si="41"/>
        <v>4.2715687008379977</v>
      </c>
      <c r="N88">
        <f t="shared" si="23"/>
        <v>-0.83015783011418076</v>
      </c>
      <c r="O88">
        <f t="shared" si="38"/>
        <v>4.8179957439396839</v>
      </c>
      <c r="P88">
        <f t="shared" si="42"/>
        <v>4.3785846907192489</v>
      </c>
      <c r="Q88">
        <f t="shared" si="40"/>
        <v>4.5988456505355391</v>
      </c>
      <c r="R88">
        <f t="shared" si="43"/>
        <v>4.3516464596226063</v>
      </c>
      <c r="S88">
        <f t="shared" si="43"/>
        <v>4.1740821320032433</v>
      </c>
      <c r="T88">
        <f t="shared" si="24"/>
        <v>-0.92764439894893513</v>
      </c>
      <c r="U88">
        <f t="shared" si="25"/>
        <v>0.92764439894893513</v>
      </c>
      <c r="V88">
        <f t="shared" si="32"/>
        <v>4.436308940535417</v>
      </c>
      <c r="W88">
        <f t="shared" si="26"/>
        <v>0.66541759041676141</v>
      </c>
      <c r="X88">
        <f t="shared" si="33"/>
        <v>4.4596845957706348</v>
      </c>
      <c r="Y88">
        <f t="shared" si="27"/>
        <v>0.64204193518154362</v>
      </c>
      <c r="Z88">
        <f t="shared" si="34"/>
        <v>4.5288177506342464</v>
      </c>
      <c r="AA88">
        <f t="shared" si="28"/>
        <v>0.57290878031793202</v>
      </c>
      <c r="AB88">
        <f t="shared" si="29"/>
        <v>-0.88543346904782183</v>
      </c>
      <c r="AC88">
        <f t="shared" si="30"/>
        <v>4.330888496204337</v>
      </c>
      <c r="AD88">
        <f t="shared" si="31"/>
        <v>0.77083803474784141</v>
      </c>
    </row>
    <row r="89" spans="1:51">
      <c r="A89">
        <v>87</v>
      </c>
      <c r="B89">
        <v>2.9543147447570148</v>
      </c>
      <c r="C89">
        <f t="shared" si="35"/>
        <v>4.9984651492191841</v>
      </c>
      <c r="D89">
        <f t="shared" si="35"/>
        <v>4.4332747359903575</v>
      </c>
      <c r="E89">
        <f t="shared" si="36"/>
        <v>4.5397668482345921</v>
      </c>
      <c r="F89">
        <f t="shared" si="39"/>
        <v>4.6393694508835077</v>
      </c>
      <c r="G89">
        <f t="shared" si="39"/>
        <v>4.3875627819711864</v>
      </c>
      <c r="H89">
        <f t="shared" si="39"/>
        <v>4.3051760584129681</v>
      </c>
      <c r="I89">
        <f t="shared" si="22"/>
        <v>1.3508613136559533</v>
      </c>
      <c r="J89">
        <f t="shared" si="37"/>
        <v>4.8031138071620507</v>
      </c>
      <c r="K89">
        <f t="shared" si="41"/>
        <v>4.4987676386940132</v>
      </c>
      <c r="L89">
        <f t="shared" si="41"/>
        <v>4.3303053513500256</v>
      </c>
      <c r="M89">
        <f t="shared" si="41"/>
        <v>4.3252920692416374</v>
      </c>
      <c r="N89">
        <f t="shared" si="23"/>
        <v>1.3709773244846226</v>
      </c>
      <c r="O89">
        <f t="shared" si="38"/>
        <v>4.4333539946810436</v>
      </c>
      <c r="P89">
        <f t="shared" si="42"/>
        <v>4.489638758842097</v>
      </c>
      <c r="Q89">
        <f t="shared" si="40"/>
        <v>4.5283080806165463</v>
      </c>
      <c r="R89">
        <f t="shared" si="43"/>
        <v>4.4014525261163895</v>
      </c>
      <c r="S89">
        <f t="shared" si="43"/>
        <v>4.2472004190702188</v>
      </c>
      <c r="T89">
        <f t="shared" si="24"/>
        <v>1.292885674313204</v>
      </c>
      <c r="U89">
        <f t="shared" si="25"/>
        <v>-1.292885674313204</v>
      </c>
      <c r="V89">
        <f t="shared" si="32"/>
        <v>4.5028506995770936</v>
      </c>
      <c r="W89">
        <f t="shared" si="26"/>
        <v>-1.5485359548200788</v>
      </c>
      <c r="X89">
        <f t="shared" si="33"/>
        <v>4.5880929828069439</v>
      </c>
      <c r="Y89">
        <f t="shared" si="27"/>
        <v>-1.6337782380499291</v>
      </c>
      <c r="Z89">
        <f t="shared" si="34"/>
        <v>4.7006903847296257</v>
      </c>
      <c r="AA89">
        <f t="shared" si="28"/>
        <v>-1.7463756399726109</v>
      </c>
      <c r="AB89">
        <f t="shared" si="29"/>
        <v>-3.0384052552429854</v>
      </c>
      <c r="AC89">
        <f t="shared" si="30"/>
        <v>4.3212280442213942</v>
      </c>
      <c r="AD89">
        <f t="shared" si="31"/>
        <v>-1.3669132994643793</v>
      </c>
    </row>
    <row r="90" spans="1:51">
      <c r="A90">
        <v>88</v>
      </c>
      <c r="B90">
        <v>3.0476504111029818</v>
      </c>
      <c r="C90">
        <f t="shared" si="35"/>
        <v>4.0280206378545964</v>
      </c>
      <c r="D90">
        <f t="shared" si="35"/>
        <v>4.6286260780474908</v>
      </c>
      <c r="E90">
        <f t="shared" si="36"/>
        <v>4.3170816810651278</v>
      </c>
      <c r="F90">
        <f t="shared" si="39"/>
        <v>4.6470086292955388</v>
      </c>
      <c r="G90">
        <f t="shared" si="39"/>
        <v>4.5103425271415638</v>
      </c>
      <c r="H90">
        <f t="shared" si="39"/>
        <v>4.3164906572416903</v>
      </c>
      <c r="I90">
        <f t="shared" si="22"/>
        <v>1.2688402461387085</v>
      </c>
      <c r="J90">
        <f t="shared" si="37"/>
        <v>4.1434038223651974</v>
      </c>
      <c r="K90">
        <f t="shared" si="41"/>
        <v>4.6530703432573119</v>
      </c>
      <c r="L90">
        <f t="shared" si="41"/>
        <v>4.3756071312417397</v>
      </c>
      <c r="M90">
        <f t="shared" si="41"/>
        <v>4.3381076687698448</v>
      </c>
      <c r="N90">
        <f t="shared" si="23"/>
        <v>1.2904572576668629</v>
      </c>
      <c r="O90">
        <f t="shared" si="38"/>
        <v>3.9242531401127545</v>
      </c>
      <c r="P90">
        <f t="shared" si="42"/>
        <v>4.5343802968463054</v>
      </c>
      <c r="Q90">
        <f t="shared" si="40"/>
        <v>4.507382244075905</v>
      </c>
      <c r="R90">
        <f t="shared" si="43"/>
        <v>4.4356555402616999</v>
      </c>
      <c r="S90">
        <f t="shared" si="43"/>
        <v>4.3039992705575658</v>
      </c>
      <c r="T90">
        <f t="shared" si="24"/>
        <v>1.256348859454584</v>
      </c>
      <c r="U90">
        <f t="shared" si="25"/>
        <v>-1.256348859454584</v>
      </c>
      <c r="V90">
        <f t="shared" si="32"/>
        <v>4.3479971040950858</v>
      </c>
      <c r="W90">
        <f t="shared" si="26"/>
        <v>-1.3003466929921039</v>
      </c>
      <c r="X90">
        <f t="shared" si="33"/>
        <v>4.2613373351969583</v>
      </c>
      <c r="Y90">
        <f t="shared" si="27"/>
        <v>-1.2136869240939765</v>
      </c>
      <c r="Z90">
        <f t="shared" si="34"/>
        <v>4.1767776927378426</v>
      </c>
      <c r="AA90">
        <f t="shared" si="28"/>
        <v>-1.1291272816348608</v>
      </c>
      <c r="AB90">
        <f t="shared" si="29"/>
        <v>-2.9506295888970184</v>
      </c>
      <c r="AC90">
        <f t="shared" si="30"/>
        <v>4.3124156342619591</v>
      </c>
      <c r="AD90">
        <f t="shared" si="31"/>
        <v>-1.2647652231589772</v>
      </c>
    </row>
    <row r="91" spans="1:51">
      <c r="A91">
        <v>89</v>
      </c>
      <c r="B91">
        <v>3.2610865290998303</v>
      </c>
      <c r="C91">
        <f t="shared" si="35"/>
        <v>3.0009825779299986</v>
      </c>
      <c r="D91">
        <f t="shared" si="35"/>
        <v>4.5132428935368907</v>
      </c>
      <c r="E91">
        <f t="shared" si="36"/>
        <v>3.7012305622707249</v>
      </c>
      <c r="F91">
        <f t="shared" si="39"/>
        <v>4.5201415872883546</v>
      </c>
      <c r="G91">
        <f t="shared" si="39"/>
        <v>4.6186423810142285</v>
      </c>
      <c r="H91">
        <f t="shared" si="39"/>
        <v>4.3857707275121962</v>
      </c>
      <c r="I91">
        <f t="shared" si="22"/>
        <v>1.1246841984123659</v>
      </c>
      <c r="J91">
        <f t="shared" si="37"/>
        <v>3.9997238635745913</v>
      </c>
      <c r="K91">
        <f t="shared" si="41"/>
        <v>4.4967025557572589</v>
      </c>
      <c r="L91">
        <f t="shared" si="41"/>
        <v>4.4658706703719089</v>
      </c>
      <c r="M91">
        <f t="shared" si="41"/>
        <v>4.3515023205925818</v>
      </c>
      <c r="N91">
        <f t="shared" si="23"/>
        <v>1.0904157914927515</v>
      </c>
      <c r="O91">
        <f t="shared" si="38"/>
        <v>3.8519963966796391</v>
      </c>
      <c r="P91">
        <f t="shared" si="42"/>
        <v>4.4257602592856617</v>
      </c>
      <c r="Q91">
        <f t="shared" si="40"/>
        <v>4.202403397418033</v>
      </c>
      <c r="R91">
        <f t="shared" si="43"/>
        <v>4.4610802625593076</v>
      </c>
      <c r="S91">
        <f t="shared" si="43"/>
        <v>4.3498547402974648</v>
      </c>
      <c r="T91">
        <f t="shared" si="24"/>
        <v>1.0887682111976345</v>
      </c>
      <c r="U91">
        <f t="shared" si="25"/>
        <v>-1.0887682111976345</v>
      </c>
      <c r="V91">
        <f t="shared" si="32"/>
        <v>4.2179624347958757</v>
      </c>
      <c r="W91">
        <f t="shared" si="26"/>
        <v>-0.95687590569604541</v>
      </c>
      <c r="X91">
        <f t="shared" si="33"/>
        <v>4.0185999503781629</v>
      </c>
      <c r="Y91">
        <f t="shared" si="27"/>
        <v>-0.75751342127833254</v>
      </c>
      <c r="Z91">
        <f t="shared" si="34"/>
        <v>3.8380395082473844</v>
      </c>
      <c r="AA91">
        <f t="shared" si="28"/>
        <v>-0.57695297914755406</v>
      </c>
      <c r="AB91">
        <f t="shared" si="29"/>
        <v>-2.74275347090017</v>
      </c>
      <c r="AC91">
        <f t="shared" si="30"/>
        <v>4.3044539224895342</v>
      </c>
      <c r="AD91">
        <f t="shared" si="31"/>
        <v>-1.0433673933897039</v>
      </c>
    </row>
    <row r="92" spans="1:51">
      <c r="A92">
        <v>90</v>
      </c>
      <c r="B92">
        <v>2.9117861788501962</v>
      </c>
      <c r="C92">
        <f t="shared" si="35"/>
        <v>3.1543684701014061</v>
      </c>
      <c r="D92">
        <f t="shared" si="35"/>
        <v>3.5145016078922975</v>
      </c>
      <c r="E92">
        <f t="shared" si="36"/>
        <v>3.087683894986609</v>
      </c>
      <c r="F92">
        <f t="shared" si="39"/>
        <v>4.1860263638568149</v>
      </c>
      <c r="G92">
        <f t="shared" si="39"/>
        <v>4.6021732224891343</v>
      </c>
      <c r="H92">
        <f t="shared" si="39"/>
        <v>4.5055158967089932</v>
      </c>
      <c r="I92">
        <f t="shared" si="22"/>
        <v>1.593729717858797</v>
      </c>
      <c r="J92">
        <f t="shared" si="37"/>
        <v>3.591194553978001</v>
      </c>
      <c r="K92">
        <f t="shared" si="41"/>
        <v>4.4233261350720996</v>
      </c>
      <c r="L92">
        <f t="shared" si="41"/>
        <v>4.4928029166553927</v>
      </c>
      <c r="M92">
        <f t="shared" si="41"/>
        <v>4.3832631081207341</v>
      </c>
      <c r="N92">
        <f t="shared" si="23"/>
        <v>1.4714769292705379</v>
      </c>
      <c r="O92">
        <f t="shared" si="38"/>
        <v>3.4553128789524399</v>
      </c>
      <c r="P92">
        <f t="shared" si="42"/>
        <v>4.2882447331925082</v>
      </c>
      <c r="Q92">
        <f t="shared" si="40"/>
        <v>3.8137253716106003</v>
      </c>
      <c r="R92">
        <f t="shared" si="43"/>
        <v>4.4339488702490515</v>
      </c>
      <c r="S92">
        <f t="shared" si="43"/>
        <v>4.384692477401182</v>
      </c>
      <c r="T92">
        <f t="shared" si="24"/>
        <v>1.4729062985509858</v>
      </c>
      <c r="U92">
        <f t="shared" si="25"/>
        <v>-1.4729062985509858</v>
      </c>
      <c r="V92">
        <f t="shared" si="32"/>
        <v>4.1222748442262711</v>
      </c>
      <c r="W92">
        <f t="shared" si="26"/>
        <v>-1.2104886653760749</v>
      </c>
      <c r="X92">
        <f t="shared" si="33"/>
        <v>3.8670972661224963</v>
      </c>
      <c r="Y92">
        <f t="shared" si="27"/>
        <v>-0.95531108727230007</v>
      </c>
      <c r="Z92">
        <f t="shared" si="34"/>
        <v>3.6649536145031183</v>
      </c>
      <c r="AA92">
        <f t="shared" si="28"/>
        <v>-0.7531674356529221</v>
      </c>
      <c r="AB92">
        <f t="shared" si="29"/>
        <v>-3.0976138211498041</v>
      </c>
      <c r="AC92">
        <f t="shared" si="30"/>
        <v>4.2973453287680412</v>
      </c>
      <c r="AD92">
        <f t="shared" si="31"/>
        <v>-1.385559149917845</v>
      </c>
    </row>
    <row r="93" spans="1:51">
      <c r="A93">
        <v>91</v>
      </c>
      <c r="B93">
        <v>2.9270504071966861</v>
      </c>
      <c r="C93">
        <f t="shared" si="35"/>
        <v>3.0864363539750133</v>
      </c>
      <c r="D93">
        <f t="shared" si="35"/>
        <v>3.0776755240157021</v>
      </c>
      <c r="E93">
        <f t="shared" si="36"/>
        <v>3.0735077063510032</v>
      </c>
      <c r="F93">
        <f t="shared" si="39"/>
        <v>3.701998712774154</v>
      </c>
      <c r="G93">
        <f t="shared" si="39"/>
        <v>4.4510588601469028</v>
      </c>
      <c r="H93">
        <f t="shared" si="39"/>
        <v>4.5770527102149758</v>
      </c>
      <c r="I93">
        <f t="shared" si="22"/>
        <v>1.6500023030182898</v>
      </c>
      <c r="J93">
        <f t="shared" si="37"/>
        <v>3.0437094659525057</v>
      </c>
      <c r="K93">
        <f t="shared" si="41"/>
        <v>4.13435901176996</v>
      </c>
      <c r="L93">
        <f t="shared" si="41"/>
        <v>4.5179666681951707</v>
      </c>
      <c r="M93">
        <f t="shared" si="41"/>
        <v>4.4161465174047665</v>
      </c>
      <c r="N93">
        <f t="shared" si="23"/>
        <v>1.4890961102080804</v>
      </c>
      <c r="O93">
        <f t="shared" si="38"/>
        <v>3.0203776542013419</v>
      </c>
      <c r="P93">
        <f t="shared" si="42"/>
        <v>4.096582430873112</v>
      </c>
      <c r="Q93">
        <f t="shared" si="40"/>
        <v>3.6952946937080653</v>
      </c>
      <c r="R93">
        <f t="shared" si="43"/>
        <v>4.329531259760695</v>
      </c>
      <c r="S93">
        <f t="shared" si="43"/>
        <v>4.4029653622882394</v>
      </c>
      <c r="T93">
        <f t="shared" si="24"/>
        <v>1.4759149550915533</v>
      </c>
      <c r="U93">
        <f t="shared" si="25"/>
        <v>-1.4759149550915533</v>
      </c>
      <c r="V93">
        <f t="shared" si="32"/>
        <v>4.0012259776886641</v>
      </c>
      <c r="W93">
        <f t="shared" si="26"/>
        <v>-1.074175570491978</v>
      </c>
      <c r="X93">
        <f t="shared" si="33"/>
        <v>3.6760350486680364</v>
      </c>
      <c r="Y93">
        <f t="shared" si="27"/>
        <v>-0.74898464147135035</v>
      </c>
      <c r="Z93">
        <f t="shared" si="34"/>
        <v>3.4390033838072416</v>
      </c>
      <c r="AA93">
        <f t="shared" si="28"/>
        <v>-0.5119529766105555</v>
      </c>
      <c r="AB93">
        <f t="shared" si="29"/>
        <v>-3.0879095928033142</v>
      </c>
      <c r="AC93">
        <f t="shared" si="30"/>
        <v>4.2910920359896485</v>
      </c>
      <c r="AD93">
        <f t="shared" si="31"/>
        <v>-1.3640416287929624</v>
      </c>
    </row>
    <row r="94" spans="1:51">
      <c r="A94">
        <v>92</v>
      </c>
      <c r="B94">
        <v>5.6546412617772948</v>
      </c>
      <c r="C94">
        <f t="shared" si="35"/>
        <v>2.9194182930234414</v>
      </c>
      <c r="D94">
        <f t="shared" si="35"/>
        <v>3.1204024120382097</v>
      </c>
      <c r="E94">
        <f t="shared" si="36"/>
        <v>3.0333077050489039</v>
      </c>
      <c r="F94">
        <f t="shared" si="39"/>
        <v>3.2874740545361125</v>
      </c>
      <c r="G94">
        <f t="shared" si="39"/>
        <v>4.1360555546397739</v>
      </c>
      <c r="H94">
        <f t="shared" si="39"/>
        <v>4.5572914878834219</v>
      </c>
      <c r="I94">
        <f t="shared" si="22"/>
        <v>-1.0973497738938729</v>
      </c>
      <c r="J94">
        <f t="shared" si="37"/>
        <v>3.0368933815624239</v>
      </c>
      <c r="K94">
        <f t="shared" si="41"/>
        <v>3.6945079264675735</v>
      </c>
      <c r="L94">
        <f t="shared" si="41"/>
        <v>4.4268645114641574</v>
      </c>
      <c r="M94">
        <f t="shared" si="41"/>
        <v>4.4630618466160534</v>
      </c>
      <c r="N94">
        <f t="shared" si="23"/>
        <v>-1.1915794151612413</v>
      </c>
      <c r="O94">
        <f t="shared" si="38"/>
        <v>3.5604429576053982</v>
      </c>
      <c r="P94">
        <f t="shared" si="42"/>
        <v>3.7370588129254445</v>
      </c>
      <c r="Q94">
        <f t="shared" si="40"/>
        <v>3.3672691336598142</v>
      </c>
      <c r="R94">
        <f t="shared" si="43"/>
        <v>4.2243265729941148</v>
      </c>
      <c r="S94">
        <f t="shared" si="43"/>
        <v>4.4022191530949586</v>
      </c>
      <c r="T94">
        <f t="shared" si="24"/>
        <v>-1.2524221086823362</v>
      </c>
      <c r="U94">
        <f t="shared" si="25"/>
        <v>1.2524221086823362</v>
      </c>
      <c r="V94">
        <f t="shared" si="32"/>
        <v>3.8938084206394663</v>
      </c>
      <c r="W94">
        <f t="shared" si="26"/>
        <v>1.7608328411378285</v>
      </c>
      <c r="X94">
        <f t="shared" si="33"/>
        <v>3.5262381203737663</v>
      </c>
      <c r="Y94">
        <f t="shared" si="27"/>
        <v>2.1284031414035285</v>
      </c>
      <c r="Z94">
        <f t="shared" si="34"/>
        <v>3.285417490824075</v>
      </c>
      <c r="AA94">
        <f t="shared" si="28"/>
        <v>2.3692237709532198</v>
      </c>
      <c r="AB94">
        <f t="shared" si="29"/>
        <v>-0.36587873822270556</v>
      </c>
      <c r="AC94">
        <f t="shared" si="30"/>
        <v>4.2856959894684312</v>
      </c>
      <c r="AD94">
        <f t="shared" si="31"/>
        <v>1.3689452723088635</v>
      </c>
    </row>
    <row r="95" spans="1:51">
      <c r="A95">
        <v>93</v>
      </c>
      <c r="B95">
        <v>5.3253189781321382</v>
      </c>
      <c r="C95">
        <f t="shared" si="35"/>
        <v>4.2908458344869906</v>
      </c>
      <c r="D95">
        <f t="shared" si="35"/>
        <v>3.0029273234992271</v>
      </c>
      <c r="E95">
        <f t="shared" si="36"/>
        <v>3.8311592826080592</v>
      </c>
      <c r="F95">
        <f t="shared" si="39"/>
        <v>3.0648331021288389</v>
      </c>
      <c r="G95">
        <f t="shared" si="39"/>
        <v>3.7251663770556935</v>
      </c>
      <c r="H95">
        <f t="shared" si="39"/>
        <v>4.3964292124252706</v>
      </c>
      <c r="I95">
        <f t="shared" si="22"/>
        <v>-0.92888976570686754</v>
      </c>
      <c r="J95">
        <f t="shared" si="37"/>
        <v>3.6886410942310017</v>
      </c>
      <c r="K95">
        <f t="shared" si="41"/>
        <v>3.41788031626688</v>
      </c>
      <c r="L95">
        <f t="shared" si="41"/>
        <v>4.1872239072667226</v>
      </c>
      <c r="M95">
        <f t="shared" si="41"/>
        <v>4.4758761916716576</v>
      </c>
      <c r="N95">
        <f t="shared" si="23"/>
        <v>-0.84944278646048055</v>
      </c>
      <c r="O95">
        <f t="shared" si="38"/>
        <v>4.015976671011229</v>
      </c>
      <c r="P95">
        <f t="shared" si="42"/>
        <v>3.5624766055103145</v>
      </c>
      <c r="Q95">
        <f t="shared" si="40"/>
        <v>3.4594215887973339</v>
      </c>
      <c r="R95">
        <f t="shared" si="43"/>
        <v>4.0190638201814943</v>
      </c>
      <c r="S95">
        <f t="shared" si="43"/>
        <v>4.3809991719902097</v>
      </c>
      <c r="T95">
        <f t="shared" si="24"/>
        <v>-0.94431980614192845</v>
      </c>
      <c r="U95">
        <f t="shared" si="25"/>
        <v>0.94431980614192845</v>
      </c>
      <c r="V95">
        <f t="shared" si="32"/>
        <v>4.0698917047532488</v>
      </c>
      <c r="W95">
        <f t="shared" si="26"/>
        <v>1.2554272733788894</v>
      </c>
      <c r="X95">
        <f t="shared" si="33"/>
        <v>3.9519187486544718</v>
      </c>
      <c r="Y95">
        <f t="shared" si="27"/>
        <v>1.3734002294776664</v>
      </c>
      <c r="Z95">
        <f t="shared" si="34"/>
        <v>3.9961846221100408</v>
      </c>
      <c r="AA95">
        <f t="shared" si="28"/>
        <v>1.3291343560220974</v>
      </c>
      <c r="AB95">
        <f t="shared" si="29"/>
        <v>-0.70076102186786215</v>
      </c>
      <c r="AC95">
        <f t="shared" si="30"/>
        <v>4.281158896400016</v>
      </c>
      <c r="AD95">
        <f t="shared" si="31"/>
        <v>1.0441600817321222</v>
      </c>
      <c r="AY95" t="s">
        <v>152</v>
      </c>
    </row>
    <row r="96" spans="1:51">
      <c r="A96">
        <v>94</v>
      </c>
      <c r="B96">
        <v>5.8806988705324663</v>
      </c>
      <c r="C96">
        <f t="shared" si="35"/>
        <v>5.4899801199547165</v>
      </c>
      <c r="D96">
        <f t="shared" si="35"/>
        <v>3.605132063755216</v>
      </c>
      <c r="E96">
        <f t="shared" si="36"/>
        <v>4.6356702157020395</v>
      </c>
      <c r="F96">
        <f t="shared" si="39"/>
        <v>3.3126582313359889</v>
      </c>
      <c r="G96">
        <f t="shared" si="39"/>
        <v>3.3514352898130348</v>
      </c>
      <c r="H96">
        <f t="shared" si="39"/>
        <v>4.1040935972807899</v>
      </c>
      <c r="I96">
        <f t="shared" si="22"/>
        <v>-1.7766052732516764</v>
      </c>
      <c r="J96">
        <f t="shared" si="37"/>
        <v>4.2046992064890789</v>
      </c>
      <c r="K96">
        <f t="shared" si="41"/>
        <v>3.3401096239309833</v>
      </c>
      <c r="L96">
        <f t="shared" si="41"/>
        <v>3.9175183473941284</v>
      </c>
      <c r="M96">
        <f t="shared" si="41"/>
        <v>4.406214500895361</v>
      </c>
      <c r="N96">
        <f t="shared" si="23"/>
        <v>-1.4744843696371053</v>
      </c>
      <c r="O96">
        <f t="shared" si="38"/>
        <v>4.5398991392977566</v>
      </c>
      <c r="P96">
        <f t="shared" si="42"/>
        <v>3.5808213116900092</v>
      </c>
      <c r="Q96">
        <f t="shared" si="40"/>
        <v>3.8545889610265216</v>
      </c>
      <c r="R96">
        <f t="shared" si="43"/>
        <v>3.8409160715449584</v>
      </c>
      <c r="S96">
        <f t="shared" si="43"/>
        <v>4.3172677210010608</v>
      </c>
      <c r="T96">
        <f t="shared" si="24"/>
        <v>-1.5634311495314055</v>
      </c>
      <c r="U96">
        <f t="shared" si="25"/>
        <v>1.5634311495314055</v>
      </c>
      <c r="V96">
        <f t="shared" si="32"/>
        <v>4.1954344320911376</v>
      </c>
      <c r="W96">
        <f t="shared" si="26"/>
        <v>1.6852644384413287</v>
      </c>
      <c r="X96">
        <f t="shared" si="33"/>
        <v>4.2265987945500054</v>
      </c>
      <c r="Y96">
        <f t="shared" si="27"/>
        <v>1.6541000759824609</v>
      </c>
      <c r="Z96">
        <f t="shared" si="34"/>
        <v>4.3949249289166703</v>
      </c>
      <c r="AA96">
        <f t="shared" si="28"/>
        <v>1.485773941615796</v>
      </c>
      <c r="AB96">
        <f t="shared" si="29"/>
        <v>-0.15094112946753402</v>
      </c>
      <c r="AC96">
        <f t="shared" si="30"/>
        <v>4.2774822253873674</v>
      </c>
      <c r="AD96">
        <f t="shared" si="31"/>
        <v>1.6032166451450989</v>
      </c>
      <c r="AM96" s="18" t="s">
        <v>144</v>
      </c>
      <c r="AY96" t="s">
        <v>153</v>
      </c>
    </row>
    <row r="97" spans="1:39">
      <c r="A97">
        <v>95</v>
      </c>
      <c r="B97">
        <v>1.9493796330202553</v>
      </c>
      <c r="C97">
        <f t="shared" si="35"/>
        <v>5.6030089243323022</v>
      </c>
      <c r="D97">
        <f t="shared" si="35"/>
        <v>4.8904129772208531</v>
      </c>
      <c r="E97">
        <f t="shared" si="36"/>
        <v>5.6202197034806334</v>
      </c>
      <c r="F97">
        <f t="shared" si="39"/>
        <v>3.8333790677863342</v>
      </c>
      <c r="G97">
        <f t="shared" si="39"/>
        <v>3.2216551293336466</v>
      </c>
      <c r="H97">
        <f t="shared" si="39"/>
        <v>3.7375524071695008</v>
      </c>
      <c r="I97">
        <f t="shared" si="22"/>
        <v>1.7881727741492455</v>
      </c>
      <c r="J97">
        <f t="shared" si="37"/>
        <v>4.9469273794096464</v>
      </c>
      <c r="K97">
        <f t="shared" si="41"/>
        <v>3.493485787058753</v>
      </c>
      <c r="L97">
        <f t="shared" si="41"/>
        <v>3.6467142196088491</v>
      </c>
      <c r="M97">
        <f t="shared" si="41"/>
        <v>4.2623933585800451</v>
      </c>
      <c r="N97">
        <f t="shared" si="23"/>
        <v>2.3130137255597898</v>
      </c>
      <c r="O97">
        <f t="shared" si="38"/>
        <v>4.3474178301317679</v>
      </c>
      <c r="P97">
        <f t="shared" si="42"/>
        <v>3.7184018602136333</v>
      </c>
      <c r="Q97">
        <f t="shared" si="40"/>
        <v>4.3267637042647689</v>
      </c>
      <c r="R97">
        <f t="shared" si="43"/>
        <v>3.7321171910367283</v>
      </c>
      <c r="S97">
        <f t="shared" si="43"/>
        <v>4.2181444762149374</v>
      </c>
      <c r="T97">
        <f t="shared" si="24"/>
        <v>2.2687648431946821</v>
      </c>
      <c r="U97">
        <f t="shared" si="25"/>
        <v>-2.2687648431946821</v>
      </c>
      <c r="V97">
        <f t="shared" si="32"/>
        <v>4.3639608759352706</v>
      </c>
      <c r="W97">
        <f t="shared" si="26"/>
        <v>-2.4145812429150153</v>
      </c>
      <c r="X97">
        <f t="shared" si="33"/>
        <v>4.5574188097464976</v>
      </c>
      <c r="Y97">
        <f t="shared" si="27"/>
        <v>-2.6080391767262423</v>
      </c>
      <c r="Z97">
        <f t="shared" si="34"/>
        <v>4.8406571114014092</v>
      </c>
      <c r="AA97">
        <f t="shared" si="28"/>
        <v>-2.8912774783811539</v>
      </c>
      <c r="AB97">
        <f t="shared" si="29"/>
        <v>-4.087820366979745</v>
      </c>
      <c r="AC97">
        <f t="shared" si="30"/>
        <v>4.2746672060328619</v>
      </c>
      <c r="AD97">
        <f t="shared" si="31"/>
        <v>-2.3252875730126066</v>
      </c>
      <c r="AM97" t="s">
        <v>150</v>
      </c>
    </row>
    <row r="98" spans="1:39">
      <c r="A98">
        <v>96</v>
      </c>
      <c r="B98">
        <v>2.0439693610750345</v>
      </c>
      <c r="C98">
        <f t="shared" si="35"/>
        <v>3.9150392517763608</v>
      </c>
      <c r="D98">
        <f t="shared" si="35"/>
        <v>5.5464945221435098</v>
      </c>
      <c r="E98">
        <f t="shared" si="36"/>
        <v>4.385132493894953</v>
      </c>
      <c r="F98">
        <f t="shared" si="39"/>
        <v>4.6956830672635768</v>
      </c>
      <c r="G98">
        <f t="shared" si="39"/>
        <v>3.4036234670837207</v>
      </c>
      <c r="H98">
        <f t="shared" si="39"/>
        <v>3.4327522654007918</v>
      </c>
      <c r="I98">
        <f t="shared" si="22"/>
        <v>1.3887829043257574</v>
      </c>
      <c r="J98">
        <f t="shared" si="37"/>
        <v>4.7025096858655395</v>
      </c>
      <c r="K98">
        <f t="shared" si="41"/>
        <v>3.9692902654230382</v>
      </c>
      <c r="L98">
        <f t="shared" si="41"/>
        <v>3.4864959134310478</v>
      </c>
      <c r="M98">
        <f t="shared" si="41"/>
        <v>4.0445802464334646</v>
      </c>
      <c r="N98">
        <f t="shared" si="23"/>
        <v>2.0006108853584301</v>
      </c>
      <c r="O98">
        <f t="shared" si="38"/>
        <v>4.1708016209074383</v>
      </c>
      <c r="P98">
        <f t="shared" si="42"/>
        <v>3.8968228504494986</v>
      </c>
      <c r="Q98">
        <f t="shared" si="40"/>
        <v>4.1081458882515065</v>
      </c>
      <c r="R98">
        <f t="shared" si="43"/>
        <v>3.7528439088445169</v>
      </c>
      <c r="S98">
        <f t="shared" si="43"/>
        <v>4.0966506309611743</v>
      </c>
      <c r="T98">
        <f t="shared" si="24"/>
        <v>2.0526812698861399</v>
      </c>
      <c r="U98">
        <f t="shared" si="25"/>
        <v>-2.0526812698861399</v>
      </c>
      <c r="V98">
        <f t="shared" si="32"/>
        <v>4.1225027516437693</v>
      </c>
      <c r="W98">
        <f t="shared" si="26"/>
        <v>-2.0785333905687349</v>
      </c>
      <c r="X98">
        <f t="shared" si="33"/>
        <v>4.0358109744012491</v>
      </c>
      <c r="Y98">
        <f t="shared" si="27"/>
        <v>-1.9918416133262147</v>
      </c>
      <c r="Z98">
        <f t="shared" si="34"/>
        <v>3.9732738678870629</v>
      </c>
      <c r="AA98">
        <f t="shared" si="28"/>
        <v>-1.9293045068120285</v>
      </c>
      <c r="AB98">
        <f t="shared" si="29"/>
        <v>-3.9987906389249659</v>
      </c>
      <c r="AC98">
        <f t="shared" si="30"/>
        <v>4.2727148285967287</v>
      </c>
      <c r="AD98">
        <f t="shared" si="31"/>
        <v>-2.2287454675216942</v>
      </c>
      <c r="AM98" t="s">
        <v>154</v>
      </c>
    </row>
    <row r="99" spans="1:39">
      <c r="A99">
        <v>97</v>
      </c>
      <c r="B99">
        <v>4.0395574328105033</v>
      </c>
      <c r="C99">
        <f t="shared" si="35"/>
        <v>1.9966744970476449</v>
      </c>
      <c r="D99">
        <f t="shared" si="35"/>
        <v>4.759024088054332</v>
      </c>
      <c r="E99">
        <f t="shared" si="36"/>
        <v>3.2913492882092519</v>
      </c>
      <c r="F99">
        <f t="shared" si="39"/>
        <v>4.880340804359208</v>
      </c>
      <c r="G99">
        <f t="shared" si="39"/>
        <v>3.9472401221286333</v>
      </c>
      <c r="H99">
        <f t="shared" si="39"/>
        <v>3.3255712954101342</v>
      </c>
      <c r="I99">
        <f t="shared" si="22"/>
        <v>-0.71398613740036909</v>
      </c>
      <c r="J99">
        <f t="shared" si="37"/>
        <v>3.7998417106899733</v>
      </c>
      <c r="K99">
        <f t="shared" si="41"/>
        <v>4.3856943414988168</v>
      </c>
      <c r="L99">
        <f t="shared" si="41"/>
        <v>3.5551914981699131</v>
      </c>
      <c r="M99">
        <f t="shared" si="41"/>
        <v>3.809488096925187</v>
      </c>
      <c r="N99">
        <f t="shared" si="23"/>
        <v>-0.23006933588531631</v>
      </c>
      <c r="O99">
        <f t="shared" si="38"/>
        <v>3.8477848551140794</v>
      </c>
      <c r="P99">
        <f t="shared" si="42"/>
        <v>4.1269076437907177</v>
      </c>
      <c r="Q99">
        <f t="shared" si="40"/>
        <v>3.9635097519556459</v>
      </c>
      <c r="R99">
        <f t="shared" si="43"/>
        <v>3.801913994951335</v>
      </c>
      <c r="S99">
        <f t="shared" si="43"/>
        <v>3.9831331373937515</v>
      </c>
      <c r="T99">
        <f t="shared" si="24"/>
        <v>-5.6424295416751757E-2</v>
      </c>
      <c r="U99">
        <f t="shared" si="25"/>
        <v>5.6424295416751757E-2</v>
      </c>
      <c r="V99">
        <f t="shared" si="32"/>
        <v>3.914649412586896</v>
      </c>
      <c r="W99">
        <f t="shared" si="26"/>
        <v>0.12490802022360725</v>
      </c>
      <c r="X99">
        <f t="shared" si="33"/>
        <v>3.6374426517360061</v>
      </c>
      <c r="Y99">
        <f t="shared" si="27"/>
        <v>0.40211478107449716</v>
      </c>
      <c r="Z99">
        <f t="shared" si="34"/>
        <v>3.3944825158434542</v>
      </c>
      <c r="AA99">
        <f t="shared" si="28"/>
        <v>0.64507491696704911</v>
      </c>
      <c r="AB99">
        <f t="shared" si="29"/>
        <v>-2.0087625671894971</v>
      </c>
      <c r="AC99">
        <f t="shared" si="30"/>
        <v>4.2716258437219903</v>
      </c>
      <c r="AD99">
        <f t="shared" si="31"/>
        <v>-0.232068410911487</v>
      </c>
    </row>
    <row r="100" spans="1:39">
      <c r="A100">
        <v>98</v>
      </c>
      <c r="B100">
        <v>5.0147042364515215</v>
      </c>
      <c r="C100">
        <f t="shared" si="35"/>
        <v>3.0417633969427689</v>
      </c>
      <c r="D100">
        <f t="shared" si="35"/>
        <v>2.9558568744120031</v>
      </c>
      <c r="E100">
        <f t="shared" si="36"/>
        <v>2.6776354756352645</v>
      </c>
      <c r="F100">
        <f t="shared" si="39"/>
        <v>4.4322338285282799</v>
      </c>
      <c r="G100">
        <f t="shared" si="39"/>
        <v>4.4698009798030398</v>
      </c>
      <c r="H100">
        <f t="shared" si="39"/>
        <v>3.5241729061820002</v>
      </c>
      <c r="I100">
        <f t="shared" si="22"/>
        <v>-1.4905313302695213</v>
      </c>
      <c r="J100">
        <f t="shared" si="37"/>
        <v>3.4784013243595648</v>
      </c>
      <c r="K100">
        <f t="shared" si="41"/>
        <v>4.4134944956135591</v>
      </c>
      <c r="L100">
        <f t="shared" si="41"/>
        <v>3.7971450044778976</v>
      </c>
      <c r="M100">
        <f t="shared" si="41"/>
        <v>3.6514799946509844</v>
      </c>
      <c r="N100">
        <f t="shared" si="23"/>
        <v>-1.3632242418005371</v>
      </c>
      <c r="O100">
        <f t="shared" si="38"/>
        <v>3.785661906777956</v>
      </c>
      <c r="P100">
        <f t="shared" si="42"/>
        <v>4.1843760232924536</v>
      </c>
      <c r="Q100">
        <f t="shared" si="40"/>
        <v>4.1489275895579496</v>
      </c>
      <c r="R100">
        <f t="shared" si="43"/>
        <v>3.8466165046592646</v>
      </c>
      <c r="S100">
        <f t="shared" si="43"/>
        <v>3.8951969265921913</v>
      </c>
      <c r="T100">
        <f t="shared" si="24"/>
        <v>-1.1195073098593302</v>
      </c>
      <c r="U100">
        <f t="shared" si="25"/>
        <v>1.1195073098593302</v>
      </c>
      <c r="V100">
        <f t="shared" si="32"/>
        <v>3.9271402146092567</v>
      </c>
      <c r="W100">
        <f t="shared" si="26"/>
        <v>1.0875640218422649</v>
      </c>
      <c r="X100">
        <f t="shared" si="33"/>
        <v>3.7178656079509054</v>
      </c>
      <c r="Y100">
        <f t="shared" si="27"/>
        <v>1.2968386285006162</v>
      </c>
      <c r="Z100">
        <f t="shared" si="34"/>
        <v>3.5880049909335687</v>
      </c>
      <c r="AA100">
        <f t="shared" si="28"/>
        <v>1.4266992455179528</v>
      </c>
      <c r="AB100">
        <f t="shared" si="29"/>
        <v>-1.0391757635484788</v>
      </c>
      <c r="AC100">
        <f t="shared" si="30"/>
        <v>4.2714007622259542</v>
      </c>
      <c r="AD100">
        <f t="shared" si="31"/>
        <v>0.74330347422556731</v>
      </c>
    </row>
    <row r="101" spans="1:39">
      <c r="A101">
        <v>99</v>
      </c>
      <c r="B101">
        <v>3.6876168373826514</v>
      </c>
      <c r="C101">
        <f t="shared" si="35"/>
        <v>4.5271308346310128</v>
      </c>
      <c r="D101">
        <f t="shared" si="35"/>
        <v>2.5192189469952071</v>
      </c>
      <c r="E101">
        <f t="shared" si="36"/>
        <v>3.6994103434456864</v>
      </c>
      <c r="F101">
        <f t="shared" si="39"/>
        <v>3.4513724192464896</v>
      </c>
      <c r="G101">
        <f t="shared" si="39"/>
        <v>4.6694192333836879</v>
      </c>
      <c r="H101">
        <f t="shared" si="39"/>
        <v>3.9402215230051314</v>
      </c>
      <c r="I101">
        <f t="shared" si="22"/>
        <v>0.25260468562247995</v>
      </c>
      <c r="J101">
        <f t="shared" si="37"/>
        <v>3.2619026658393286</v>
      </c>
      <c r="K101">
        <f t="shared" si="41"/>
        <v>4.2319200250811813</v>
      </c>
      <c r="L101">
        <f t="shared" si="41"/>
        <v>4.065491222398542</v>
      </c>
      <c r="M101">
        <f t="shared" si="41"/>
        <v>3.621386658921927</v>
      </c>
      <c r="N101">
        <f t="shared" si="23"/>
        <v>-6.6230178460724431E-2</v>
      </c>
      <c r="O101">
        <f t="shared" si="38"/>
        <v>3.3470455001479933</v>
      </c>
      <c r="P101">
        <f t="shared" si="42"/>
        <v>4.1383130704457995</v>
      </c>
      <c r="Q101">
        <f t="shared" si="40"/>
        <v>4.0422714186703201</v>
      </c>
      <c r="R101">
        <f t="shared" si="43"/>
        <v>3.9768929139756213</v>
      </c>
      <c r="S101">
        <f t="shared" si="43"/>
        <v>3.8322452485363834</v>
      </c>
      <c r="T101">
        <f t="shared" si="24"/>
        <v>0.14462841115373193</v>
      </c>
      <c r="U101">
        <f t="shared" si="25"/>
        <v>-0.14462841115373193</v>
      </c>
      <c r="V101">
        <f t="shared" si="32"/>
        <v>4.0358966167934831</v>
      </c>
      <c r="W101">
        <f t="shared" si="26"/>
        <v>-0.34827977941083166</v>
      </c>
      <c r="X101">
        <f t="shared" si="33"/>
        <v>3.9772333336510286</v>
      </c>
      <c r="Y101">
        <f t="shared" si="27"/>
        <v>-0.28961649626837715</v>
      </c>
      <c r="Z101">
        <f t="shared" si="34"/>
        <v>4.0160147645889541</v>
      </c>
      <c r="AA101">
        <f t="shared" si="28"/>
        <v>-0.32839792720630268</v>
      </c>
      <c r="AB101">
        <f t="shared" si="29"/>
        <v>-2.3718231626173489</v>
      </c>
      <c r="AC101">
        <f t="shared" si="30"/>
        <v>4.2720398549583241</v>
      </c>
      <c r="AD101">
        <f t="shared" si="31"/>
        <v>-0.58442301757567261</v>
      </c>
    </row>
    <row r="102" spans="1:39">
      <c r="A102">
        <v>100</v>
      </c>
      <c r="B102">
        <v>1.6699321554918762</v>
      </c>
      <c r="C102">
        <f t="shared" si="35"/>
        <v>4.3511605369170869</v>
      </c>
      <c r="D102">
        <f t="shared" si="35"/>
        <v>3.7844471157868909</v>
      </c>
      <c r="E102">
        <f t="shared" si="36"/>
        <v>4.247292835548226</v>
      </c>
      <c r="F102">
        <f t="shared" si="39"/>
        <v>3.2227983690967341</v>
      </c>
      <c r="G102">
        <f t="shared" si="39"/>
        <v>4.2546490173779921</v>
      </c>
      <c r="H102">
        <f t="shared" si="39"/>
        <v>4.3621534451051209</v>
      </c>
      <c r="I102">
        <f t="shared" si="22"/>
        <v>2.6922212896132445</v>
      </c>
      <c r="J102">
        <f t="shared" si="37"/>
        <v>3.6964619669299275</v>
      </c>
      <c r="K102">
        <f t="shared" si="41"/>
        <v>3.8106638466886018</v>
      </c>
      <c r="L102">
        <f t="shared" si="41"/>
        <v>4.2500997819041491</v>
      </c>
      <c r="M102">
        <f t="shared" si="41"/>
        <v>3.7260809096193501</v>
      </c>
      <c r="N102">
        <f t="shared" si="23"/>
        <v>2.0561487541274737</v>
      </c>
      <c r="O102">
        <f t="shared" si="38"/>
        <v>3.2911560046423167</v>
      </c>
      <c r="P102">
        <f t="shared" si="42"/>
        <v>3.8997423426158471</v>
      </c>
      <c r="Q102">
        <f t="shared" si="40"/>
        <v>3.7693210618787387</v>
      </c>
      <c r="R102">
        <f t="shared" si="43"/>
        <v>4.0740345522877854</v>
      </c>
      <c r="S102">
        <f t="shared" si="43"/>
        <v>3.8252167641687369</v>
      </c>
      <c r="T102">
        <f t="shared" si="24"/>
        <v>2.1552846086768609</v>
      </c>
      <c r="U102">
        <f t="shared" si="25"/>
        <v>-2.1552846086768609</v>
      </c>
      <c r="V102">
        <f t="shared" si="32"/>
        <v>4.0010686388524004</v>
      </c>
      <c r="W102">
        <f t="shared" si="26"/>
        <v>-2.3311364833605239</v>
      </c>
      <c r="X102">
        <f t="shared" si="33"/>
        <v>3.9193100343973533</v>
      </c>
      <c r="Y102">
        <f t="shared" si="27"/>
        <v>-2.2493778789054772</v>
      </c>
      <c r="Z102">
        <f t="shared" si="34"/>
        <v>3.9174953864270634</v>
      </c>
      <c r="AA102">
        <f t="shared" si="28"/>
        <v>-2.247563230935187</v>
      </c>
      <c r="AB102">
        <f t="shared" si="29"/>
        <v>-4.3950678445081239</v>
      </c>
      <c r="AC102">
        <f t="shared" si="30"/>
        <v>4.2735431527259582</v>
      </c>
      <c r="AD102">
        <f t="shared" si="31"/>
        <v>-2.6036109972340817</v>
      </c>
    </row>
    <row r="103" spans="1:39">
      <c r="A103">
        <v>101</v>
      </c>
      <c r="B103">
        <v>4.4961229351073779</v>
      </c>
      <c r="C103">
        <f t="shared" si="35"/>
        <v>2.678774496437264</v>
      </c>
      <c r="D103">
        <f t="shared" si="35"/>
        <v>4.4391456857740499</v>
      </c>
      <c r="E103">
        <f t="shared" si="36"/>
        <v>3.4574177431086834</v>
      </c>
      <c r="F103">
        <f t="shared" si="39"/>
        <v>3.5414462182097259</v>
      </c>
      <c r="G103">
        <f t="shared" si="39"/>
        <v>3.7021348722905016</v>
      </c>
      <c r="H103">
        <f t="shared" si="39"/>
        <v>4.4646230768549069</v>
      </c>
      <c r="I103">
        <f t="shared" si="22"/>
        <v>-3.1499858252471036E-2</v>
      </c>
      <c r="J103">
        <f t="shared" si="37"/>
        <v>3.6029526655341386</v>
      </c>
      <c r="K103">
        <f t="shared" si="41"/>
        <v>3.5591519169546988</v>
      </c>
      <c r="L103">
        <f t="shared" si="41"/>
        <v>4.2104431772205393</v>
      </c>
      <c r="M103">
        <f t="shared" si="41"/>
        <v>3.9169818767376254</v>
      </c>
      <c r="N103">
        <f t="shared" si="23"/>
        <v>-0.57914105836975249</v>
      </c>
      <c r="O103">
        <f t="shared" si="38"/>
        <v>3.7815867194487867</v>
      </c>
      <c r="P103">
        <f t="shared" si="42"/>
        <v>3.6884899775179569</v>
      </c>
      <c r="Q103">
        <f t="shared" si="40"/>
        <v>3.0675266093719737</v>
      </c>
      <c r="R103">
        <f t="shared" si="43"/>
        <v>4.0598232357631554</v>
      </c>
      <c r="S103">
        <f t="shared" si="43"/>
        <v>3.8640698442925419</v>
      </c>
      <c r="T103">
        <f t="shared" si="24"/>
        <v>-0.63205309081483607</v>
      </c>
      <c r="U103">
        <f t="shared" si="25"/>
        <v>0.63205309081483607</v>
      </c>
      <c r="V103">
        <f t="shared" si="32"/>
        <v>3.7679549905163481</v>
      </c>
      <c r="W103">
        <f t="shared" si="26"/>
        <v>0.72816794459102985</v>
      </c>
      <c r="X103">
        <f t="shared" si="33"/>
        <v>3.4694344586162575</v>
      </c>
      <c r="Y103">
        <f t="shared" si="27"/>
        <v>1.0266884764911204</v>
      </c>
      <c r="Z103">
        <f t="shared" si="34"/>
        <v>3.2432264171465075</v>
      </c>
      <c r="AA103">
        <f t="shared" si="28"/>
        <v>1.2528965179608704</v>
      </c>
      <c r="AB103">
        <f t="shared" si="29"/>
        <v>-1.5744370648926225</v>
      </c>
      <c r="AC103">
        <f t="shared" si="30"/>
        <v>4.275910446284322</v>
      </c>
      <c r="AD103">
        <f t="shared" si="31"/>
        <v>0.22021248882305589</v>
      </c>
    </row>
    <row r="104" spans="1:39">
      <c r="A104">
        <v>102</v>
      </c>
      <c r="B104">
        <v>3.551742162389969</v>
      </c>
      <c r="C104">
        <f t="shared" si="35"/>
        <v>3.0830275452996272</v>
      </c>
      <c r="D104">
        <f t="shared" si="35"/>
        <v>3.5149675166771752</v>
      </c>
      <c r="E104">
        <f t="shared" si="36"/>
        <v>3.2845573093273024</v>
      </c>
      <c r="F104">
        <f t="shared" si="39"/>
        <v>3.8013736407008651</v>
      </c>
      <c r="G104">
        <f t="shared" si="39"/>
        <v>3.4052056688509835</v>
      </c>
      <c r="H104">
        <f t="shared" si="39"/>
        <v>4.2087343743507271</v>
      </c>
      <c r="I104">
        <f t="shared" si="22"/>
        <v>0.65699221196075808</v>
      </c>
      <c r="J104">
        <f t="shared" si="37"/>
        <v>3.7170940411083571</v>
      </c>
      <c r="K104">
        <f t="shared" si="41"/>
        <v>3.5099296556657396</v>
      </c>
      <c r="L104">
        <f t="shared" si="41"/>
        <v>4.0038075710845096</v>
      </c>
      <c r="M104">
        <f t="shared" si="41"/>
        <v>4.0807947965002818</v>
      </c>
      <c r="N104">
        <f t="shared" si="23"/>
        <v>0.52905263411031278</v>
      </c>
      <c r="O104">
        <f t="shared" si="38"/>
        <v>3.6840236653646796</v>
      </c>
      <c r="P104">
        <f t="shared" si="42"/>
        <v>3.6106469972262261</v>
      </c>
      <c r="Q104">
        <f t="shared" si="40"/>
        <v>3.4919838263864933</v>
      </c>
      <c r="R104">
        <f t="shared" si="43"/>
        <v>3.8499503866143558</v>
      </c>
      <c r="S104">
        <f t="shared" si="43"/>
        <v>3.9186875184136127</v>
      </c>
      <c r="T104">
        <f t="shared" si="24"/>
        <v>0.36694535602364375</v>
      </c>
      <c r="U104">
        <f t="shared" si="25"/>
        <v>-0.36694535602364375</v>
      </c>
      <c r="V104">
        <f t="shared" si="32"/>
        <v>3.840771784975451</v>
      </c>
      <c r="W104">
        <f t="shared" si="26"/>
        <v>-0.28902962258548204</v>
      </c>
      <c r="X104">
        <f t="shared" si="33"/>
        <v>3.6747721539144815</v>
      </c>
      <c r="Y104">
        <f t="shared" si="27"/>
        <v>-0.12302999152451255</v>
      </c>
      <c r="Z104">
        <f t="shared" si="34"/>
        <v>3.6190953725347685</v>
      </c>
      <c r="AA104">
        <f t="shared" si="28"/>
        <v>-6.7353210144799558E-2</v>
      </c>
      <c r="AB104">
        <f t="shared" si="29"/>
        <v>-2.5243778376100314</v>
      </c>
      <c r="AC104">
        <f t="shared" si="30"/>
        <v>4.2791412863956024</v>
      </c>
      <c r="AD104">
        <f t="shared" si="31"/>
        <v>-0.72739912400563345</v>
      </c>
    </row>
    <row r="105" spans="1:39">
      <c r="A105">
        <v>103</v>
      </c>
      <c r="B105">
        <v>5.6552024798847818</v>
      </c>
      <c r="C105">
        <f t="shared" si="35"/>
        <v>4.0239325487486735</v>
      </c>
      <c r="D105">
        <f t="shared" si="35"/>
        <v>2.8809010208684454</v>
      </c>
      <c r="E105">
        <f t="shared" si="36"/>
        <v>3.2392657509964078</v>
      </c>
      <c r="F105">
        <f t="shared" si="39"/>
        <v>3.6630892959947374</v>
      </c>
      <c r="G105">
        <f t="shared" si="39"/>
        <v>3.5218727426691085</v>
      </c>
      <c r="H105">
        <f t="shared" si="39"/>
        <v>3.7873298528398256</v>
      </c>
      <c r="I105">
        <f t="shared" si="22"/>
        <v>-1.8678726270449562</v>
      </c>
      <c r="J105">
        <f t="shared" si="37"/>
        <v>3.3513535225929689</v>
      </c>
      <c r="K105">
        <f t="shared" si="41"/>
        <v>3.5696028348529381</v>
      </c>
      <c r="L105">
        <f t="shared" si="41"/>
        <v>3.7779163610975552</v>
      </c>
      <c r="M105">
        <f t="shared" si="41"/>
        <v>4.1324604381519343</v>
      </c>
      <c r="N105">
        <f t="shared" si="23"/>
        <v>-1.5227420417328474</v>
      </c>
      <c r="O105">
        <f t="shared" si="38"/>
        <v>3.8121233140513313</v>
      </c>
      <c r="P105">
        <f t="shared" si="42"/>
        <v>3.5778947592763464</v>
      </c>
      <c r="Q105">
        <f t="shared" si="40"/>
        <v>3.7432792932723173</v>
      </c>
      <c r="R105">
        <f t="shared" si="43"/>
        <v>3.7472567096368539</v>
      </c>
      <c r="S105">
        <f t="shared" si="43"/>
        <v>3.9348719313752532</v>
      </c>
      <c r="T105">
        <f t="shared" si="24"/>
        <v>-1.7203305485095286</v>
      </c>
      <c r="U105">
        <f t="shared" si="25"/>
        <v>1.7203305485095286</v>
      </c>
      <c r="V105">
        <f t="shared" si="32"/>
        <v>3.8118688227169026</v>
      </c>
      <c r="W105">
        <f t="shared" si="26"/>
        <v>1.8433336571678791</v>
      </c>
      <c r="X105">
        <f t="shared" si="33"/>
        <v>3.650166155609579</v>
      </c>
      <c r="Y105">
        <f t="shared" si="27"/>
        <v>2.0050363242752027</v>
      </c>
      <c r="Z105">
        <f t="shared" si="34"/>
        <v>3.5988894094913286</v>
      </c>
      <c r="AA105">
        <f t="shared" si="28"/>
        <v>2.0563130703934531</v>
      </c>
      <c r="AB105">
        <f t="shared" si="29"/>
        <v>-0.42647752011521867</v>
      </c>
      <c r="AC105">
        <f t="shared" si="30"/>
        <v>4.2832349839535002</v>
      </c>
      <c r="AD105">
        <f t="shared" si="31"/>
        <v>1.3719674959312815</v>
      </c>
    </row>
    <row r="106" spans="1:39">
      <c r="A106">
        <v>104</v>
      </c>
      <c r="B106">
        <v>5.0071871001439607</v>
      </c>
      <c r="C106">
        <f t="shared" si="35"/>
        <v>4.6034723211373754</v>
      </c>
      <c r="D106">
        <f t="shared" si="35"/>
        <v>3.5534800470241503</v>
      </c>
      <c r="E106">
        <f t="shared" si="36"/>
        <v>4.5676891924607093</v>
      </c>
      <c r="F106">
        <f t="shared" si="39"/>
        <v>3.327080267810798</v>
      </c>
      <c r="G106">
        <f t="shared" si="39"/>
        <v>3.6686363849684427</v>
      </c>
      <c r="H106">
        <f t="shared" si="39"/>
        <v>3.5430710946035311</v>
      </c>
      <c r="I106">
        <f t="shared" si="22"/>
        <v>-1.4641160055404296</v>
      </c>
      <c r="J106">
        <f t="shared" si="37"/>
        <v>3.8432499332185013</v>
      </c>
      <c r="K106">
        <f t="shared" si="41"/>
        <v>3.591965549041348</v>
      </c>
      <c r="L106">
        <f t="shared" si="41"/>
        <v>3.6123370635404948</v>
      </c>
      <c r="M106">
        <f t="shared" si="41"/>
        <v>4.060566722826688</v>
      </c>
      <c r="N106">
        <f t="shared" si="23"/>
        <v>-0.94662037731727278</v>
      </c>
      <c r="O106">
        <f t="shared" si="38"/>
        <v>4.0760373666035932</v>
      </c>
      <c r="P106">
        <f t="shared" si="42"/>
        <v>3.5831870407310213</v>
      </c>
      <c r="Q106">
        <f t="shared" si="40"/>
        <v>4.0125534677846968</v>
      </c>
      <c r="R106">
        <f t="shared" si="43"/>
        <v>3.7105516331896324</v>
      </c>
      <c r="S106">
        <f t="shared" si="43"/>
        <v>3.9257623838228395</v>
      </c>
      <c r="T106">
        <f t="shared" si="24"/>
        <v>-1.0814247163211212</v>
      </c>
      <c r="U106">
        <f t="shared" si="25"/>
        <v>1.0814247163211212</v>
      </c>
      <c r="V106">
        <f t="shared" si="32"/>
        <v>3.9962021884336907</v>
      </c>
      <c r="W106">
        <f t="shared" si="26"/>
        <v>1.0109849117102701</v>
      </c>
      <c r="X106">
        <f t="shared" si="33"/>
        <v>4.0511734204646199</v>
      </c>
      <c r="Y106">
        <f t="shared" si="27"/>
        <v>0.95601367967934081</v>
      </c>
      <c r="Z106">
        <f t="shared" si="34"/>
        <v>4.2157833306093648</v>
      </c>
      <c r="AA106">
        <f t="shared" si="28"/>
        <v>0.7914037695345959</v>
      </c>
      <c r="AB106">
        <f t="shared" si="29"/>
        <v>-1.0800528998560397</v>
      </c>
      <c r="AC106">
        <f t="shared" si="30"/>
        <v>4.2881906101746363</v>
      </c>
      <c r="AD106">
        <f t="shared" si="31"/>
        <v>0.71899648996932441</v>
      </c>
      <c r="AK106" s="22" t="s">
        <v>151</v>
      </c>
    </row>
    <row r="107" spans="1:39">
      <c r="A107">
        <v>105</v>
      </c>
      <c r="B107">
        <v>2.2529033431520942</v>
      </c>
      <c r="C107">
        <f t="shared" si="35"/>
        <v>5.3311947900143712</v>
      </c>
      <c r="D107">
        <f t="shared" si="35"/>
        <v>4.3137024349430249</v>
      </c>
      <c r="E107">
        <f t="shared" si="36"/>
        <v>4.7380439141395705</v>
      </c>
      <c r="F107">
        <f t="shared" si="39"/>
        <v>3.6971707509281395</v>
      </c>
      <c r="G107">
        <f t="shared" si="39"/>
        <v>3.5971810681687999</v>
      </c>
      <c r="H107">
        <f t="shared" si="39"/>
        <v>3.5319049321628451</v>
      </c>
      <c r="I107">
        <f t="shared" si="22"/>
        <v>1.2790015890107509</v>
      </c>
      <c r="J107">
        <f t="shared" si="37"/>
        <v>4.6775636693815219</v>
      </c>
      <c r="K107">
        <f t="shared" si="41"/>
        <v>3.6286625406134916</v>
      </c>
      <c r="L107">
        <f t="shared" si="41"/>
        <v>3.5576624891286812</v>
      </c>
      <c r="M107">
        <f t="shared" si="41"/>
        <v>3.9011260432357746</v>
      </c>
      <c r="N107">
        <f t="shared" si="23"/>
        <v>1.6482227000836804</v>
      </c>
      <c r="O107">
        <f t="shared" si="38"/>
        <v>4.1926316041356362</v>
      </c>
      <c r="P107">
        <f t="shared" si="42"/>
        <v>3.7289854140221417</v>
      </c>
      <c r="Q107">
        <f t="shared" si="40"/>
        <v>4.0113006117334358</v>
      </c>
      <c r="R107">
        <f t="shared" si="43"/>
        <v>3.6878226128940903</v>
      </c>
      <c r="S107">
        <f t="shared" si="43"/>
        <v>3.9030849052445671</v>
      </c>
      <c r="T107">
        <f t="shared" si="24"/>
        <v>1.6501815620924729</v>
      </c>
      <c r="U107">
        <f t="shared" si="25"/>
        <v>-1.6501815620924729</v>
      </c>
      <c r="V107">
        <f t="shared" si="32"/>
        <v>4.097300679604718</v>
      </c>
      <c r="W107">
        <f t="shared" si="26"/>
        <v>-1.8443973364526238</v>
      </c>
      <c r="X107">
        <f t="shared" si="33"/>
        <v>4.2423761564004883</v>
      </c>
      <c r="Y107">
        <f t="shared" si="27"/>
        <v>-1.9894728132483941</v>
      </c>
      <c r="Z107">
        <f t="shared" si="34"/>
        <v>4.4532044614697437</v>
      </c>
      <c r="AA107">
        <f t="shared" si="28"/>
        <v>-2.2003011183176495</v>
      </c>
      <c r="AB107">
        <f t="shared" si="29"/>
        <v>-3.8398966568479063</v>
      </c>
      <c r="AC107">
        <f t="shared" si="30"/>
        <v>4.294006996856548</v>
      </c>
      <c r="AD107">
        <f t="shared" si="31"/>
        <v>-2.0411036537044538</v>
      </c>
    </row>
    <row r="108" spans="1:39">
      <c r="A108">
        <v>106</v>
      </c>
      <c r="B108">
        <v>4.4590784978235245</v>
      </c>
      <c r="C108">
        <f t="shared" si="35"/>
        <v>3.6300452216480275</v>
      </c>
      <c r="D108">
        <f t="shared" si="35"/>
        <v>4.9673335555758733</v>
      </c>
      <c r="E108">
        <f t="shared" si="36"/>
        <v>4.3050976410602786</v>
      </c>
      <c r="F108">
        <f t="shared" si="39"/>
        <v>4.1816662858655631</v>
      </c>
      <c r="G108">
        <f t="shared" si="39"/>
        <v>3.5624467715778914</v>
      </c>
      <c r="H108">
        <f t="shared" si="39"/>
        <v>3.5958967319354502</v>
      </c>
      <c r="I108">
        <f t="shared" si="22"/>
        <v>-0.86318176588807427</v>
      </c>
      <c r="J108">
        <f t="shared" si="37"/>
        <v>4.1167587713927016</v>
      </c>
      <c r="K108">
        <f t="shared" si="41"/>
        <v>3.8973152915753375</v>
      </c>
      <c r="L108">
        <f t="shared" si="41"/>
        <v>3.5750401450433795</v>
      </c>
      <c r="M108">
        <f t="shared" si="41"/>
        <v>3.7379308712128099</v>
      </c>
      <c r="N108">
        <f t="shared" si="23"/>
        <v>-0.72114762661071463</v>
      </c>
      <c r="O108">
        <f t="shared" si="38"/>
        <v>4.1852227166788669</v>
      </c>
      <c r="P108">
        <f t="shared" si="42"/>
        <v>3.9092805339208057</v>
      </c>
      <c r="Q108">
        <f t="shared" si="40"/>
        <v>3.7721816960283436</v>
      </c>
      <c r="R108">
        <f t="shared" si="43"/>
        <v>3.6826608117379425</v>
      </c>
      <c r="S108">
        <f t="shared" si="43"/>
        <v>3.8549065217309795</v>
      </c>
      <c r="T108">
        <f t="shared" si="24"/>
        <v>-0.60417197609254503</v>
      </c>
      <c r="U108">
        <f t="shared" si="25"/>
        <v>0.60417197609254503</v>
      </c>
      <c r="V108">
        <f t="shared" si="32"/>
        <v>3.9128609459594554</v>
      </c>
      <c r="W108">
        <f t="shared" si="26"/>
        <v>0.54621755186406906</v>
      </c>
      <c r="X108">
        <f t="shared" si="33"/>
        <v>3.8444815937508094</v>
      </c>
      <c r="Y108">
        <f t="shared" si="27"/>
        <v>0.61459690407271506</v>
      </c>
      <c r="Z108">
        <f t="shared" si="34"/>
        <v>3.7931141259744487</v>
      </c>
      <c r="AA108">
        <f t="shared" si="28"/>
        <v>0.66596437184907575</v>
      </c>
      <c r="AB108">
        <f t="shared" si="29"/>
        <v>-1.6392815021764759</v>
      </c>
      <c r="AC108">
        <f t="shared" si="30"/>
        <v>4.3006827367021767</v>
      </c>
      <c r="AD108">
        <f t="shared" si="31"/>
        <v>0.15839576112134779</v>
      </c>
    </row>
    <row r="109" spans="1:39">
      <c r="A109">
        <v>107</v>
      </c>
      <c r="B109">
        <v>5.0468545035059513</v>
      </c>
      <c r="C109">
        <f t="shared" si="35"/>
        <v>3.3559909204878093</v>
      </c>
      <c r="D109">
        <f t="shared" si="35"/>
        <v>4.4806200058311996</v>
      </c>
      <c r="E109">
        <f t="shared" si="36"/>
        <v>3.9063896470398602</v>
      </c>
      <c r="F109">
        <f t="shared" si="39"/>
        <v>4.5369435825535191</v>
      </c>
      <c r="G109">
        <f t="shared" si="39"/>
        <v>3.7353057682015005</v>
      </c>
      <c r="H109">
        <f t="shared" si="39"/>
        <v>3.609421408238378</v>
      </c>
      <c r="I109">
        <f t="shared" si="22"/>
        <v>-1.4374330952675733</v>
      </c>
      <c r="J109">
        <f t="shared" si="37"/>
        <v>4.3435928552510905</v>
      </c>
      <c r="K109">
        <f t="shared" si="41"/>
        <v>3.9972314741464232</v>
      </c>
      <c r="L109">
        <f t="shared" si="41"/>
        <v>3.6718865540207788</v>
      </c>
      <c r="M109">
        <f t="shared" si="41"/>
        <v>3.6307390147025278</v>
      </c>
      <c r="N109">
        <f t="shared" si="23"/>
        <v>-1.4161154888034235</v>
      </c>
      <c r="O109">
        <f t="shared" si="38"/>
        <v>4.484245184902063</v>
      </c>
      <c r="P109">
        <f t="shared" si="42"/>
        <v>3.9900077333668214</v>
      </c>
      <c r="Q109">
        <f t="shared" si="40"/>
        <v>4.2370394197502845</v>
      </c>
      <c r="R109">
        <f t="shared" si="43"/>
        <v>3.6831375840962099</v>
      </c>
      <c r="S109">
        <f t="shared" si="43"/>
        <v>3.7896775649726719</v>
      </c>
      <c r="T109">
        <f t="shared" si="24"/>
        <v>-1.2571769385332794</v>
      </c>
      <c r="U109">
        <f t="shared" si="25"/>
        <v>1.2571769385332794</v>
      </c>
      <c r="V109">
        <f t="shared" si="32"/>
        <v>3.9674827011458622</v>
      </c>
      <c r="W109">
        <f t="shared" si="26"/>
        <v>1.0793718023600891</v>
      </c>
      <c r="X109">
        <f t="shared" si="33"/>
        <v>3.9674009745653525</v>
      </c>
      <c r="Y109">
        <f t="shared" si="27"/>
        <v>1.0794535289405989</v>
      </c>
      <c r="Z109">
        <f t="shared" si="34"/>
        <v>3.9929034375291717</v>
      </c>
      <c r="AA109">
        <f t="shared" si="28"/>
        <v>1.0539510659767797</v>
      </c>
      <c r="AB109">
        <f t="shared" si="29"/>
        <v>-1.0570654964940491</v>
      </c>
      <c r="AC109">
        <f t="shared" si="30"/>
        <v>4.3082161837107815</v>
      </c>
      <c r="AD109">
        <f t="shared" si="31"/>
        <v>0.73863831979516981</v>
      </c>
    </row>
    <row r="110" spans="1:39">
      <c r="A110">
        <v>108</v>
      </c>
      <c r="B110">
        <v>5.1927636970393634</v>
      </c>
      <c r="C110">
        <f t="shared" si="35"/>
        <v>4.7529665006647379</v>
      </c>
      <c r="D110">
        <f t="shared" si="35"/>
        <v>3.4930180710679184</v>
      </c>
      <c r="E110">
        <f t="shared" si="36"/>
        <v>3.9196121148271899</v>
      </c>
      <c r="F110">
        <f t="shared" si="39"/>
        <v>4.3165104007465702</v>
      </c>
      <c r="G110">
        <f t="shared" si="39"/>
        <v>4.1385935397824074</v>
      </c>
      <c r="H110">
        <f t="shared" si="39"/>
        <v>3.6316445359827303</v>
      </c>
      <c r="I110">
        <f t="shared" si="22"/>
        <v>-1.5611191610566331</v>
      </c>
      <c r="J110">
        <f t="shared" si="37"/>
        <v>4.1915058611563829</v>
      </c>
      <c r="K110">
        <f t="shared" si="41"/>
        <v>4.2452913073109535</v>
      </c>
      <c r="L110">
        <f t="shared" si="41"/>
        <v>3.7787937138441499</v>
      </c>
      <c r="M110">
        <f t="shared" si="41"/>
        <v>3.6042315629333337</v>
      </c>
      <c r="N110">
        <f t="shared" si="23"/>
        <v>-1.5885321341060297</v>
      </c>
      <c r="O110">
        <f t="shared" si="38"/>
        <v>4.391757428332979</v>
      </c>
      <c r="P110">
        <f t="shared" si="42"/>
        <v>4.1500520372742979</v>
      </c>
      <c r="Q110">
        <f t="shared" si="40"/>
        <v>4.3288280144833804</v>
      </c>
      <c r="R110">
        <f t="shared" si="43"/>
        <v>3.8780563858259285</v>
      </c>
      <c r="S110">
        <f t="shared" si="43"/>
        <v>3.7268966230281806</v>
      </c>
      <c r="T110">
        <f t="shared" si="24"/>
        <v>-1.4658670740111828</v>
      </c>
      <c r="U110">
        <f t="shared" si="25"/>
        <v>1.4658670740111828</v>
      </c>
      <c r="V110">
        <f t="shared" si="32"/>
        <v>4.0754198813818707</v>
      </c>
      <c r="W110">
        <f t="shared" si="26"/>
        <v>1.1173438156574926</v>
      </c>
      <c r="X110">
        <f t="shared" si="33"/>
        <v>4.1832916803534719</v>
      </c>
      <c r="Y110">
        <f t="shared" si="27"/>
        <v>1.0094720166858915</v>
      </c>
      <c r="Z110">
        <f t="shared" si="34"/>
        <v>4.3090887573222059</v>
      </c>
      <c r="AA110">
        <f t="shared" si="28"/>
        <v>0.88367493971715749</v>
      </c>
      <c r="AB110">
        <f t="shared" si="29"/>
        <v>-0.91671630296063711</v>
      </c>
      <c r="AC110">
        <f t="shared" si="30"/>
        <v>4.316605453635141</v>
      </c>
      <c r="AD110">
        <f t="shared" si="31"/>
        <v>0.87615824340422233</v>
      </c>
    </row>
    <row r="111" spans="1:39">
      <c r="A111">
        <v>109</v>
      </c>
      <c r="B111">
        <v>4.0801545117092584</v>
      </c>
      <c r="C111">
        <f t="shared" si="35"/>
        <v>5.1198091002726578</v>
      </c>
      <c r="D111">
        <f t="shared" si="35"/>
        <v>4.0544787105762738</v>
      </c>
      <c r="E111">
        <f t="shared" si="36"/>
        <v>4.8995655661229458</v>
      </c>
      <c r="F111">
        <f t="shared" si="39"/>
        <v>4.0436998009757765</v>
      </c>
      <c r="G111">
        <f t="shared" si="39"/>
        <v>4.3450400897218842</v>
      </c>
      <c r="H111">
        <f t="shared" si="39"/>
        <v>3.8121153598539332</v>
      </c>
      <c r="I111">
        <f t="shared" si="22"/>
        <v>-0.26803915185532512</v>
      </c>
      <c r="J111">
        <f t="shared" si="37"/>
        <v>4.2379000103802333</v>
      </c>
      <c r="K111">
        <f t="shared" si="41"/>
        <v>4.3323552892954247</v>
      </c>
      <c r="L111">
        <f t="shared" si="41"/>
        <v>3.9421251534115513</v>
      </c>
      <c r="M111">
        <f t="shared" si="41"/>
        <v>3.6458457255092473</v>
      </c>
      <c r="N111">
        <f t="shared" si="23"/>
        <v>-0.43430878620001101</v>
      </c>
      <c r="O111">
        <f t="shared" si="38"/>
        <v>4.2063509106460391</v>
      </c>
      <c r="P111">
        <f t="shared" si="42"/>
        <v>4.2659788601306277</v>
      </c>
      <c r="Q111">
        <f t="shared" si="40"/>
        <v>4.6023316035916126</v>
      </c>
      <c r="R111">
        <f t="shared" si="43"/>
        <v>4.0175304171754105</v>
      </c>
      <c r="S111">
        <f t="shared" si="43"/>
        <v>3.7315809562301099</v>
      </c>
      <c r="T111">
        <f t="shared" si="24"/>
        <v>-0.34857355547914848</v>
      </c>
      <c r="U111">
        <f t="shared" si="25"/>
        <v>0.34857355547914848</v>
      </c>
      <c r="V111">
        <f t="shared" si="32"/>
        <v>4.1871542629476197</v>
      </c>
      <c r="W111">
        <f t="shared" si="26"/>
        <v>-0.10699975123836136</v>
      </c>
      <c r="X111">
        <f t="shared" si="33"/>
        <v>4.38518608369065</v>
      </c>
      <c r="Y111">
        <f t="shared" si="27"/>
        <v>-0.30503157198139164</v>
      </c>
      <c r="Z111">
        <f t="shared" si="34"/>
        <v>4.5741912392373534</v>
      </c>
      <c r="AA111">
        <f t="shared" si="28"/>
        <v>-0.49403672752809502</v>
      </c>
      <c r="AB111">
        <f t="shared" si="29"/>
        <v>-2.0348854882907421</v>
      </c>
      <c r="AC111">
        <f t="shared" si="30"/>
        <v>4.3258484245049544</v>
      </c>
      <c r="AD111">
        <f t="shared" si="31"/>
        <v>-0.24569391279569608</v>
      </c>
    </row>
    <row r="112" spans="1:39">
      <c r="A112">
        <v>110</v>
      </c>
      <c r="B112">
        <v>6.4792419866722852</v>
      </c>
      <c r="C112">
        <f t="shared" si="35"/>
        <v>4.6364591043743104</v>
      </c>
      <c r="D112">
        <f t="shared" si="35"/>
        <v>4.9363878004686974</v>
      </c>
      <c r="E112">
        <f t="shared" si="36"/>
        <v>4.7732575707515243</v>
      </c>
      <c r="F112">
        <f t="shared" si="39"/>
        <v>4.2418557759966653</v>
      </c>
      <c r="G112">
        <f t="shared" si="39"/>
        <v>4.299051261425288</v>
      </c>
      <c r="H112">
        <f t="shared" si="39"/>
        <v>4.0729797992352639</v>
      </c>
      <c r="I112">
        <f t="shared" si="22"/>
        <v>-2.4062621874370214</v>
      </c>
      <c r="J112">
        <f t="shared" si="37"/>
        <v>4.6947128025195237</v>
      </c>
      <c r="K112">
        <f t="shared" si="41"/>
        <v>4.2224393745451021</v>
      </c>
      <c r="L112">
        <f t="shared" si="41"/>
        <v>4.1180483405820345</v>
      </c>
      <c r="M112">
        <f t="shared" si="41"/>
        <v>3.7419613915799648</v>
      </c>
      <c r="N112">
        <f t="shared" si="23"/>
        <v>-2.7372805950923205</v>
      </c>
      <c r="O112">
        <f t="shared" si="38"/>
        <v>5.0516186393500764</v>
      </c>
      <c r="P112">
        <f t="shared" si="42"/>
        <v>4.2920415689391165</v>
      </c>
      <c r="Q112">
        <f t="shared" si="40"/>
        <v>4.3398236088956921</v>
      </c>
      <c r="R112">
        <f t="shared" si="43"/>
        <v>4.1607058022286258</v>
      </c>
      <c r="S112">
        <f t="shared" si="43"/>
        <v>3.7766265741532021</v>
      </c>
      <c r="T112">
        <f t="shared" si="24"/>
        <v>-2.7026154125190831</v>
      </c>
      <c r="U112">
        <f t="shared" si="25"/>
        <v>2.7026154125190831</v>
      </c>
      <c r="V112">
        <f t="shared" si="32"/>
        <v>4.176454287823784</v>
      </c>
      <c r="W112">
        <f t="shared" si="26"/>
        <v>2.3027876988485012</v>
      </c>
      <c r="X112">
        <f t="shared" si="33"/>
        <v>4.3241797692943713</v>
      </c>
      <c r="Y112">
        <f t="shared" si="27"/>
        <v>2.1550622173779139</v>
      </c>
      <c r="Z112">
        <f t="shared" si="34"/>
        <v>4.425980220978925</v>
      </c>
      <c r="AA112">
        <f t="shared" si="28"/>
        <v>2.0532617656933603</v>
      </c>
      <c r="AB112">
        <f t="shared" si="29"/>
        <v>0.35864198667228475</v>
      </c>
      <c r="AC112">
        <f t="shared" si="30"/>
        <v>4.3359427372162553</v>
      </c>
      <c r="AD112">
        <f t="shared" si="31"/>
        <v>2.1432992494560299</v>
      </c>
    </row>
    <row r="113" spans="1:39">
      <c r="A113">
        <v>111</v>
      </c>
      <c r="B113">
        <v>3.5966278318168277</v>
      </c>
      <c r="C113">
        <f t="shared" si="35"/>
        <v>5.2796982491907718</v>
      </c>
      <c r="D113">
        <f t="shared" si="35"/>
        <v>4.8781341023234841</v>
      </c>
      <c r="E113">
        <f t="shared" si="36"/>
        <v>5.2507200651403023</v>
      </c>
      <c r="F113">
        <f t="shared" si="39"/>
        <v>4.5308117505672199</v>
      </c>
      <c r="G113">
        <f t="shared" si="39"/>
        <v>4.2006886592396704</v>
      </c>
      <c r="H113">
        <f t="shared" si="39"/>
        <v>4.2608949636431932</v>
      </c>
      <c r="I113">
        <f t="shared" si="22"/>
        <v>0.66426713182636554</v>
      </c>
      <c r="J113">
        <f t="shared" si="37"/>
        <v>5.1997536747317152</v>
      </c>
      <c r="K113">
        <f t="shared" si="41"/>
        <v>4.3669278823268076</v>
      </c>
      <c r="L113">
        <f t="shared" si="41"/>
        <v>4.1993293613244758</v>
      </c>
      <c r="M113">
        <f t="shared" si="41"/>
        <v>3.8777134404646283</v>
      </c>
      <c r="N113">
        <f t="shared" si="23"/>
        <v>0.28108560864780063</v>
      </c>
      <c r="O113">
        <f t="shared" si="38"/>
        <v>4.8791285061487377</v>
      </c>
      <c r="P113">
        <f t="shared" si="42"/>
        <v>4.4638389759820045</v>
      </c>
      <c r="Q113">
        <f t="shared" si="40"/>
        <v>4.5851660899837468</v>
      </c>
      <c r="R113">
        <f t="shared" si="43"/>
        <v>4.2152508257471251</v>
      </c>
      <c r="S113">
        <f t="shared" si="43"/>
        <v>3.851652268993035</v>
      </c>
      <c r="T113">
        <f t="shared" si="24"/>
        <v>0.25502443717620737</v>
      </c>
      <c r="U113">
        <f t="shared" si="25"/>
        <v>-0.25502443717620737</v>
      </c>
      <c r="V113">
        <f t="shared" si="32"/>
        <v>4.4067330577086343</v>
      </c>
      <c r="W113">
        <f t="shared" si="26"/>
        <v>-0.81010522589180667</v>
      </c>
      <c r="X113">
        <f t="shared" si="33"/>
        <v>4.7551922127699537</v>
      </c>
      <c r="Y113">
        <f t="shared" si="27"/>
        <v>-1.1585643809531261</v>
      </c>
      <c r="Z113">
        <f t="shared" si="34"/>
        <v>5.0419587506869332</v>
      </c>
      <c r="AA113">
        <f t="shared" si="28"/>
        <v>-1.4453309188701056</v>
      </c>
      <c r="AB113">
        <f t="shared" si="29"/>
        <v>-2.5295321681831728</v>
      </c>
      <c r="AC113">
        <f t="shared" si="30"/>
        <v>4.3468857961867089</v>
      </c>
      <c r="AD113">
        <f t="shared" si="31"/>
        <v>-0.75025796436988124</v>
      </c>
    </row>
    <row r="114" spans="1:39">
      <c r="A114">
        <v>112</v>
      </c>
      <c r="B114">
        <v>5.1993494066206871</v>
      </c>
      <c r="C114">
        <f t="shared" si="35"/>
        <v>5.0379349092445569</v>
      </c>
      <c r="D114">
        <f t="shared" si="35"/>
        <v>4.9580786767825415</v>
      </c>
      <c r="E114">
        <f t="shared" si="36"/>
        <v>4.7186747767327901</v>
      </c>
      <c r="F114">
        <f t="shared" si="39"/>
        <v>4.9745144006715911</v>
      </c>
      <c r="G114">
        <f t="shared" si="39"/>
        <v>4.2721224425132212</v>
      </c>
      <c r="H114">
        <f t="shared" si="39"/>
        <v>4.2815933367956136</v>
      </c>
      <c r="I114">
        <f t="shared" si="22"/>
        <v>-0.91775606982507352</v>
      </c>
      <c r="J114">
        <f t="shared" si="37"/>
        <v>4.8371970068094337</v>
      </c>
      <c r="K114">
        <f t="shared" si="41"/>
        <v>4.5809680871969638</v>
      </c>
      <c r="L114">
        <f t="shared" si="41"/>
        <v>4.291753463369572</v>
      </c>
      <c r="M114">
        <f t="shared" si="41"/>
        <v>4.0095741422905533</v>
      </c>
      <c r="N114">
        <f t="shared" si="23"/>
        <v>-1.1897752643301338</v>
      </c>
      <c r="O114">
        <f t="shared" si="38"/>
        <v>4.9096274867716847</v>
      </c>
      <c r="P114">
        <f t="shared" si="42"/>
        <v>4.6026201338759787</v>
      </c>
      <c r="Q114">
        <f t="shared" si="40"/>
        <v>4.8091201714278684</v>
      </c>
      <c r="R114">
        <f t="shared" si="43"/>
        <v>4.3108950721221762</v>
      </c>
      <c r="S114">
        <f t="shared" si="43"/>
        <v>3.9395569711352074</v>
      </c>
      <c r="T114">
        <f t="shared" si="24"/>
        <v>-1.2597924354854797</v>
      </c>
      <c r="U114">
        <f t="shared" si="25"/>
        <v>1.2597924354854797</v>
      </c>
      <c r="V114">
        <f t="shared" si="32"/>
        <v>4.3257225351194535</v>
      </c>
      <c r="W114">
        <f t="shared" si="26"/>
        <v>0.87362687150123364</v>
      </c>
      <c r="X114">
        <f t="shared" si="33"/>
        <v>4.5234793365793289</v>
      </c>
      <c r="Y114">
        <f t="shared" si="27"/>
        <v>0.67587007004135824</v>
      </c>
      <c r="Z114">
        <f t="shared" si="34"/>
        <v>4.6083594750259014</v>
      </c>
      <c r="AA114">
        <f t="shared" si="28"/>
        <v>0.59098993159478574</v>
      </c>
      <c r="AB114">
        <f t="shared" si="29"/>
        <v>-0.93237059337931338</v>
      </c>
      <c r="AC114">
        <f t="shared" si="30"/>
        <v>4.3586747700765844</v>
      </c>
      <c r="AD114">
        <f t="shared" si="31"/>
        <v>0.84067463654410268</v>
      </c>
    </row>
    <row r="115" spans="1:39">
      <c r="A115">
        <v>113</v>
      </c>
      <c r="B115">
        <v>5.1681483610689618</v>
      </c>
      <c r="C115">
        <f t="shared" si="35"/>
        <v>4.3979886192187578</v>
      </c>
      <c r="D115">
        <f t="shared" si="35"/>
        <v>5.1588165792176639</v>
      </c>
      <c r="E115">
        <f t="shared" si="36"/>
        <v>5.0917397417032673</v>
      </c>
      <c r="F115">
        <f t="shared" si="39"/>
        <v>4.9142174708748723</v>
      </c>
      <c r="G115">
        <f t="shared" si="39"/>
        <v>4.5823939757451591</v>
      </c>
      <c r="H115">
        <f t="shared" si="39"/>
        <v>4.2572874543927268</v>
      </c>
      <c r="I115">
        <f t="shared" si="22"/>
        <v>-0.91086090667623498</v>
      </c>
      <c r="J115">
        <f t="shared" si="37"/>
        <v>4.8388434342047644</v>
      </c>
      <c r="K115">
        <f t="shared" si="41"/>
        <v>4.7423908736102263</v>
      </c>
      <c r="L115">
        <f t="shared" si="41"/>
        <v>4.3756726583410748</v>
      </c>
      <c r="M115">
        <f t="shared" si="41"/>
        <v>4.1378140796719087</v>
      </c>
      <c r="N115">
        <f t="shared" si="23"/>
        <v>-1.0303342813970531</v>
      </c>
      <c r="O115">
        <f t="shared" si="38"/>
        <v>4.9047044195776035</v>
      </c>
      <c r="P115">
        <f t="shared" si="42"/>
        <v>4.6876965942499025</v>
      </c>
      <c r="Q115">
        <f t="shared" si="40"/>
        <v>4.9324986562273958</v>
      </c>
      <c r="R115">
        <f t="shared" si="43"/>
        <v>4.4837181513554309</v>
      </c>
      <c r="S115">
        <f t="shared" si="43"/>
        <v>4.0442626811992453</v>
      </c>
      <c r="T115">
        <f t="shared" si="24"/>
        <v>-1.1238856798697165</v>
      </c>
      <c r="U115">
        <f t="shared" si="25"/>
        <v>1.1238856798697165</v>
      </c>
      <c r="V115">
        <f t="shared" si="32"/>
        <v>4.4130852222695767</v>
      </c>
      <c r="W115">
        <f t="shared" si="26"/>
        <v>0.75506313879938514</v>
      </c>
      <c r="X115">
        <f t="shared" si="33"/>
        <v>4.6586533505876009</v>
      </c>
      <c r="Y115">
        <f t="shared" si="27"/>
        <v>0.50949501048136092</v>
      </c>
      <c r="Z115">
        <f t="shared" si="34"/>
        <v>4.7856564545043367</v>
      </c>
      <c r="AA115">
        <f t="shared" si="28"/>
        <v>0.38249190656462506</v>
      </c>
      <c r="AB115">
        <f t="shared" si="29"/>
        <v>-0.96913163893103871</v>
      </c>
      <c r="AC115">
        <f t="shared" si="30"/>
        <v>4.3713065925752286</v>
      </c>
      <c r="AD115">
        <f t="shared" si="31"/>
        <v>0.79684176849373323</v>
      </c>
    </row>
    <row r="116" spans="1:39">
      <c r="A116">
        <v>114</v>
      </c>
      <c r="B116">
        <v>6.3516900797119735</v>
      </c>
      <c r="C116">
        <f t="shared" si="35"/>
        <v>5.1837488838448245</v>
      </c>
      <c r="D116">
        <f t="shared" si="35"/>
        <v>4.7179617642316574</v>
      </c>
      <c r="E116">
        <f t="shared" si="36"/>
        <v>4.6547085331688258</v>
      </c>
      <c r="F116">
        <f t="shared" si="39"/>
        <v>5.0203781945254535</v>
      </c>
      <c r="G116">
        <f t="shared" si="39"/>
        <v>4.8065145407045611</v>
      </c>
      <c r="H116">
        <f t="shared" si="39"/>
        <v>4.3517350258326841</v>
      </c>
      <c r="I116">
        <f t="shared" si="22"/>
        <v>-1.9999550538792894</v>
      </c>
      <c r="J116">
        <f t="shared" si="37"/>
        <v>5.1108418965446907</v>
      </c>
      <c r="K116">
        <f t="shared" si="41"/>
        <v>4.8926267295663592</v>
      </c>
      <c r="L116">
        <f t="shared" si="41"/>
        <v>4.4781815544197752</v>
      </c>
      <c r="M116">
        <f t="shared" si="41"/>
        <v>4.246200955904289</v>
      </c>
      <c r="N116">
        <f t="shared" si="23"/>
        <v>-2.1054891238076845</v>
      </c>
      <c r="O116">
        <f t="shared" si="38"/>
        <v>5.3590115331781476</v>
      </c>
      <c r="P116">
        <f t="shared" si="42"/>
        <v>4.7902859924988288</v>
      </c>
      <c r="Q116">
        <f t="shared" si="40"/>
        <v>4.9527142991545636</v>
      </c>
      <c r="R116">
        <f t="shared" si="43"/>
        <v>4.5996280241016159</v>
      </c>
      <c r="S116">
        <f t="shared" si="43"/>
        <v>4.1776927757424493</v>
      </c>
      <c r="T116">
        <f t="shared" si="24"/>
        <v>-2.1739973039695242</v>
      </c>
      <c r="U116">
        <f t="shared" si="25"/>
        <v>2.1739973039695242</v>
      </c>
      <c r="V116">
        <f t="shared" si="32"/>
        <v>4.4885915361495154</v>
      </c>
      <c r="W116">
        <f t="shared" si="26"/>
        <v>1.8630985435624581</v>
      </c>
      <c r="X116">
        <f t="shared" si="33"/>
        <v>4.7605523526838729</v>
      </c>
      <c r="Y116">
        <f t="shared" si="27"/>
        <v>1.5911377270281006</v>
      </c>
      <c r="Z116">
        <f t="shared" si="34"/>
        <v>4.9004040264737245</v>
      </c>
      <c r="AA116">
        <f t="shared" si="28"/>
        <v>1.451286053238249</v>
      </c>
      <c r="AB116">
        <f t="shared" si="29"/>
        <v>0.208850079711973</v>
      </c>
      <c r="AC116">
        <f t="shared" si="30"/>
        <v>4.384777963252791</v>
      </c>
      <c r="AD116">
        <f t="shared" si="31"/>
        <v>1.9669121164591825</v>
      </c>
    </row>
    <row r="117" spans="1:39">
      <c r="A117">
        <v>115</v>
      </c>
      <c r="B117">
        <v>2.6529714004987803</v>
      </c>
      <c r="C117">
        <f t="shared" si="35"/>
        <v>5.7599192203904677</v>
      </c>
      <c r="D117">
        <f t="shared" si="35"/>
        <v>4.7908687515317911</v>
      </c>
      <c r="E117">
        <f t="shared" si="36"/>
        <v>5.5730626158005405</v>
      </c>
      <c r="F117">
        <f t="shared" si="39"/>
        <v>4.8217076838682944</v>
      </c>
      <c r="G117">
        <f t="shared" si="39"/>
        <v>4.9697033553573062</v>
      </c>
      <c r="H117">
        <f t="shared" si="39"/>
        <v>4.5536769863209807</v>
      </c>
      <c r="I117">
        <f t="shared" si="22"/>
        <v>1.9007055858222004</v>
      </c>
      <c r="J117">
        <f t="shared" si="37"/>
        <v>5.0789539198046132</v>
      </c>
      <c r="K117">
        <f t="shared" si="41"/>
        <v>4.9966590030726517</v>
      </c>
      <c r="L117">
        <f t="shared" si="41"/>
        <v>4.645728393175089</v>
      </c>
      <c r="M117">
        <f t="shared" si="41"/>
        <v>4.3362342593637244</v>
      </c>
      <c r="N117">
        <f t="shared" si="23"/>
        <v>1.6832628588649441</v>
      </c>
      <c r="O117">
        <f t="shared" si="38"/>
        <v>4.5937574159434469</v>
      </c>
      <c r="P117">
        <f t="shared" si="42"/>
        <v>5.0208181170052502</v>
      </c>
      <c r="Q117">
        <f t="shared" si="40"/>
        <v>5.1458686962666649</v>
      </c>
      <c r="R117">
        <f t="shared" si="43"/>
        <v>4.7036090715468131</v>
      </c>
      <c r="S117">
        <f t="shared" si="43"/>
        <v>4.2979547154550639</v>
      </c>
      <c r="T117">
        <f t="shared" si="24"/>
        <v>1.6449833149562836</v>
      </c>
      <c r="U117">
        <f t="shared" si="25"/>
        <v>-1.6449833149562836</v>
      </c>
      <c r="V117">
        <f t="shared" si="32"/>
        <v>4.6749013905057613</v>
      </c>
      <c r="W117">
        <f t="shared" si="26"/>
        <v>-2.0219299900069809</v>
      </c>
      <c r="X117">
        <f t="shared" si="33"/>
        <v>5.0787798980894934</v>
      </c>
      <c r="Y117">
        <f t="shared" si="27"/>
        <v>-2.425808497590713</v>
      </c>
      <c r="Z117">
        <f t="shared" si="34"/>
        <v>5.335789842445199</v>
      </c>
      <c r="AA117">
        <f t="shared" si="28"/>
        <v>-2.6828184419464187</v>
      </c>
      <c r="AB117">
        <f t="shared" si="29"/>
        <v>-3.4954285995012202</v>
      </c>
      <c r="AC117">
        <f t="shared" si="30"/>
        <v>4.3990853484769925</v>
      </c>
      <c r="AD117">
        <f t="shared" si="31"/>
        <v>-1.7461139479782122</v>
      </c>
    </row>
    <row r="118" spans="1:39">
      <c r="A118">
        <v>116</v>
      </c>
      <c r="B118">
        <v>4.9140980861247092</v>
      </c>
      <c r="C118">
        <f t="shared" si="35"/>
        <v>4.5023307401053767</v>
      </c>
      <c r="D118">
        <f t="shared" si="35"/>
        <v>5.4718340521176465</v>
      </c>
      <c r="E118">
        <f t="shared" si="36"/>
        <v>4.7242699470932381</v>
      </c>
      <c r="F118">
        <f t="shared" si="39"/>
        <v>5.1065036302242115</v>
      </c>
      <c r="G118">
        <f t="shared" si="39"/>
        <v>4.9187677830895398</v>
      </c>
      <c r="H118">
        <f t="shared" si="39"/>
        <v>4.7862039572690094</v>
      </c>
      <c r="I118">
        <f t="shared" si="22"/>
        <v>-0.12789412885569984</v>
      </c>
      <c r="J118">
        <f t="shared" si="37"/>
        <v>4.8430398119751006</v>
      </c>
      <c r="K118">
        <f t="shared" si="41"/>
        <v>4.9664590643408761</v>
      </c>
      <c r="L118">
        <f t="shared" si="41"/>
        <v>4.8031611733615502</v>
      </c>
      <c r="M118">
        <f t="shared" si="41"/>
        <v>4.447834017326378</v>
      </c>
      <c r="N118">
        <f t="shared" si="23"/>
        <v>-0.46626406879833127</v>
      </c>
      <c r="O118">
        <f t="shared" si="38"/>
        <v>4.8572514668050228</v>
      </c>
      <c r="P118">
        <f t="shared" si="42"/>
        <v>4.9292458723239241</v>
      </c>
      <c r="Q118">
        <f t="shared" si="40"/>
        <v>4.9080048443982536</v>
      </c>
      <c r="R118">
        <f t="shared" si="43"/>
        <v>4.7941985869926551</v>
      </c>
      <c r="S118">
        <f t="shared" si="43"/>
        <v>4.4123011578502975</v>
      </c>
      <c r="T118">
        <f t="shared" si="24"/>
        <v>-0.50179692827441169</v>
      </c>
      <c r="U118">
        <f t="shared" si="25"/>
        <v>0.50179692827441169</v>
      </c>
      <c r="V118">
        <f t="shared" si="32"/>
        <v>4.4727083915050629</v>
      </c>
      <c r="W118">
        <f t="shared" si="26"/>
        <v>0.44138969461964628</v>
      </c>
      <c r="X118">
        <f t="shared" si="33"/>
        <v>4.5936181985713507</v>
      </c>
      <c r="Y118">
        <f t="shared" si="27"/>
        <v>0.32047988755335854</v>
      </c>
      <c r="Z118">
        <f t="shared" si="34"/>
        <v>4.5309443098612734</v>
      </c>
      <c r="AA118">
        <f t="shared" si="28"/>
        <v>0.38315377626343583</v>
      </c>
      <c r="AB118">
        <f t="shared" si="29"/>
        <v>-1.2398619138752913</v>
      </c>
      <c r="AC118">
        <f t="shared" si="30"/>
        <v>4.414224982394666</v>
      </c>
      <c r="AD118">
        <f t="shared" si="31"/>
        <v>0.49987310373004323</v>
      </c>
    </row>
    <row r="119" spans="1:39">
      <c r="A119">
        <v>117</v>
      </c>
      <c r="B119">
        <v>4.954942193476283</v>
      </c>
      <c r="C119">
        <f t="shared" si="35"/>
        <v>3.783534743311745</v>
      </c>
      <c r="D119">
        <f t="shared" si="35"/>
        <v>5.1311249802479217</v>
      </c>
      <c r="E119">
        <f t="shared" si="36"/>
        <v>4.6395865221118209</v>
      </c>
      <c r="F119">
        <f t="shared" si="39"/>
        <v>4.9840136986875345</v>
      </c>
      <c r="G119">
        <f t="shared" si="39"/>
        <v>4.9828631695393204</v>
      </c>
      <c r="H119">
        <f t="shared" si="39"/>
        <v>4.898328559717136</v>
      </c>
      <c r="I119">
        <f t="shared" si="22"/>
        <v>-5.6613633759146964E-2</v>
      </c>
      <c r="J119">
        <f t="shared" si="37"/>
        <v>4.7717269818511063</v>
      </c>
      <c r="K119">
        <f t="shared" si="41"/>
        <v>4.967919765632292</v>
      </c>
      <c r="L119">
        <f t="shared" si="41"/>
        <v>4.8995339176475277</v>
      </c>
      <c r="M119">
        <f t="shared" si="41"/>
        <v>4.5756859448243725</v>
      </c>
      <c r="N119">
        <f t="shared" si="23"/>
        <v>-0.37925624865191043</v>
      </c>
      <c r="O119">
        <f t="shared" si="38"/>
        <v>4.808370024176142</v>
      </c>
      <c r="P119">
        <f t="shared" si="42"/>
        <v>4.9248704644551804</v>
      </c>
      <c r="Q119">
        <f t="shared" si="40"/>
        <v>4.6471475276403238</v>
      </c>
      <c r="R119">
        <f t="shared" si="43"/>
        <v>4.8888954595764149</v>
      </c>
      <c r="S119">
        <f t="shared" si="43"/>
        <v>4.5178832886443034</v>
      </c>
      <c r="T119">
        <f t="shared" si="24"/>
        <v>-0.43705890483197951</v>
      </c>
      <c r="U119">
        <f t="shared" si="25"/>
        <v>0.43705890483197951</v>
      </c>
      <c r="V119">
        <f t="shared" si="32"/>
        <v>4.5168473609670272</v>
      </c>
      <c r="W119">
        <f t="shared" si="26"/>
        <v>0.43809483250925574</v>
      </c>
      <c r="X119">
        <f t="shared" si="33"/>
        <v>4.6577141760820222</v>
      </c>
      <c r="Y119">
        <f t="shared" si="27"/>
        <v>0.29722801739426075</v>
      </c>
      <c r="Z119">
        <f t="shared" si="34"/>
        <v>4.6458904427403045</v>
      </c>
      <c r="AA119">
        <f t="shared" si="28"/>
        <v>0.30905175073597846</v>
      </c>
      <c r="AB119">
        <f t="shared" si="29"/>
        <v>-1.2045778065237176</v>
      </c>
      <c r="AC119">
        <f t="shared" si="30"/>
        <v>4.430192867977806</v>
      </c>
      <c r="AD119">
        <f t="shared" si="31"/>
        <v>0.52474932549847697</v>
      </c>
      <c r="AM119" t="s">
        <v>145</v>
      </c>
    </row>
    <row r="120" spans="1:39">
      <c r="A120">
        <v>118</v>
      </c>
      <c r="B120">
        <v>4.402057223037982</v>
      </c>
      <c r="C120">
        <f t="shared" si="35"/>
        <v>4.9345201398004956</v>
      </c>
      <c r="D120">
        <f t="shared" si="35"/>
        <v>4.1429327417085613</v>
      </c>
      <c r="E120">
        <f t="shared" si="36"/>
        <v>4.1740038933665913</v>
      </c>
      <c r="F120">
        <f t="shared" si="39"/>
        <v>4.9789730283351998</v>
      </c>
      <c r="G120">
        <f t="shared" si="39"/>
        <v>4.9707416709266807</v>
      </c>
      <c r="H120">
        <f t="shared" si="39"/>
        <v>4.9571114359953894</v>
      </c>
      <c r="I120">
        <f t="shared" si="22"/>
        <v>0.55505421295740742</v>
      </c>
      <c r="J120">
        <f t="shared" si="37"/>
        <v>4.7184254399529362</v>
      </c>
      <c r="K120">
        <f t="shared" si="41"/>
        <v>4.9511406525438773</v>
      </c>
      <c r="L120">
        <f t="shared" si="41"/>
        <v>4.955916140653045</v>
      </c>
      <c r="M120">
        <f t="shared" si="41"/>
        <v>4.706651259650986</v>
      </c>
      <c r="N120">
        <f t="shared" si="23"/>
        <v>0.30459403661300399</v>
      </c>
      <c r="O120">
        <f t="shared" si="38"/>
        <v>4.6551517965699452</v>
      </c>
      <c r="P120">
        <f t="shared" si="42"/>
        <v>4.9046189719360722</v>
      </c>
      <c r="Q120">
        <f t="shared" si="40"/>
        <v>4.8735332545835659</v>
      </c>
      <c r="R120">
        <f t="shared" si="43"/>
        <v>4.8992256991858447</v>
      </c>
      <c r="S120">
        <f t="shared" si="43"/>
        <v>4.6301573942825183</v>
      </c>
      <c r="T120">
        <f t="shared" si="24"/>
        <v>0.2281001712445363</v>
      </c>
      <c r="U120">
        <f t="shared" si="25"/>
        <v>-0.2281001712445363</v>
      </c>
      <c r="V120">
        <f t="shared" si="32"/>
        <v>4.5606568442179531</v>
      </c>
      <c r="W120">
        <f t="shared" si="26"/>
        <v>-0.15859962117997117</v>
      </c>
      <c r="X120">
        <f t="shared" si="33"/>
        <v>4.7171597795608742</v>
      </c>
      <c r="Y120">
        <f t="shared" si="27"/>
        <v>-0.31510255652289221</v>
      </c>
      <c r="Z120">
        <f t="shared" si="34"/>
        <v>4.7386059679610977</v>
      </c>
      <c r="AA120">
        <f t="shared" si="28"/>
        <v>-0.33654874492311571</v>
      </c>
      <c r="AB120">
        <f t="shared" si="29"/>
        <v>-1.7630227769620186</v>
      </c>
      <c r="AC120">
        <f t="shared" si="30"/>
        <v>4.446984778133821</v>
      </c>
      <c r="AD120">
        <f t="shared" si="31"/>
        <v>-4.4927555095839011E-2</v>
      </c>
    </row>
    <row r="121" spans="1:39">
      <c r="A121">
        <v>119</v>
      </c>
      <c r="B121">
        <v>4.2759762121707574</v>
      </c>
      <c r="C121">
        <f t="shared" si="35"/>
        <v>4.6784997082571325</v>
      </c>
      <c r="D121">
        <f t="shared" si="35"/>
        <v>4.3590274415561208</v>
      </c>
      <c r="E121">
        <f t="shared" si="36"/>
        <v>4.7570325008796575</v>
      </c>
      <c r="F121">
        <f t="shared" si="39"/>
        <v>4.5126201208572168</v>
      </c>
      <c r="G121">
        <f t="shared" si="39"/>
        <v>5.0231634524156483</v>
      </c>
      <c r="H121">
        <f t="shared" si="39"/>
        <v>4.9574575411851809</v>
      </c>
      <c r="I121">
        <f t="shared" si="22"/>
        <v>0.68148132901442349</v>
      </c>
      <c r="J121">
        <f t="shared" si="37"/>
        <v>4.2310172257844387</v>
      </c>
      <c r="K121">
        <f t="shared" si="41"/>
        <v>4.8530365383959388</v>
      </c>
      <c r="L121">
        <f t="shared" si="41"/>
        <v>4.9705446213974245</v>
      </c>
      <c r="M121">
        <f t="shared" si="41"/>
        <v>4.826084906209303</v>
      </c>
      <c r="N121">
        <f t="shared" si="23"/>
        <v>0.55010869403854556</v>
      </c>
      <c r="O121">
        <f t="shared" si="38"/>
        <v>4.2400090230617025</v>
      </c>
      <c r="P121">
        <f t="shared" si="42"/>
        <v>4.8547084473345405</v>
      </c>
      <c r="Q121">
        <f t="shared" si="40"/>
        <v>4.7406512239864487</v>
      </c>
      <c r="R121">
        <f t="shared" si="43"/>
        <v>4.9099612130451282</v>
      </c>
      <c r="S121">
        <f t="shared" si="43"/>
        <v>4.7282124987931295</v>
      </c>
      <c r="T121">
        <f t="shared" si="24"/>
        <v>0.45223628662237214</v>
      </c>
      <c r="U121">
        <f t="shared" si="25"/>
        <v>-0.45223628662237214</v>
      </c>
      <c r="V121">
        <f t="shared" si="32"/>
        <v>4.5447968820999556</v>
      </c>
      <c r="W121">
        <f t="shared" si="26"/>
        <v>-0.26882066992919817</v>
      </c>
      <c r="X121">
        <f t="shared" si="33"/>
        <v>4.6541392682562961</v>
      </c>
      <c r="Y121">
        <f t="shared" si="27"/>
        <v>-0.37816305608553868</v>
      </c>
      <c r="Z121">
        <f t="shared" si="34"/>
        <v>4.6376413444841633</v>
      </c>
      <c r="AA121">
        <f t="shared" si="28"/>
        <v>-0.36166513231340591</v>
      </c>
      <c r="AB121">
        <f t="shared" si="29"/>
        <v>-1.8946637878292432</v>
      </c>
      <c r="AC121">
        <f t="shared" si="30"/>
        <v>4.4645962568797071</v>
      </c>
      <c r="AD121">
        <f t="shared" si="31"/>
        <v>-0.18862004470894966</v>
      </c>
    </row>
    <row r="122" spans="1:39">
      <c r="A122">
        <v>120</v>
      </c>
      <c r="B122">
        <v>2.2894279380570222</v>
      </c>
      <c r="C122">
        <f t="shared" si="35"/>
        <v>4.3390167176043697</v>
      </c>
      <c r="D122">
        <f t="shared" si="35"/>
        <v>4.8065099240288145</v>
      </c>
      <c r="E122">
        <f t="shared" si="36"/>
        <v>4.5443252095616744</v>
      </c>
      <c r="F122">
        <f t="shared" si="39"/>
        <v>4.5235409721193562</v>
      </c>
      <c r="G122">
        <f t="shared" si="39"/>
        <v>4.825202282626651</v>
      </c>
      <c r="H122">
        <f t="shared" si="39"/>
        <v>4.9922560976272168</v>
      </c>
      <c r="I122">
        <f t="shared" si="22"/>
        <v>2.7028281595701946</v>
      </c>
      <c r="J122">
        <f t="shared" si="37"/>
        <v>4.6367684287024327</v>
      </c>
      <c r="K122">
        <f t="shared" si="41"/>
        <v>4.6410523648908955</v>
      </c>
      <c r="L122">
        <f t="shared" si="41"/>
        <v>4.9346390052282461</v>
      </c>
      <c r="M122">
        <f t="shared" si="41"/>
        <v>4.9072889632648868</v>
      </c>
      <c r="N122">
        <f t="shared" si="23"/>
        <v>2.6178610252078647</v>
      </c>
      <c r="O122">
        <f t="shared" si="38"/>
        <v>4.16730033057335</v>
      </c>
      <c r="P122">
        <f t="shared" si="42"/>
        <v>4.630907945311252</v>
      </c>
      <c r="Q122">
        <f t="shared" si="40"/>
        <v>4.5919558658367476</v>
      </c>
      <c r="R122">
        <f t="shared" si="43"/>
        <v>4.8779866410049699</v>
      </c>
      <c r="S122">
        <f t="shared" si="43"/>
        <v>4.7992530090747456</v>
      </c>
      <c r="T122">
        <f t="shared" si="24"/>
        <v>2.5098250710177235</v>
      </c>
      <c r="U122">
        <f t="shared" si="25"/>
        <v>-2.5098250710177235</v>
      </c>
      <c r="V122">
        <f t="shared" si="32"/>
        <v>4.5179148151070354</v>
      </c>
      <c r="W122">
        <f t="shared" si="26"/>
        <v>-2.2284868770500132</v>
      </c>
      <c r="X122">
        <f t="shared" si="33"/>
        <v>4.5785066570391884</v>
      </c>
      <c r="Y122">
        <f t="shared" si="27"/>
        <v>-2.2890787189821662</v>
      </c>
      <c r="Z122">
        <f t="shared" si="34"/>
        <v>4.5291418047901413</v>
      </c>
      <c r="AA122">
        <f t="shared" si="28"/>
        <v>-2.2397138667331191</v>
      </c>
      <c r="AB122">
        <f t="shared" si="29"/>
        <v>-3.8867720619429784</v>
      </c>
      <c r="AC122">
        <f t="shared" si="30"/>
        <v>4.4830226205797867</v>
      </c>
      <c r="AD122">
        <f t="shared" si="31"/>
        <v>-2.1935946825227646</v>
      </c>
    </row>
    <row r="123" spans="1:39">
      <c r="A123">
        <v>121</v>
      </c>
      <c r="B123">
        <v>5.5466295617724466</v>
      </c>
      <c r="C123">
        <f t="shared" si="35"/>
        <v>3.2827020751138898</v>
      </c>
      <c r="D123">
        <f t="shared" si="35"/>
        <v>4.5087582129307506</v>
      </c>
      <c r="E123">
        <f t="shared" si="36"/>
        <v>3.655820457755254</v>
      </c>
      <c r="F123">
        <f t="shared" si="39"/>
        <v>4.4917872012693074</v>
      </c>
      <c r="G123">
        <f t="shared" si="39"/>
        <v>4.6717113737705906</v>
      </c>
      <c r="H123">
        <f t="shared" si="39"/>
        <v>4.9397024686563276</v>
      </c>
      <c r="I123">
        <f t="shared" si="22"/>
        <v>-0.60692709311611903</v>
      </c>
      <c r="J123">
        <f t="shared" si="37"/>
        <v>3.9806008916855111</v>
      </c>
      <c r="K123">
        <f t="shared" si="41"/>
        <v>4.5894845190727285</v>
      </c>
      <c r="L123">
        <f t="shared" si="41"/>
        <v>4.8532873303657507</v>
      </c>
      <c r="M123">
        <f t="shared" si="41"/>
        <v>4.940158421231561</v>
      </c>
      <c r="N123">
        <f t="shared" si="23"/>
        <v>-0.60647114054088558</v>
      </c>
      <c r="O123">
        <f t="shared" si="38"/>
        <v>4.2938066257028975</v>
      </c>
      <c r="P123">
        <f t="shared" si="42"/>
        <v>4.5456165282372325</v>
      </c>
      <c r="Q123">
        <f t="shared" si="40"/>
        <v>3.9149121755609229</v>
      </c>
      <c r="R123">
        <f t="shared" si="43"/>
        <v>4.8178602354520006</v>
      </c>
      <c r="S123">
        <f t="shared" si="43"/>
        <v>4.8456461118919707</v>
      </c>
      <c r="T123">
        <f t="shared" si="24"/>
        <v>-0.7009834498804759</v>
      </c>
      <c r="U123">
        <f t="shared" si="25"/>
        <v>0.7009834498804759</v>
      </c>
      <c r="V123">
        <f t="shared" si="32"/>
        <v>4.2950661274020341</v>
      </c>
      <c r="W123">
        <f t="shared" si="26"/>
        <v>1.2515634343704125</v>
      </c>
      <c r="X123">
        <f t="shared" si="33"/>
        <v>4.1206909132427549</v>
      </c>
      <c r="Y123">
        <f t="shared" si="27"/>
        <v>1.4259386485296917</v>
      </c>
      <c r="Z123">
        <f t="shared" si="34"/>
        <v>3.8572276447702056</v>
      </c>
      <c r="AA123">
        <f t="shared" si="28"/>
        <v>1.689401917002241</v>
      </c>
      <c r="AB123">
        <f t="shared" si="29"/>
        <v>-0.635130438227554</v>
      </c>
      <c r="AC123">
        <f t="shared" si="30"/>
        <v>4.5022589592466913</v>
      </c>
      <c r="AD123">
        <f t="shared" si="31"/>
        <v>1.0443706025257553</v>
      </c>
    </row>
    <row r="124" spans="1:39">
      <c r="A124">
        <v>122</v>
      </c>
      <c r="B124">
        <v>3.8799725875960789</v>
      </c>
      <c r="C124">
        <f t="shared" si="35"/>
        <v>3.9180287499147344</v>
      </c>
      <c r="D124">
        <f t="shared" si="35"/>
        <v>3.8108593963591297</v>
      </c>
      <c r="E124">
        <f t="shared" si="36"/>
        <v>4.0373445706667423</v>
      </c>
      <c r="F124">
        <f t="shared" si="39"/>
        <v>4.3190593893988618</v>
      </c>
      <c r="G124">
        <f t="shared" si="39"/>
        <v>4.5093160980819604</v>
      </c>
      <c r="H124">
        <f t="shared" si="39"/>
        <v>4.8400257029376306</v>
      </c>
      <c r="I124">
        <f t="shared" si="22"/>
        <v>0.96005311534155169</v>
      </c>
      <c r="J124">
        <f t="shared" si="37"/>
        <v>4.128522733759552</v>
      </c>
      <c r="K124">
        <f t="shared" si="41"/>
        <v>4.3917029965313299</v>
      </c>
      <c r="L124">
        <f t="shared" si="41"/>
        <v>4.7586785187258602</v>
      </c>
      <c r="M124">
        <f t="shared" si="41"/>
        <v>4.9285967744111172</v>
      </c>
      <c r="N124">
        <f t="shared" si="23"/>
        <v>1.0486241868150383</v>
      </c>
      <c r="O124">
        <f t="shared" si="38"/>
        <v>4.0788127045268574</v>
      </c>
      <c r="P124">
        <f t="shared" si="42"/>
        <v>4.4329275600168074</v>
      </c>
      <c r="Q124">
        <f t="shared" si="40"/>
        <v>4.3971885357731999</v>
      </c>
      <c r="R124">
        <f t="shared" si="43"/>
        <v>4.6127008153343771</v>
      </c>
      <c r="S124">
        <f t="shared" si="43"/>
        <v>4.8646879725428356</v>
      </c>
      <c r="T124">
        <f t="shared" si="24"/>
        <v>0.9847153849467567</v>
      </c>
      <c r="U124">
        <f t="shared" si="25"/>
        <v>-0.9847153849467567</v>
      </c>
      <c r="V124">
        <f t="shared" si="32"/>
        <v>4.4202224708390752</v>
      </c>
      <c r="W124">
        <f t="shared" si="26"/>
        <v>-0.54024988324299628</v>
      </c>
      <c r="X124">
        <f t="shared" si="33"/>
        <v>4.4058786429486929</v>
      </c>
      <c r="Y124">
        <f t="shared" si="27"/>
        <v>-0.52590605535261403</v>
      </c>
      <c r="Z124">
        <f t="shared" si="34"/>
        <v>4.3640482198708774</v>
      </c>
      <c r="AA124">
        <f t="shared" si="28"/>
        <v>-0.48407563227479855</v>
      </c>
      <c r="AB124">
        <f t="shared" si="29"/>
        <v>-2.3073474124039217</v>
      </c>
      <c r="AC124">
        <f t="shared" si="30"/>
        <v>4.5223001379052139</v>
      </c>
      <c r="AD124">
        <f t="shared" si="31"/>
        <v>-0.64232755030913502</v>
      </c>
    </row>
    <row r="125" spans="1:39">
      <c r="A125">
        <v>123</v>
      </c>
      <c r="B125">
        <v>2.5980323786019577</v>
      </c>
      <c r="C125">
        <f t="shared" si="35"/>
        <v>4.7133010746842627</v>
      </c>
      <c r="D125">
        <f t="shared" si="35"/>
        <v>3.6003654125143121</v>
      </c>
      <c r="E125">
        <f t="shared" si="36"/>
        <v>3.9053433624751825</v>
      </c>
      <c r="F125">
        <f t="shared" si="39"/>
        <v>4.0791634126612237</v>
      </c>
      <c r="G125">
        <f t="shared" si="39"/>
        <v>4.4447958542625088</v>
      </c>
      <c r="H125">
        <f t="shared" si="39"/>
        <v>4.6687432514930673</v>
      </c>
      <c r="I125">
        <f t="shared" si="22"/>
        <v>2.0707108728911097</v>
      </c>
      <c r="J125">
        <f t="shared" si="37"/>
        <v>3.9980015748990763</v>
      </c>
      <c r="K125">
        <f t="shared" si="41"/>
        <v>4.2442273199829836</v>
      </c>
      <c r="L125">
        <f t="shared" si="41"/>
        <v>4.6188191047227232</v>
      </c>
      <c r="M125">
        <f t="shared" si="41"/>
        <v>4.8792873689293206</v>
      </c>
      <c r="N125">
        <f t="shared" si="23"/>
        <v>2.2812549903273629</v>
      </c>
      <c r="O125">
        <f t="shared" si="38"/>
        <v>3.7180077356396524</v>
      </c>
      <c r="P125">
        <f t="shared" si="42"/>
        <v>4.2870160960869503</v>
      </c>
      <c r="Q125">
        <f t="shared" si="40"/>
        <v>4.224834286018428</v>
      </c>
      <c r="R125">
        <f t="shared" si="43"/>
        <v>4.5275647638968683</v>
      </c>
      <c r="S125">
        <f t="shared" si="43"/>
        <v>4.8344383439331224</v>
      </c>
      <c r="T125">
        <f t="shared" si="24"/>
        <v>2.2364059653311648</v>
      </c>
      <c r="U125">
        <f t="shared" si="25"/>
        <v>-2.2364059653311648</v>
      </c>
      <c r="V125">
        <f t="shared" si="32"/>
        <v>4.3661974825147754</v>
      </c>
      <c r="W125">
        <f t="shared" si="26"/>
        <v>-1.7681651039128177</v>
      </c>
      <c r="X125">
        <f t="shared" si="33"/>
        <v>4.3006974318781701</v>
      </c>
      <c r="Y125">
        <f t="shared" si="27"/>
        <v>-1.7026650532762124</v>
      </c>
      <c r="Z125">
        <f t="shared" si="34"/>
        <v>4.2188255301884379</v>
      </c>
      <c r="AA125">
        <f t="shared" si="28"/>
        <v>-1.6207931515864802</v>
      </c>
      <c r="AB125">
        <f t="shared" si="29"/>
        <v>-3.5948476213980429</v>
      </c>
      <c r="AC125">
        <f t="shared" si="30"/>
        <v>4.5431407980186558</v>
      </c>
      <c r="AD125">
        <f t="shared" si="31"/>
        <v>-1.9451084194166981</v>
      </c>
    </row>
    <row r="126" spans="1:39">
      <c r="A126">
        <v>124</v>
      </c>
      <c r="B126">
        <v>2.3308887623304244</v>
      </c>
      <c r="C126">
        <f t="shared" si="35"/>
        <v>3.2390024830990183</v>
      </c>
      <c r="D126">
        <f t="shared" si="35"/>
        <v>4.3156649122994981</v>
      </c>
      <c r="E126">
        <f t="shared" si="36"/>
        <v>4.0082115093234947</v>
      </c>
      <c r="F126">
        <f t="shared" si="39"/>
        <v>3.8661694636323927</v>
      </c>
      <c r="G126">
        <f t="shared" si="39"/>
        <v>4.2966700011097982</v>
      </c>
      <c r="H126">
        <f t="shared" si="39"/>
        <v>4.5419411087050205</v>
      </c>
      <c r="I126">
        <f t="shared" si="22"/>
        <v>2.2110523463745961</v>
      </c>
      <c r="J126">
        <f t="shared" si="37"/>
        <v>3.5785156165068761</v>
      </c>
      <c r="K126">
        <f t="shared" si="41"/>
        <v>4.1859734072616437</v>
      </c>
      <c r="L126">
        <f t="shared" si="41"/>
        <v>4.4666168001194837</v>
      </c>
      <c r="M126">
        <f t="shared" si="41"/>
        <v>4.7913559897606453</v>
      </c>
      <c r="N126">
        <f t="shared" si="23"/>
        <v>2.4604672274302208</v>
      </c>
      <c r="O126">
        <f t="shared" si="38"/>
        <v>3.3289902456715859</v>
      </c>
      <c r="P126">
        <f t="shared" si="42"/>
        <v>4.0995872839008927</v>
      </c>
      <c r="Q126">
        <f t="shared" si="40"/>
        <v>3.8320159835393741</v>
      </c>
      <c r="R126">
        <f t="shared" si="43"/>
        <v>4.4571792236265519</v>
      </c>
      <c r="S126">
        <f t="shared" si="43"/>
        <v>4.7742165613198653</v>
      </c>
      <c r="T126">
        <f t="shared" si="24"/>
        <v>2.4433277989894409</v>
      </c>
      <c r="U126">
        <f t="shared" si="25"/>
        <v>-2.4433277989894409</v>
      </c>
      <c r="V126">
        <f t="shared" si="32"/>
        <v>4.1893809721234936</v>
      </c>
      <c r="W126">
        <f t="shared" si="26"/>
        <v>-1.8584922097930692</v>
      </c>
      <c r="X126">
        <f t="shared" si="33"/>
        <v>3.9601644212229274</v>
      </c>
      <c r="Y126">
        <f t="shared" si="27"/>
        <v>-1.629275658892503</v>
      </c>
      <c r="Z126">
        <f t="shared" si="34"/>
        <v>3.7325875847124941</v>
      </c>
      <c r="AA126">
        <f t="shared" si="28"/>
        <v>-1.4016988223820697</v>
      </c>
      <c r="AB126">
        <f t="shared" si="29"/>
        <v>-3.8675512376695762</v>
      </c>
      <c r="AC126">
        <f t="shared" si="30"/>
        <v>4.5647753589772826</v>
      </c>
      <c r="AD126">
        <f t="shared" si="31"/>
        <v>-2.2338865966468582</v>
      </c>
    </row>
    <row r="127" spans="1:39">
      <c r="A127">
        <v>125</v>
      </c>
      <c r="B127">
        <v>5.3950000043975734</v>
      </c>
      <c r="C127">
        <f t="shared" si="35"/>
        <v>2.464460570466191</v>
      </c>
      <c r="D127">
        <f t="shared" si="35"/>
        <v>3.9761517788916407</v>
      </c>
      <c r="E127">
        <f t="shared" si="36"/>
        <v>2.9362979095094865</v>
      </c>
      <c r="F127">
        <f t="shared" si="39"/>
        <v>3.9836331474884736</v>
      </c>
      <c r="G127">
        <f t="shared" si="39"/>
        <v>4.0881307552308259</v>
      </c>
      <c r="H127">
        <f t="shared" si="39"/>
        <v>4.4169273178180894</v>
      </c>
      <c r="I127">
        <f t="shared" si="22"/>
        <v>-0.97807268657948399</v>
      </c>
      <c r="J127">
        <f t="shared" si="37"/>
        <v>3.5888808225752271</v>
      </c>
      <c r="K127">
        <f t="shared" si="41"/>
        <v>3.9214102042127541</v>
      </c>
      <c r="L127">
        <f t="shared" si="41"/>
        <v>4.3528470607121719</v>
      </c>
      <c r="M127">
        <f t="shared" si="41"/>
        <v>4.6743504384834544</v>
      </c>
      <c r="N127">
        <f t="shared" si="23"/>
        <v>-0.72064956591411899</v>
      </c>
      <c r="O127">
        <f t="shared" si="38"/>
        <v>3.9501046589396962</v>
      </c>
      <c r="P127">
        <f t="shared" si="42"/>
        <v>3.9173835284228686</v>
      </c>
      <c r="Q127">
        <f t="shared" si="40"/>
        <v>3.4868212400881142</v>
      </c>
      <c r="R127">
        <f t="shared" si="43"/>
        <v>4.2835930117858529</v>
      </c>
      <c r="S127">
        <f t="shared" si="43"/>
        <v>4.7005421487266501</v>
      </c>
      <c r="T127">
        <f t="shared" si="24"/>
        <v>-0.69445785567092333</v>
      </c>
      <c r="U127">
        <f t="shared" si="25"/>
        <v>0.69445785567092333</v>
      </c>
      <c r="V127">
        <f t="shared" si="32"/>
        <v>4.0035317511441866</v>
      </c>
      <c r="W127">
        <f t="shared" si="26"/>
        <v>1.3914682532533869</v>
      </c>
      <c r="X127">
        <f t="shared" si="33"/>
        <v>3.6343092894444267</v>
      </c>
      <c r="Y127">
        <f t="shared" si="27"/>
        <v>1.7606907149531468</v>
      </c>
      <c r="Z127">
        <f t="shared" si="34"/>
        <v>3.3120779379978731</v>
      </c>
      <c r="AA127">
        <f t="shared" si="28"/>
        <v>2.0829220663997003</v>
      </c>
      <c r="AB127">
        <f t="shared" si="29"/>
        <v>-0.80899999560242719</v>
      </c>
      <c r="AC127">
        <f t="shared" si="30"/>
        <v>4.5871980196484454</v>
      </c>
      <c r="AD127">
        <f t="shared" si="31"/>
        <v>0.80780198474912801</v>
      </c>
    </row>
    <row r="128" spans="1:39">
      <c r="A128">
        <v>126</v>
      </c>
      <c r="B128">
        <v>2.6541187786785319</v>
      </c>
      <c r="C128">
        <f t="shared" si="35"/>
        <v>3.8629443833639989</v>
      </c>
      <c r="D128">
        <f t="shared" si="35"/>
        <v>2.8517315267826047</v>
      </c>
      <c r="E128">
        <f t="shared" si="36"/>
        <v>3.4413070484433184</v>
      </c>
      <c r="F128">
        <f t="shared" si="39"/>
        <v>3.6166175937693876</v>
      </c>
      <c r="G128">
        <f t="shared" si="39"/>
        <v>3.9763220079273633</v>
      </c>
      <c r="H128">
        <f t="shared" si="39"/>
        <v>4.2765322035343774</v>
      </c>
      <c r="I128">
        <f t="shared" si="22"/>
        <v>1.6224134248558455</v>
      </c>
      <c r="J128">
        <f t="shared" si="37"/>
        <v>3.5509734332315084</v>
      </c>
      <c r="K128">
        <f t="shared" si="41"/>
        <v>3.8234801869351829</v>
      </c>
      <c r="L128">
        <f t="shared" si="41"/>
        <v>4.1858284819971781</v>
      </c>
      <c r="M128">
        <f t="shared" si="41"/>
        <v>4.5492403710700593</v>
      </c>
      <c r="N128">
        <f t="shared" si="23"/>
        <v>1.8951215923915274</v>
      </c>
      <c r="O128">
        <f t="shared" si="38"/>
        <v>3.3716025023209126</v>
      </c>
      <c r="P128">
        <f t="shared" si="42"/>
        <v>3.8739443940961378</v>
      </c>
      <c r="Q128">
        <f t="shared" si="40"/>
        <v>3.6733252054592502</v>
      </c>
      <c r="R128">
        <f t="shared" si="43"/>
        <v>4.0746213478027977</v>
      </c>
      <c r="S128">
        <f t="shared" si="43"/>
        <v>4.5961474485167706</v>
      </c>
      <c r="T128">
        <f t="shared" si="24"/>
        <v>1.9420286698382387</v>
      </c>
      <c r="U128">
        <f t="shared" si="25"/>
        <v>-1.9420286698382387</v>
      </c>
      <c r="V128">
        <f t="shared" si="32"/>
        <v>4.1426785764695255</v>
      </c>
      <c r="W128">
        <f t="shared" si="26"/>
        <v>-1.4885597977909937</v>
      </c>
      <c r="X128">
        <f t="shared" si="33"/>
        <v>3.9864474324350558</v>
      </c>
      <c r="Y128">
        <f t="shared" si="27"/>
        <v>-1.332328653756524</v>
      </c>
      <c r="Z128">
        <f t="shared" si="34"/>
        <v>3.9369545579177831</v>
      </c>
      <c r="AA128">
        <f t="shared" si="28"/>
        <v>-1.2828357792392513</v>
      </c>
      <c r="AB128">
        <f t="shared" si="29"/>
        <v>-3.5554412213214688</v>
      </c>
      <c r="AC128">
        <f t="shared" si="30"/>
        <v>4.6104027599879807</v>
      </c>
      <c r="AD128">
        <f t="shared" si="31"/>
        <v>-1.9562839813094488</v>
      </c>
    </row>
    <row r="129" spans="1:30">
      <c r="A129">
        <v>127</v>
      </c>
      <c r="B129">
        <v>5.2025813577323099</v>
      </c>
      <c r="C129">
        <f t="shared" si="35"/>
        <v>4.0245593915380526</v>
      </c>
      <c r="D129">
        <f t="shared" si="35"/>
        <v>3.1637024769150948</v>
      </c>
      <c r="E129">
        <f t="shared" si="36"/>
        <v>3.46000251513551</v>
      </c>
      <c r="F129">
        <f t="shared" si="39"/>
        <v>3.461938822425433</v>
      </c>
      <c r="G129">
        <f t="shared" si="39"/>
        <v>3.822140068296751</v>
      </c>
      <c r="H129">
        <f t="shared" si="39"/>
        <v>4.1203742547559958</v>
      </c>
      <c r="I129">
        <f t="shared" si="22"/>
        <v>-1.0822071029763141</v>
      </c>
      <c r="J129">
        <f t="shared" si="37"/>
        <v>3.2445099810021216</v>
      </c>
      <c r="K129">
        <f t="shared" si="41"/>
        <v>3.6790928618031717</v>
      </c>
      <c r="L129">
        <f t="shared" si="41"/>
        <v>4.0437727795981413</v>
      </c>
      <c r="M129">
        <f t="shared" si="41"/>
        <v>4.406027861887889</v>
      </c>
      <c r="N129">
        <f t="shared" si="23"/>
        <v>-0.79655349584442092</v>
      </c>
      <c r="O129">
        <f t="shared" si="38"/>
        <v>3.6361242563481597</v>
      </c>
      <c r="P129">
        <f t="shared" si="42"/>
        <v>3.6895035694197404</v>
      </c>
      <c r="Q129">
        <f t="shared" si="40"/>
        <v>3.7341070122295021</v>
      </c>
      <c r="R129">
        <f t="shared" si="43"/>
        <v>3.9215162377398816</v>
      </c>
      <c r="S129">
        <f t="shared" si="43"/>
        <v>4.4622532329830742</v>
      </c>
      <c r="T129">
        <f t="shared" si="24"/>
        <v>-0.74032812474923571</v>
      </c>
      <c r="U129">
        <f t="shared" si="25"/>
        <v>0.74032812474923571</v>
      </c>
      <c r="V129">
        <f t="shared" si="32"/>
        <v>3.9938225966904262</v>
      </c>
      <c r="W129">
        <f t="shared" si="26"/>
        <v>1.2087587610418837</v>
      </c>
      <c r="X129">
        <f t="shared" si="33"/>
        <v>3.7199817016837509</v>
      </c>
      <c r="Y129">
        <f t="shared" si="27"/>
        <v>1.482599656048559</v>
      </c>
      <c r="Z129">
        <f t="shared" si="34"/>
        <v>3.5521038241460077</v>
      </c>
      <c r="AA129">
        <f t="shared" si="28"/>
        <v>1.6504775335863022</v>
      </c>
      <c r="AB129">
        <f t="shared" si="29"/>
        <v>-1.0125386422676907</v>
      </c>
      <c r="AC129">
        <f t="shared" si="30"/>
        <v>4.6343833427124004</v>
      </c>
      <c r="AD129">
        <f t="shared" si="31"/>
        <v>0.56819801501990952</v>
      </c>
    </row>
    <row r="130" spans="1:30">
      <c r="A130">
        <v>128</v>
      </c>
      <c r="B130">
        <v>2.3845370526502174</v>
      </c>
      <c r="C130">
        <f t="shared" si="35"/>
        <v>3.9283500682054209</v>
      </c>
      <c r="D130">
        <f t="shared" si="35"/>
        <v>3.9437518874510258</v>
      </c>
      <c r="E130">
        <f t="shared" si="36"/>
        <v>4.4172333802694714</v>
      </c>
      <c r="F130">
        <f t="shared" si="39"/>
        <v>3.2792024910294386</v>
      </c>
      <c r="G130">
        <f t="shared" si="39"/>
        <v>3.6873965212277646</v>
      </c>
      <c r="H130">
        <f t="shared" si="39"/>
        <v>3.9621976104849801</v>
      </c>
      <c r="I130">
        <f t="shared" si="22"/>
        <v>1.5776605578347627</v>
      </c>
      <c r="J130">
        <f t="shared" si="37"/>
        <v>3.8956472257847099</v>
      </c>
      <c r="K130">
        <f t="shared" si="41"/>
        <v>3.4907199633289334</v>
      </c>
      <c r="L130">
        <f t="shared" si="41"/>
        <v>3.9024891650531877</v>
      </c>
      <c r="M130">
        <f t="shared" si="41"/>
        <v>4.2622662806067435</v>
      </c>
      <c r="N130">
        <f t="shared" si="23"/>
        <v>1.8777292279565261</v>
      </c>
      <c r="O130">
        <f t="shared" si="38"/>
        <v>3.5934251911578117</v>
      </c>
      <c r="P130">
        <f t="shared" si="42"/>
        <v>3.6009658797840012</v>
      </c>
      <c r="Q130">
        <f t="shared" si="40"/>
        <v>3.6767656448894788</v>
      </c>
      <c r="R130">
        <f t="shared" si="43"/>
        <v>3.8913820438513116</v>
      </c>
      <c r="S130">
        <f t="shared" si="43"/>
        <v>4.3128625666977216</v>
      </c>
      <c r="T130">
        <f t="shared" si="24"/>
        <v>1.9283255140475042</v>
      </c>
      <c r="U130">
        <f t="shared" si="25"/>
        <v>-1.9283255140475042</v>
      </c>
      <c r="V130">
        <f t="shared" si="32"/>
        <v>4.1146984727946148</v>
      </c>
      <c r="W130">
        <f t="shared" si="26"/>
        <v>-1.7301614201443973</v>
      </c>
      <c r="X130">
        <f t="shared" si="33"/>
        <v>4.0165016328934628</v>
      </c>
      <c r="Y130">
        <f t="shared" si="27"/>
        <v>-1.6319645802432454</v>
      </c>
      <c r="Z130">
        <f t="shared" si="34"/>
        <v>4.0472470842218984</v>
      </c>
      <c r="AA130">
        <f t="shared" si="28"/>
        <v>-1.662710031571681</v>
      </c>
      <c r="AB130">
        <f t="shared" si="29"/>
        <v>-3.8361429473497832</v>
      </c>
      <c r="AC130">
        <f t="shared" si="30"/>
        <v>4.65913331503143</v>
      </c>
      <c r="AD130">
        <f t="shared" si="31"/>
        <v>-2.2745962623812126</v>
      </c>
    </row>
    <row r="131" spans="1:30">
      <c r="A131">
        <v>129</v>
      </c>
      <c r="B131">
        <v>4.2066286822176178</v>
      </c>
      <c r="C131">
        <f t="shared" si="35"/>
        <v>3.7935592051912637</v>
      </c>
      <c r="D131">
        <f t="shared" si="35"/>
        <v>3.9764547298717368</v>
      </c>
      <c r="E131">
        <f t="shared" si="36"/>
        <v>3.4137457296870202</v>
      </c>
      <c r="F131">
        <f t="shared" si="39"/>
        <v>3.7728476479494333</v>
      </c>
      <c r="G131">
        <f t="shared" si="39"/>
        <v>3.4525863024080863</v>
      </c>
      <c r="H131">
        <f t="shared" si="39"/>
        <v>3.8286195324839594</v>
      </c>
      <c r="I131">
        <f t="shared" ref="I131:I194" si="44">H131-B131</f>
        <v>-0.3780091497336584</v>
      </c>
      <c r="J131">
        <f t="shared" si="37"/>
        <v>3.9090592983646584</v>
      </c>
      <c r="K131">
        <f t="shared" si="41"/>
        <v>3.5700028656483918</v>
      </c>
      <c r="L131">
        <f t="shared" si="41"/>
        <v>3.7286758040700105</v>
      </c>
      <c r="M131">
        <f t="shared" si="41"/>
        <v>4.1212343718401696</v>
      </c>
      <c r="N131">
        <f t="shared" ref="N131:N194" si="45">M131-B131</f>
        <v>-8.5394310377448157E-2</v>
      </c>
      <c r="O131">
        <f t="shared" si="38"/>
        <v>3.9685731751352504</v>
      </c>
      <c r="P131">
        <f t="shared" si="42"/>
        <v>3.5760493708876333</v>
      </c>
      <c r="Q131">
        <f t="shared" si="40"/>
        <v>3.4275263890651693</v>
      </c>
      <c r="R131">
        <f t="shared" si="43"/>
        <v>3.7713115620373578</v>
      </c>
      <c r="S131">
        <f t="shared" si="43"/>
        <v>4.1926427714505445</v>
      </c>
      <c r="T131">
        <f t="shared" ref="T131:T194" si="46">S131-B131</f>
        <v>-1.3985910767073229E-2</v>
      </c>
      <c r="U131">
        <f t="shared" ref="U131:U194" si="47">B131-S131</f>
        <v>1.3985910767073229E-2</v>
      </c>
      <c r="V131">
        <f t="shared" si="32"/>
        <v>3.9416823307801749</v>
      </c>
      <c r="W131">
        <f t="shared" ref="W131:W194" si="48">B131-V131</f>
        <v>0.26494635143744283</v>
      </c>
      <c r="X131">
        <f t="shared" si="33"/>
        <v>3.6901087168448137</v>
      </c>
      <c r="Y131">
        <f t="shared" ref="Y131:Y194" si="49">B131-X131</f>
        <v>0.51651996537280409</v>
      </c>
      <c r="Z131">
        <f t="shared" si="34"/>
        <v>3.5484340747503942</v>
      </c>
      <c r="AA131">
        <f t="shared" ref="AA131:AA194" si="50">B131-Z131</f>
        <v>0.65819460746722358</v>
      </c>
      <c r="AB131">
        <f t="shared" ref="AB131:AB194" si="51">B131- ((0.00556 * A131)  +5.509)</f>
        <v>-2.0196113177823829</v>
      </c>
      <c r="AC131">
        <f t="shared" ref="AC131:AC194" si="52">0.00075*A131 + 5.509 + ($AI$6*SIN((A131/$AI$7)+ $AI$8))+ ($AI$6*COS((A131/$AI$7) + $AI$8))+ $AI$9</f>
        <v>4.684646010440412</v>
      </c>
      <c r="AD131">
        <f t="shared" ref="AD131:AD194" si="53">B131-AC131</f>
        <v>-0.47801732822279419</v>
      </c>
    </row>
    <row r="132" spans="1:30">
      <c r="A132">
        <v>130</v>
      </c>
      <c r="B132">
        <v>3.4548302748495008</v>
      </c>
      <c r="C132">
        <f t="shared" si="35"/>
        <v>3.2955828674339176</v>
      </c>
      <c r="D132">
        <f t="shared" si="35"/>
        <v>3.8609546366983425</v>
      </c>
      <c r="E132">
        <f t="shared" si="36"/>
        <v>3.9312490308667152</v>
      </c>
      <c r="F132">
        <f t="shared" si="39"/>
        <v>3.7636605416973339</v>
      </c>
      <c r="G132">
        <f t="shared" si="39"/>
        <v>3.5046629871347683</v>
      </c>
      <c r="H132">
        <f t="shared" si="39"/>
        <v>3.654040963977534</v>
      </c>
      <c r="I132">
        <f t="shared" si="44"/>
        <v>0.19921068912803319</v>
      </c>
      <c r="J132">
        <f t="shared" si="37"/>
        <v>3.6119664678196695</v>
      </c>
      <c r="K132">
        <f t="shared" si="41"/>
        <v>3.6500474845957496</v>
      </c>
      <c r="L132">
        <f t="shared" si="41"/>
        <v>3.6408239694289195</v>
      </c>
      <c r="M132">
        <f t="shared" si="41"/>
        <v>3.9651915576796295</v>
      </c>
      <c r="N132">
        <f t="shared" si="45"/>
        <v>0.51036128283012872</v>
      </c>
      <c r="O132">
        <f t="shared" si="38"/>
        <v>3.5805392292256357</v>
      </c>
      <c r="P132">
        <f t="shared" si="42"/>
        <v>3.7039659567803662</v>
      </c>
      <c r="Q132">
        <f t="shared" si="40"/>
        <v>3.6956257730011131</v>
      </c>
      <c r="R132">
        <f t="shared" si="43"/>
        <v>3.6384269125451478</v>
      </c>
      <c r="S132">
        <f t="shared" si="43"/>
        <v>4.0666005711406257</v>
      </c>
      <c r="T132">
        <f t="shared" si="46"/>
        <v>0.61177029629112489</v>
      </c>
      <c r="U132">
        <f t="shared" si="47"/>
        <v>-0.61177029629112489</v>
      </c>
      <c r="V132">
        <f t="shared" ref="V132:V195" si="54">V131+0.1*(B131-V131)</f>
        <v>3.9681769659239192</v>
      </c>
      <c r="W132">
        <f t="shared" si="48"/>
        <v>-0.51334669107441844</v>
      </c>
      <c r="X132">
        <f t="shared" ref="X132:X195" si="55">X131+0.2*(B131-X131)</f>
        <v>3.7934127099193744</v>
      </c>
      <c r="Y132">
        <f t="shared" si="49"/>
        <v>-0.33858243506987362</v>
      </c>
      <c r="Z132">
        <f t="shared" ref="Z132:Z195" si="56">Z131+0.3*(B131-Z131)</f>
        <v>3.7458924569905614</v>
      </c>
      <c r="AA132">
        <f t="shared" si="50"/>
        <v>-0.29106218214106061</v>
      </c>
      <c r="AB132">
        <f t="shared" si="51"/>
        <v>-2.7769697251504999</v>
      </c>
      <c r="AC132">
        <f t="shared" si="52"/>
        <v>4.7109145505720678</v>
      </c>
      <c r="AD132">
        <f t="shared" si="53"/>
        <v>-1.256084275722567</v>
      </c>
    </row>
    <row r="133" spans="1:30">
      <c r="A133">
        <v>131</v>
      </c>
      <c r="B133">
        <v>3.3561408832586368</v>
      </c>
      <c r="C133">
        <f t="shared" ref="C133:D196" si="57">AVERAGE(B131:B132)</f>
        <v>3.8307294785335593</v>
      </c>
      <c r="D133">
        <f t="shared" si="57"/>
        <v>3.5445710363125906</v>
      </c>
      <c r="E133">
        <f t="shared" si="36"/>
        <v>3.348665336572445</v>
      </c>
      <c r="F133">
        <f t="shared" si="39"/>
        <v>3.9207427136077353</v>
      </c>
      <c r="G133">
        <f t="shared" si="39"/>
        <v>3.6052368935587356</v>
      </c>
      <c r="H133">
        <f t="shared" si="39"/>
        <v>3.5482152702568732</v>
      </c>
      <c r="I133">
        <f t="shared" si="44"/>
        <v>0.19207438699823642</v>
      </c>
      <c r="J133">
        <f t="shared" si="37"/>
        <v>3.8121443418624117</v>
      </c>
      <c r="K133">
        <f t="shared" si="41"/>
        <v>3.6652957432427899</v>
      </c>
      <c r="L133">
        <f t="shared" si="41"/>
        <v>3.5974657938440613</v>
      </c>
      <c r="M133">
        <f t="shared" si="41"/>
        <v>3.8289404295375649</v>
      </c>
      <c r="N133">
        <f t="shared" si="45"/>
        <v>0.47279954627892806</v>
      </c>
      <c r="O133">
        <f t="shared" si="38"/>
        <v>3.7209436501416571</v>
      </c>
      <c r="P133">
        <f t="shared" si="42"/>
        <v>3.6300528708375537</v>
      </c>
      <c r="Q133">
        <f t="shared" si="40"/>
        <v>3.8829493584209587</v>
      </c>
      <c r="R133">
        <f t="shared" si="43"/>
        <v>3.6156952107887705</v>
      </c>
      <c r="S133">
        <f t="shared" si="43"/>
        <v>3.9301418526270582</v>
      </c>
      <c r="T133">
        <f t="shared" si="46"/>
        <v>0.57400096936842138</v>
      </c>
      <c r="U133">
        <f t="shared" si="47"/>
        <v>-0.57400096936842138</v>
      </c>
      <c r="V133">
        <f t="shared" si="54"/>
        <v>3.9168422968164776</v>
      </c>
      <c r="W133">
        <f t="shared" si="48"/>
        <v>-0.56070141355784076</v>
      </c>
      <c r="X133">
        <f t="shared" si="55"/>
        <v>3.7256962229053996</v>
      </c>
      <c r="Y133">
        <f t="shared" si="49"/>
        <v>-0.36955533964676279</v>
      </c>
      <c r="Z133">
        <f t="shared" si="56"/>
        <v>3.658573802348243</v>
      </c>
      <c r="AA133">
        <f t="shared" si="50"/>
        <v>-0.30243291908960623</v>
      </c>
      <c r="AB133">
        <f t="shared" si="51"/>
        <v>-2.8812191167413639</v>
      </c>
      <c r="AC133">
        <f t="shared" si="52"/>
        <v>4.7379318471071104</v>
      </c>
      <c r="AD133">
        <f t="shared" si="53"/>
        <v>-1.3817909638484736</v>
      </c>
    </row>
    <row r="134" spans="1:30">
      <c r="A134">
        <v>132</v>
      </c>
      <c r="B134">
        <v>6.0241177411999676</v>
      </c>
      <c r="C134">
        <f t="shared" si="57"/>
        <v>3.4054855790540688</v>
      </c>
      <c r="D134">
        <f t="shared" si="57"/>
        <v>3.5631561729837387</v>
      </c>
      <c r="E134">
        <f t="shared" ref="E134:E197" si="58">AVERAGE(B131:B133)</f>
        <v>3.6725332801085848</v>
      </c>
      <c r="F134">
        <f t="shared" si="39"/>
        <v>3.5645533657087269</v>
      </c>
      <c r="G134">
        <f t="shared" si="39"/>
        <v>3.8190836344181673</v>
      </c>
      <c r="H134">
        <f t="shared" si="39"/>
        <v>3.5208287277005303</v>
      </c>
      <c r="I134">
        <f t="shared" si="44"/>
        <v>-2.5032890134994372</v>
      </c>
      <c r="J134">
        <f t="shared" si="37"/>
        <v>3.3505342232439927</v>
      </c>
      <c r="K134">
        <f t="shared" si="41"/>
        <v>3.8072043334578627</v>
      </c>
      <c r="L134">
        <f t="shared" si="41"/>
        <v>3.5940165142039664</v>
      </c>
      <c r="M134">
        <f t="shared" si="41"/>
        <v>3.7173636830990446</v>
      </c>
      <c r="N134">
        <f t="shared" si="45"/>
        <v>-2.3067540581009229</v>
      </c>
      <c r="O134">
        <f t="shared" si="38"/>
        <v>3.8852509268351882</v>
      </c>
      <c r="P134">
        <f t="shared" si="42"/>
        <v>3.6999211004017027</v>
      </c>
      <c r="Q134">
        <f t="shared" si="40"/>
        <v>3.5431395048978023</v>
      </c>
      <c r="R134">
        <f t="shared" si="43"/>
        <v>3.6817165638442453</v>
      </c>
      <c r="S134">
        <f t="shared" si="43"/>
        <v>3.8188255524608778</v>
      </c>
      <c r="T134">
        <f t="shared" si="46"/>
        <v>-2.2052921887390897</v>
      </c>
      <c r="U134">
        <f t="shared" si="47"/>
        <v>2.2052921887390897</v>
      </c>
      <c r="V134">
        <f t="shared" si="54"/>
        <v>3.8607721554606935</v>
      </c>
      <c r="W134">
        <f t="shared" si="48"/>
        <v>2.163345585739274</v>
      </c>
      <c r="X134">
        <f t="shared" si="55"/>
        <v>3.6517851549760469</v>
      </c>
      <c r="Y134">
        <f t="shared" si="49"/>
        <v>2.3723325862239206</v>
      </c>
      <c r="Z134">
        <f t="shared" si="56"/>
        <v>3.5678439266213613</v>
      </c>
      <c r="AA134">
        <f t="shared" si="50"/>
        <v>2.4562738145786063</v>
      </c>
      <c r="AB134">
        <f t="shared" si="51"/>
        <v>-0.21880225880003312</v>
      </c>
      <c r="AC134">
        <f t="shared" si="52"/>
        <v>4.7656906037431792</v>
      </c>
      <c r="AD134">
        <f t="shared" si="53"/>
        <v>1.2584271374567884</v>
      </c>
    </row>
    <row r="135" spans="1:30">
      <c r="A135">
        <v>133</v>
      </c>
      <c r="B135">
        <v>4.5074713434981479</v>
      </c>
      <c r="C135">
        <f t="shared" si="57"/>
        <v>4.6901293122293026</v>
      </c>
      <c r="D135">
        <f t="shared" si="57"/>
        <v>3.6181075287938143</v>
      </c>
      <c r="E135">
        <f t="shared" si="58"/>
        <v>4.2783629664360348</v>
      </c>
      <c r="F135">
        <f t="shared" si="39"/>
        <v>3.6508158825159147</v>
      </c>
      <c r="G135">
        <f t="shared" si="39"/>
        <v>3.749652207004599</v>
      </c>
      <c r="H135">
        <f t="shared" si="39"/>
        <v>3.6429945050372239</v>
      </c>
      <c r="I135">
        <f t="shared" si="44"/>
        <v>-0.86447683846092405</v>
      </c>
      <c r="J135">
        <f t="shared" ref="J135:J198" si="59">AVERAGE(B131:B134)</f>
        <v>4.260429395381431</v>
      </c>
      <c r="K135">
        <f t="shared" si="41"/>
        <v>3.6709260828226835</v>
      </c>
      <c r="L135">
        <f t="shared" si="41"/>
        <v>3.6731376067361987</v>
      </c>
      <c r="M135">
        <f t="shared" si="41"/>
        <v>3.6402455203867397</v>
      </c>
      <c r="N135">
        <f t="shared" si="45"/>
        <v>-0.86722582311140828</v>
      </c>
      <c r="O135">
        <f t="shared" ref="O135:O198" si="60">AVERAGE(B131:B135)</f>
        <v>4.309837785004774</v>
      </c>
      <c r="P135">
        <f t="shared" si="42"/>
        <v>3.7497464344991087</v>
      </c>
      <c r="Q135">
        <f t="shared" si="40"/>
        <v>4.1048059986513756</v>
      </c>
      <c r="R135">
        <f t="shared" si="43"/>
        <v>3.6600189470840037</v>
      </c>
      <c r="S135">
        <f t="shared" si="43"/>
        <v>3.7533414218011192</v>
      </c>
      <c r="T135">
        <f t="shared" si="46"/>
        <v>-0.75412992169702875</v>
      </c>
      <c r="U135">
        <f t="shared" si="47"/>
        <v>0.75412992169702875</v>
      </c>
      <c r="V135">
        <f t="shared" si="54"/>
        <v>4.0771067140346213</v>
      </c>
      <c r="W135">
        <f t="shared" si="48"/>
        <v>0.4303646294635266</v>
      </c>
      <c r="X135">
        <f t="shared" si="55"/>
        <v>4.1262516722208309</v>
      </c>
      <c r="Y135">
        <f t="shared" si="49"/>
        <v>0.38121967127731704</v>
      </c>
      <c r="Z135">
        <f t="shared" si="56"/>
        <v>4.3047260709949429</v>
      </c>
      <c r="AA135">
        <f t="shared" si="50"/>
        <v>0.20274527250320507</v>
      </c>
      <c r="AB135">
        <f t="shared" si="51"/>
        <v>-1.7410086565018528</v>
      </c>
      <c r="AC135">
        <f t="shared" si="52"/>
        <v>4.794183318221541</v>
      </c>
      <c r="AD135">
        <f t="shared" si="53"/>
        <v>-0.28671197472339305</v>
      </c>
    </row>
    <row r="136" spans="1:30">
      <c r="A136">
        <v>134</v>
      </c>
      <c r="B136">
        <v>2.7741478032781677</v>
      </c>
      <c r="C136">
        <f t="shared" si="57"/>
        <v>5.2657945423490577</v>
      </c>
      <c r="D136">
        <f t="shared" si="57"/>
        <v>4.0478074456416859</v>
      </c>
      <c r="E136">
        <f t="shared" si="58"/>
        <v>4.6292433226522514</v>
      </c>
      <c r="F136">
        <f t="shared" si="39"/>
        <v>3.7665205277056883</v>
      </c>
      <c r="G136">
        <f t="shared" si="39"/>
        <v>3.7120373206107922</v>
      </c>
      <c r="H136">
        <f t="shared" si="39"/>
        <v>3.7246575783271676</v>
      </c>
      <c r="I136">
        <f t="shared" si="44"/>
        <v>0.95050977504899992</v>
      </c>
      <c r="J136">
        <f t="shared" si="59"/>
        <v>4.3356400607015626</v>
      </c>
      <c r="K136">
        <f t="shared" si="41"/>
        <v>3.7587686070768762</v>
      </c>
      <c r="L136">
        <f t="shared" si="41"/>
        <v>3.6983684110297714</v>
      </c>
      <c r="M136">
        <f t="shared" si="41"/>
        <v>3.6263609710532867</v>
      </c>
      <c r="N136">
        <f t="shared" si="45"/>
        <v>0.85221316777511902</v>
      </c>
      <c r="O136">
        <f t="shared" si="60"/>
        <v>4.0233416092168834</v>
      </c>
      <c r="P136">
        <f t="shared" si="42"/>
        <v>3.8930289532685007</v>
      </c>
      <c r="Q136">
        <f t="shared" si="40"/>
        <v>3.9889543296123477</v>
      </c>
      <c r="R136">
        <f t="shared" si="43"/>
        <v>3.7218021114876496</v>
      </c>
      <c r="S136">
        <f t="shared" si="43"/>
        <v>3.7097585400251396</v>
      </c>
      <c r="T136">
        <f t="shared" si="46"/>
        <v>0.93561073674697193</v>
      </c>
      <c r="U136">
        <f t="shared" si="47"/>
        <v>-0.93561073674697193</v>
      </c>
      <c r="V136">
        <f t="shared" si="54"/>
        <v>4.1201431769809744</v>
      </c>
      <c r="W136">
        <f t="shared" si="48"/>
        <v>-1.3459953737028068</v>
      </c>
      <c r="X136">
        <f t="shared" si="55"/>
        <v>4.2024956064762939</v>
      </c>
      <c r="Y136">
        <f t="shared" si="49"/>
        <v>-1.4283478031981263</v>
      </c>
      <c r="Z136">
        <f t="shared" si="56"/>
        <v>4.3655496527459041</v>
      </c>
      <c r="AA136">
        <f t="shared" si="50"/>
        <v>-1.5914018494677364</v>
      </c>
      <c r="AB136">
        <f t="shared" si="51"/>
        <v>-3.4798921967218321</v>
      </c>
      <c r="AC136">
        <f t="shared" si="52"/>
        <v>4.8234022844110029</v>
      </c>
      <c r="AD136">
        <f t="shared" si="53"/>
        <v>-2.0492544811328353</v>
      </c>
    </row>
    <row r="137" spans="1:30">
      <c r="A137">
        <v>135</v>
      </c>
      <c r="B137">
        <v>3.4686243743655365</v>
      </c>
      <c r="C137">
        <f t="shared" si="57"/>
        <v>3.6408095733881578</v>
      </c>
      <c r="D137">
        <f t="shared" si="57"/>
        <v>4.9779619272891802</v>
      </c>
      <c r="E137">
        <f t="shared" si="58"/>
        <v>4.4352456293254283</v>
      </c>
      <c r="F137">
        <f t="shared" ref="F137:H200" si="61">AVERAGE(E134:E136)</f>
        <v>4.1933798563989564</v>
      </c>
      <c r="G137">
        <f t="shared" si="61"/>
        <v>3.66062992531011</v>
      </c>
      <c r="H137">
        <f t="shared" si="61"/>
        <v>3.7602577206778527</v>
      </c>
      <c r="I137">
        <f t="shared" si="44"/>
        <v>0.29163334631231619</v>
      </c>
      <c r="J137">
        <f t="shared" si="59"/>
        <v>4.16546944280873</v>
      </c>
      <c r="K137">
        <f t="shared" si="41"/>
        <v>3.9396870052973494</v>
      </c>
      <c r="L137">
        <f t="shared" si="41"/>
        <v>3.7255486916500531</v>
      </c>
      <c r="M137">
        <f t="shared" si="41"/>
        <v>3.6407470814534992</v>
      </c>
      <c r="N137">
        <f t="shared" si="45"/>
        <v>0.17212270708796273</v>
      </c>
      <c r="O137">
        <f t="shared" si="60"/>
        <v>4.026100429120091</v>
      </c>
      <c r="P137">
        <f t="shared" si="42"/>
        <v>3.9039826400848279</v>
      </c>
      <c r="Q137">
        <f t="shared" ref="Q137:Q200" si="62">AVERAGE(B131:B136)</f>
        <v>4.0538894547170061</v>
      </c>
      <c r="R137">
        <f t="shared" si="43"/>
        <v>3.7738335589414613</v>
      </c>
      <c r="S137">
        <f t="shared" si="43"/>
        <v>3.6814952179645295</v>
      </c>
      <c r="T137">
        <f t="shared" si="46"/>
        <v>0.212870843598993</v>
      </c>
      <c r="U137">
        <f t="shared" si="47"/>
        <v>-0.212870843598993</v>
      </c>
      <c r="V137">
        <f t="shared" si="54"/>
        <v>3.9855436396106936</v>
      </c>
      <c r="W137">
        <f t="shared" si="48"/>
        <v>-0.51691926524515708</v>
      </c>
      <c r="X137">
        <f t="shared" si="55"/>
        <v>3.9168260458366686</v>
      </c>
      <c r="Y137">
        <f t="shared" si="49"/>
        <v>-0.4482016714711321</v>
      </c>
      <c r="Z137">
        <f t="shared" si="56"/>
        <v>3.8881290979055834</v>
      </c>
      <c r="AA137">
        <f t="shared" si="50"/>
        <v>-0.41950472354004686</v>
      </c>
      <c r="AB137">
        <f t="shared" si="51"/>
        <v>-2.7909756256344642</v>
      </c>
      <c r="AC137">
        <f t="shared" si="52"/>
        <v>4.8533395944484568</v>
      </c>
      <c r="AD137">
        <f t="shared" si="53"/>
        <v>-1.3847152200829203</v>
      </c>
    </row>
    <row r="138" spans="1:30">
      <c r="A138">
        <v>136</v>
      </c>
      <c r="B138">
        <v>5.50354074175665</v>
      </c>
      <c r="C138">
        <f t="shared" si="57"/>
        <v>3.1213860888218523</v>
      </c>
      <c r="D138">
        <f t="shared" si="57"/>
        <v>4.4533020578686076</v>
      </c>
      <c r="E138">
        <f t="shared" si="58"/>
        <v>3.583414507047284</v>
      </c>
      <c r="F138">
        <f t="shared" si="61"/>
        <v>4.4476173061379045</v>
      </c>
      <c r="G138">
        <f t="shared" si="61"/>
        <v>3.8702387555401869</v>
      </c>
      <c r="H138">
        <f t="shared" si="61"/>
        <v>3.7074398176418337</v>
      </c>
      <c r="I138">
        <f t="shared" si="44"/>
        <v>-1.7961009241148163</v>
      </c>
      <c r="J138">
        <f t="shared" si="59"/>
        <v>4.193590315585455</v>
      </c>
      <c r="K138">
        <f t="shared" si="41"/>
        <v>4.0280182805339297</v>
      </c>
      <c r="L138">
        <f t="shared" si="41"/>
        <v>3.7941465071636928</v>
      </c>
      <c r="M138">
        <f t="shared" si="41"/>
        <v>3.6727678059049973</v>
      </c>
      <c r="N138">
        <f t="shared" si="45"/>
        <v>-1.8307729358516527</v>
      </c>
      <c r="O138">
        <f t="shared" si="60"/>
        <v>4.4555804008196942</v>
      </c>
      <c r="P138">
        <f t="shared" si="42"/>
        <v>3.9930948800637189</v>
      </c>
      <c r="Q138">
        <f t="shared" si="62"/>
        <v>3.9308887367416592</v>
      </c>
      <c r="R138">
        <f t="shared" si="43"/>
        <v>3.8782274032167674</v>
      </c>
      <c r="S138">
        <f t="shared" si="43"/>
        <v>3.6819155507818793</v>
      </c>
      <c r="T138">
        <f t="shared" si="46"/>
        <v>-1.8216251909747707</v>
      </c>
      <c r="U138">
        <f t="shared" si="47"/>
        <v>1.8216251909747707</v>
      </c>
      <c r="V138">
        <f t="shared" si="54"/>
        <v>3.9338517130861779</v>
      </c>
      <c r="W138">
        <f t="shared" si="48"/>
        <v>1.5696890286704721</v>
      </c>
      <c r="X138">
        <f t="shared" si="55"/>
        <v>3.8271857115424424</v>
      </c>
      <c r="Y138">
        <f t="shared" si="49"/>
        <v>1.6763550302142076</v>
      </c>
      <c r="Z138">
        <f t="shared" si="56"/>
        <v>3.7622776808435692</v>
      </c>
      <c r="AA138">
        <f t="shared" si="50"/>
        <v>1.7412630609130808</v>
      </c>
      <c r="AB138">
        <f t="shared" si="51"/>
        <v>-0.76161925824334986</v>
      </c>
      <c r="AC138">
        <f t="shared" si="52"/>
        <v>4.8839871409354538</v>
      </c>
      <c r="AD138">
        <f t="shared" si="53"/>
        <v>0.61955360082119615</v>
      </c>
    </row>
    <row r="139" spans="1:30">
      <c r="A139">
        <v>137</v>
      </c>
      <c r="B139">
        <v>4.0953642337503933</v>
      </c>
      <c r="C139">
        <f t="shared" si="57"/>
        <v>4.486082558061093</v>
      </c>
      <c r="D139">
        <f t="shared" si="57"/>
        <v>3.3810978311050048</v>
      </c>
      <c r="E139">
        <f t="shared" si="58"/>
        <v>3.9154376398001181</v>
      </c>
      <c r="F139">
        <f t="shared" si="61"/>
        <v>4.2159678196749875</v>
      </c>
      <c r="G139">
        <f t="shared" si="61"/>
        <v>4.1358392300808502</v>
      </c>
      <c r="H139">
        <f t="shared" si="61"/>
        <v>3.7476353338203627</v>
      </c>
      <c r="I139">
        <f t="shared" si="44"/>
        <v>-0.34772889993003053</v>
      </c>
      <c r="J139">
        <f t="shared" si="59"/>
        <v>4.0634460657246256</v>
      </c>
      <c r="K139">
        <f t="shared" ref="K139:M202" si="63">AVERAGE(J135:J138)</f>
        <v>4.2387823036192946</v>
      </c>
      <c r="L139">
        <f t="shared" si="63"/>
        <v>3.8493499939327096</v>
      </c>
      <c r="M139">
        <f t="shared" si="63"/>
        <v>3.7228003041449291</v>
      </c>
      <c r="N139">
        <f t="shared" si="45"/>
        <v>-0.37256392960546414</v>
      </c>
      <c r="O139">
        <f t="shared" si="60"/>
        <v>4.0698296993297784</v>
      </c>
      <c r="P139">
        <f t="shared" si="42"/>
        <v>4.1400222301993264</v>
      </c>
      <c r="Q139">
        <f t="shared" si="62"/>
        <v>4.272340481226184</v>
      </c>
      <c r="R139">
        <f t="shared" si="43"/>
        <v>3.9174378971735244</v>
      </c>
      <c r="S139">
        <f t="shared" si="43"/>
        <v>3.7218822992271492</v>
      </c>
      <c r="T139">
        <f t="shared" si="46"/>
        <v>-0.37348193452324407</v>
      </c>
      <c r="U139">
        <f t="shared" si="47"/>
        <v>0.37348193452324407</v>
      </c>
      <c r="V139">
        <f t="shared" si="54"/>
        <v>4.0908206159532252</v>
      </c>
      <c r="W139">
        <f t="shared" si="48"/>
        <v>4.5436177971680536E-3</v>
      </c>
      <c r="X139">
        <f t="shared" si="55"/>
        <v>4.1624567175852842</v>
      </c>
      <c r="Y139">
        <f t="shared" si="49"/>
        <v>-6.709248383489097E-2</v>
      </c>
      <c r="Z139">
        <f t="shared" si="56"/>
        <v>4.2846565991174934</v>
      </c>
      <c r="AA139">
        <f t="shared" si="50"/>
        <v>-0.18929236536710015</v>
      </c>
      <c r="AB139">
        <f t="shared" si="51"/>
        <v>-2.1753557662496075</v>
      </c>
      <c r="AC139">
        <f t="shared" si="52"/>
        <v>4.9153366191902128</v>
      </c>
      <c r="AD139">
        <f t="shared" si="53"/>
        <v>-0.81997238543981954</v>
      </c>
    </row>
    <row r="140" spans="1:30">
      <c r="A140">
        <v>138</v>
      </c>
      <c r="B140">
        <v>4.6280394691386855</v>
      </c>
      <c r="C140">
        <f t="shared" si="57"/>
        <v>4.7994524877535216</v>
      </c>
      <c r="D140">
        <f t="shared" si="57"/>
        <v>3.8037343234414727</v>
      </c>
      <c r="E140">
        <f t="shared" si="58"/>
        <v>4.3558431166241931</v>
      </c>
      <c r="F140">
        <f t="shared" si="61"/>
        <v>3.9780325920576103</v>
      </c>
      <c r="G140">
        <f t="shared" si="61"/>
        <v>4.2856549940706161</v>
      </c>
      <c r="H140">
        <f t="shared" si="61"/>
        <v>3.8889026369770492</v>
      </c>
      <c r="I140">
        <f t="shared" si="44"/>
        <v>-0.73913683216163628</v>
      </c>
      <c r="J140">
        <f t="shared" si="59"/>
        <v>3.960419288287687</v>
      </c>
      <c r="K140">
        <f t="shared" si="63"/>
        <v>4.1895364712050931</v>
      </c>
      <c r="L140">
        <f t="shared" si="63"/>
        <v>3.9913140491318622</v>
      </c>
      <c r="M140">
        <f t="shared" si="63"/>
        <v>3.7668534009440569</v>
      </c>
      <c r="N140">
        <f t="shared" si="45"/>
        <v>-0.86118606819462862</v>
      </c>
      <c r="O140">
        <f t="shared" si="60"/>
        <v>4.0939433244578867</v>
      </c>
      <c r="P140">
        <f t="shared" si="42"/>
        <v>4.1769379846982444</v>
      </c>
      <c r="Q140">
        <f t="shared" si="62"/>
        <v>4.3955443729748112</v>
      </c>
      <c r="R140">
        <f t="shared" si="43"/>
        <v>3.9823364176410618</v>
      </c>
      <c r="S140">
        <f t="shared" si="43"/>
        <v>3.772172746957942</v>
      </c>
      <c r="T140">
        <f t="shared" si="46"/>
        <v>-0.85586672218074344</v>
      </c>
      <c r="U140">
        <f t="shared" si="47"/>
        <v>0.85586672218074344</v>
      </c>
      <c r="V140">
        <f t="shared" si="54"/>
        <v>4.091274977732942</v>
      </c>
      <c r="W140">
        <f t="shared" si="48"/>
        <v>0.53676449140574345</v>
      </c>
      <c r="X140">
        <f t="shared" si="55"/>
        <v>4.1490382208183059</v>
      </c>
      <c r="Y140">
        <f t="shared" si="49"/>
        <v>0.4790012483203796</v>
      </c>
      <c r="Z140">
        <f t="shared" si="56"/>
        <v>4.2278688895073637</v>
      </c>
      <c r="AA140">
        <f t="shared" si="50"/>
        <v>0.40017057963132174</v>
      </c>
      <c r="AB140">
        <f t="shared" si="51"/>
        <v>-1.6482405308613144</v>
      </c>
      <c r="AC140">
        <f t="shared" si="52"/>
        <v>4.9473795295544152</v>
      </c>
      <c r="AD140">
        <f t="shared" si="53"/>
        <v>-0.31934006041572971</v>
      </c>
    </row>
    <row r="141" spans="1:30">
      <c r="A141">
        <v>139</v>
      </c>
      <c r="B141">
        <v>5.3209650026925557</v>
      </c>
      <c r="C141">
        <f t="shared" si="57"/>
        <v>4.3617018514445398</v>
      </c>
      <c r="D141">
        <f t="shared" si="57"/>
        <v>4.6427675229073078</v>
      </c>
      <c r="E141">
        <f t="shared" si="58"/>
        <v>4.742314814881909</v>
      </c>
      <c r="F141">
        <f t="shared" si="61"/>
        <v>3.9515650878238646</v>
      </c>
      <c r="G141">
        <f t="shared" si="61"/>
        <v>4.2138725726235009</v>
      </c>
      <c r="H141">
        <f t="shared" si="61"/>
        <v>4.0972443265638843</v>
      </c>
      <c r="I141">
        <f t="shared" si="44"/>
        <v>-1.2237206761286714</v>
      </c>
      <c r="J141">
        <f t="shared" si="59"/>
        <v>4.423892204752816</v>
      </c>
      <c r="K141">
        <f t="shared" si="63"/>
        <v>4.0957312781016242</v>
      </c>
      <c r="L141">
        <f t="shared" si="63"/>
        <v>4.0990060151639174</v>
      </c>
      <c r="M141">
        <f t="shared" si="63"/>
        <v>3.8400898104695793</v>
      </c>
      <c r="N141">
        <f t="shared" si="45"/>
        <v>-1.4808751922229764</v>
      </c>
      <c r="O141">
        <f t="shared" si="60"/>
        <v>4.6033067643407639</v>
      </c>
      <c r="P141">
        <f t="shared" ref="P141:P204" si="64">AVERAGE(O136:O140)</f>
        <v>4.1337590925888668</v>
      </c>
      <c r="Q141">
        <f t="shared" si="62"/>
        <v>4.1628646609645967</v>
      </c>
      <c r="R141">
        <f t="shared" si="43"/>
        <v>4.1244038956538969</v>
      </c>
      <c r="S141">
        <f t="shared" si="43"/>
        <v>3.8222760559240778</v>
      </c>
      <c r="T141">
        <f t="shared" si="46"/>
        <v>-1.4986889467684779</v>
      </c>
      <c r="U141">
        <f t="shared" si="47"/>
        <v>1.4986889467684779</v>
      </c>
      <c r="V141">
        <f t="shared" si="54"/>
        <v>4.1449514268735168</v>
      </c>
      <c r="W141">
        <f t="shared" si="48"/>
        <v>1.1760135758190389</v>
      </c>
      <c r="X141">
        <f t="shared" si="55"/>
        <v>4.2448384704823816</v>
      </c>
      <c r="Y141">
        <f t="shared" si="49"/>
        <v>1.0761265322101741</v>
      </c>
      <c r="Z141">
        <f t="shared" si="56"/>
        <v>4.3479200633967601</v>
      </c>
      <c r="AA141">
        <f t="shared" si="50"/>
        <v>0.97304493929579561</v>
      </c>
      <c r="AB141">
        <f t="shared" si="51"/>
        <v>-0.96087499730744508</v>
      </c>
      <c r="AC141">
        <f t="shared" si="52"/>
        <v>4.9801071797541736</v>
      </c>
      <c r="AD141">
        <f t="shared" si="53"/>
        <v>0.34085782293838207</v>
      </c>
    </row>
    <row r="142" spans="1:30">
      <c r="A142">
        <v>140</v>
      </c>
      <c r="B142">
        <v>6.6736390308396025</v>
      </c>
      <c r="C142">
        <f t="shared" si="57"/>
        <v>4.9745022359156206</v>
      </c>
      <c r="D142">
        <f t="shared" si="57"/>
        <v>4.5805771695990307</v>
      </c>
      <c r="E142">
        <f t="shared" si="58"/>
        <v>4.6814562351938784</v>
      </c>
      <c r="F142">
        <f t="shared" si="61"/>
        <v>4.337865190435406</v>
      </c>
      <c r="G142">
        <f t="shared" si="61"/>
        <v>4.0485218331854869</v>
      </c>
      <c r="H142">
        <f t="shared" si="61"/>
        <v>4.2117889322583224</v>
      </c>
      <c r="I142">
        <f t="shared" si="44"/>
        <v>-2.4618500985812801</v>
      </c>
      <c r="J142">
        <f t="shared" si="59"/>
        <v>4.8869773618345711</v>
      </c>
      <c r="K142">
        <f t="shared" si="63"/>
        <v>4.1603369685876457</v>
      </c>
      <c r="L142">
        <f t="shared" si="63"/>
        <v>4.1380170833649856</v>
      </c>
      <c r="M142">
        <f t="shared" si="63"/>
        <v>3.9334541413480455</v>
      </c>
      <c r="N142">
        <f t="shared" si="45"/>
        <v>-2.740184889491557</v>
      </c>
      <c r="O142">
        <f t="shared" si="60"/>
        <v>5.244309695635577</v>
      </c>
      <c r="P142">
        <f t="shared" si="64"/>
        <v>4.2497521236136429</v>
      </c>
      <c r="Q142">
        <f t="shared" si="62"/>
        <v>4.2984469374969985</v>
      </c>
      <c r="R142">
        <f t="shared" si="43"/>
        <v>4.1340803393727672</v>
      </c>
      <c r="S142">
        <f t="shared" si="43"/>
        <v>3.899673547352394</v>
      </c>
      <c r="T142">
        <f t="shared" si="46"/>
        <v>-2.7739654834872085</v>
      </c>
      <c r="U142">
        <f t="shared" si="47"/>
        <v>2.7739654834872085</v>
      </c>
      <c r="V142">
        <f t="shared" si="54"/>
        <v>4.262552784455421</v>
      </c>
      <c r="W142">
        <f t="shared" si="48"/>
        <v>2.4110862463841816</v>
      </c>
      <c r="X142">
        <f t="shared" si="55"/>
        <v>4.4600637769244162</v>
      </c>
      <c r="Y142">
        <f t="shared" si="49"/>
        <v>2.2135752539151863</v>
      </c>
      <c r="Z142">
        <f t="shared" si="56"/>
        <v>4.6398335451854988</v>
      </c>
      <c r="AA142">
        <f t="shared" si="50"/>
        <v>2.0338054856541037</v>
      </c>
      <c r="AB142">
        <f t="shared" si="51"/>
        <v>0.38623903083960265</v>
      </c>
      <c r="AC142">
        <f t="shared" si="52"/>
        <v>5.0135106873144917</v>
      </c>
      <c r="AD142">
        <f t="shared" si="53"/>
        <v>1.6601283435251109</v>
      </c>
    </row>
    <row r="143" spans="1:30">
      <c r="A143">
        <v>141</v>
      </c>
      <c r="B143">
        <v>3.396902215046758</v>
      </c>
      <c r="C143">
        <f t="shared" si="57"/>
        <v>5.9973020167660795</v>
      </c>
      <c r="D143">
        <f t="shared" si="57"/>
        <v>4.6681020436800802</v>
      </c>
      <c r="E143">
        <f t="shared" si="58"/>
        <v>5.5408811675569476</v>
      </c>
      <c r="F143">
        <f t="shared" si="61"/>
        <v>4.5932047222333265</v>
      </c>
      <c r="G143">
        <f t="shared" si="61"/>
        <v>4.0891542901056264</v>
      </c>
      <c r="H143">
        <f t="shared" si="61"/>
        <v>4.1826831332932004</v>
      </c>
      <c r="I143">
        <f t="shared" si="44"/>
        <v>0.78578091824644236</v>
      </c>
      <c r="J143">
        <f t="shared" si="59"/>
        <v>5.1795019341053097</v>
      </c>
      <c r="K143">
        <f t="shared" si="63"/>
        <v>4.3336837301499251</v>
      </c>
      <c r="L143">
        <f t="shared" si="63"/>
        <v>4.1710967553784144</v>
      </c>
      <c r="M143">
        <f t="shared" si="63"/>
        <v>4.0194217853983689</v>
      </c>
      <c r="N143">
        <f t="shared" si="45"/>
        <v>0.62251957035161087</v>
      </c>
      <c r="O143">
        <f t="shared" si="60"/>
        <v>4.8229819902935995</v>
      </c>
      <c r="P143">
        <f t="shared" si="64"/>
        <v>4.4933939769167397</v>
      </c>
      <c r="Q143">
        <f t="shared" si="62"/>
        <v>4.9483621420905708</v>
      </c>
      <c r="R143">
        <f t="shared" ref="R143:S206" si="65">AVERAGE(Q137:Q142)</f>
        <v>4.1856624406868761</v>
      </c>
      <c r="S143">
        <f t="shared" si="65"/>
        <v>3.968386585333247</v>
      </c>
      <c r="T143">
        <f t="shared" si="46"/>
        <v>0.57148437028648891</v>
      </c>
      <c r="U143">
        <f t="shared" si="47"/>
        <v>-0.57148437028648891</v>
      </c>
      <c r="V143">
        <f t="shared" si="54"/>
        <v>4.5036614090938389</v>
      </c>
      <c r="W143">
        <f t="shared" si="48"/>
        <v>-1.1067591940470809</v>
      </c>
      <c r="X143">
        <f t="shared" si="55"/>
        <v>4.9027788277074533</v>
      </c>
      <c r="Y143">
        <f t="shared" si="49"/>
        <v>-1.5058766126606953</v>
      </c>
      <c r="Z143">
        <f t="shared" si="56"/>
        <v>5.24997519088173</v>
      </c>
      <c r="AA143">
        <f t="shared" si="50"/>
        <v>-1.853072975834972</v>
      </c>
      <c r="AB143">
        <f t="shared" si="51"/>
        <v>-2.8960577849532427</v>
      </c>
      <c r="AC143">
        <f t="shared" si="52"/>
        <v>5.047580982026564</v>
      </c>
      <c r="AD143">
        <f t="shared" si="53"/>
        <v>-1.650678766979806</v>
      </c>
    </row>
    <row r="144" spans="1:30">
      <c r="A144">
        <v>142</v>
      </c>
      <c r="B144">
        <v>5.991864930759089</v>
      </c>
      <c r="C144">
        <f t="shared" si="57"/>
        <v>5.0352706229431803</v>
      </c>
      <c r="D144">
        <f t="shared" si="57"/>
        <v>5.4859021263408501</v>
      </c>
      <c r="E144">
        <f t="shared" si="58"/>
        <v>5.130502082859639</v>
      </c>
      <c r="F144">
        <f t="shared" si="61"/>
        <v>4.9882174058775783</v>
      </c>
      <c r="G144">
        <f t="shared" si="61"/>
        <v>4.2942116668308659</v>
      </c>
      <c r="H144">
        <f t="shared" si="61"/>
        <v>4.1171828986382044</v>
      </c>
      <c r="I144">
        <f t="shared" si="44"/>
        <v>-1.8746820321208846</v>
      </c>
      <c r="J144">
        <f t="shared" si="59"/>
        <v>5.0048864294294004</v>
      </c>
      <c r="K144">
        <f t="shared" si="63"/>
        <v>4.6126976972450962</v>
      </c>
      <c r="L144">
        <f t="shared" si="63"/>
        <v>4.1948221120110718</v>
      </c>
      <c r="M144">
        <f t="shared" si="63"/>
        <v>4.0998584757597953</v>
      </c>
      <c r="N144">
        <f t="shared" si="45"/>
        <v>-1.8920064549992937</v>
      </c>
      <c r="O144">
        <f t="shared" si="60"/>
        <v>5.2022821296953383</v>
      </c>
      <c r="P144">
        <f t="shared" si="64"/>
        <v>4.5668742948115213</v>
      </c>
      <c r="Q144">
        <f t="shared" si="62"/>
        <v>4.9364084488707745</v>
      </c>
      <c r="R144">
        <f t="shared" si="65"/>
        <v>4.3347412219158032</v>
      </c>
      <c r="S144">
        <f t="shared" si="65"/>
        <v>4.0370247322908162</v>
      </c>
      <c r="T144">
        <f t="shared" si="46"/>
        <v>-1.9548401984682728</v>
      </c>
      <c r="U144">
        <f t="shared" si="47"/>
        <v>1.9548401984682728</v>
      </c>
      <c r="V144">
        <f t="shared" si="54"/>
        <v>4.3929854896891305</v>
      </c>
      <c r="W144">
        <f t="shared" si="48"/>
        <v>1.5988794410699585</v>
      </c>
      <c r="X144">
        <f t="shared" si="55"/>
        <v>4.6016035051753139</v>
      </c>
      <c r="Y144">
        <f t="shared" si="49"/>
        <v>1.3902614255837751</v>
      </c>
      <c r="Z144">
        <f t="shared" si="56"/>
        <v>4.6940532981312382</v>
      </c>
      <c r="AA144">
        <f t="shared" si="50"/>
        <v>1.2978116326278508</v>
      </c>
      <c r="AB144">
        <f t="shared" si="51"/>
        <v>-0.3066550692409109</v>
      </c>
      <c r="AC144">
        <f t="shared" si="52"/>
        <v>5.0823088084672206</v>
      </c>
      <c r="AD144">
        <f t="shared" si="53"/>
        <v>0.90955612229186844</v>
      </c>
    </row>
    <row r="145" spans="1:30">
      <c r="A145">
        <v>143</v>
      </c>
      <c r="B145">
        <v>4.7858971560651362</v>
      </c>
      <c r="C145">
        <f t="shared" si="57"/>
        <v>4.6943835729029235</v>
      </c>
      <c r="D145">
        <f t="shared" si="57"/>
        <v>5.5162863198546299</v>
      </c>
      <c r="E145">
        <f t="shared" si="58"/>
        <v>5.3541353922151496</v>
      </c>
      <c r="F145">
        <f t="shared" si="61"/>
        <v>5.117613161870155</v>
      </c>
      <c r="G145">
        <f t="shared" si="61"/>
        <v>4.6397624395154367</v>
      </c>
      <c r="H145">
        <f t="shared" si="61"/>
        <v>4.1439625967073264</v>
      </c>
      <c r="I145">
        <f t="shared" si="44"/>
        <v>-0.64193455935780985</v>
      </c>
      <c r="J145">
        <f t="shared" si="59"/>
        <v>5.3458427948345015</v>
      </c>
      <c r="K145">
        <f t="shared" si="63"/>
        <v>4.8738144825305243</v>
      </c>
      <c r="L145">
        <f t="shared" si="63"/>
        <v>4.300612418521073</v>
      </c>
      <c r="M145">
        <f t="shared" si="63"/>
        <v>4.1507354914795975</v>
      </c>
      <c r="N145">
        <f t="shared" si="45"/>
        <v>-0.63516166458553869</v>
      </c>
      <c r="O145">
        <f t="shared" si="60"/>
        <v>5.2338536670806288</v>
      </c>
      <c r="P145">
        <f t="shared" si="64"/>
        <v>4.7933647808846329</v>
      </c>
      <c r="Q145">
        <f t="shared" si="62"/>
        <v>5.017795813704514</v>
      </c>
      <c r="R145">
        <f t="shared" si="65"/>
        <v>4.5023278406039893</v>
      </c>
      <c r="S145">
        <f t="shared" si="65"/>
        <v>4.1131103687406547</v>
      </c>
      <c r="T145">
        <f t="shared" si="46"/>
        <v>-0.67278678732448149</v>
      </c>
      <c r="U145">
        <f t="shared" si="47"/>
        <v>0.67278678732448149</v>
      </c>
      <c r="V145">
        <f t="shared" si="54"/>
        <v>4.5528734337961261</v>
      </c>
      <c r="W145">
        <f t="shared" si="48"/>
        <v>0.23302372226901014</v>
      </c>
      <c r="X145">
        <f t="shared" si="55"/>
        <v>4.8796557902920688</v>
      </c>
      <c r="Y145">
        <f t="shared" si="49"/>
        <v>-9.3758634226932536E-2</v>
      </c>
      <c r="Z145">
        <f t="shared" si="56"/>
        <v>5.0833967879195932</v>
      </c>
      <c r="AA145">
        <f t="shared" si="50"/>
        <v>-0.29749963185445694</v>
      </c>
      <c r="AB145">
        <f t="shared" si="51"/>
        <v>-1.5181828439348646</v>
      </c>
      <c r="AC145">
        <f t="shared" si="52"/>
        <v>5.1176847285698157</v>
      </c>
      <c r="AD145">
        <f t="shared" si="53"/>
        <v>-0.3317875725046795</v>
      </c>
    </row>
    <row r="146" spans="1:30">
      <c r="A146">
        <v>144</v>
      </c>
      <c r="B146">
        <v>3.9667645585095626</v>
      </c>
      <c r="C146">
        <f t="shared" si="57"/>
        <v>5.3888810434121126</v>
      </c>
      <c r="D146">
        <f t="shared" si="57"/>
        <v>4.8648270979230519</v>
      </c>
      <c r="E146">
        <f t="shared" si="58"/>
        <v>4.7248881006236614</v>
      </c>
      <c r="F146">
        <f t="shared" si="61"/>
        <v>5.3418395475439118</v>
      </c>
      <c r="G146">
        <f t="shared" si="61"/>
        <v>4.8996784299936866</v>
      </c>
      <c r="H146">
        <f t="shared" si="61"/>
        <v>4.3410427988173099</v>
      </c>
      <c r="I146">
        <f t="shared" si="44"/>
        <v>0.37427824030774737</v>
      </c>
      <c r="J146">
        <f t="shared" si="59"/>
        <v>5.2120758331776464</v>
      </c>
      <c r="K146">
        <f t="shared" si="63"/>
        <v>5.1043021300509466</v>
      </c>
      <c r="L146">
        <f t="shared" si="63"/>
        <v>4.4951332196282978</v>
      </c>
      <c r="M146">
        <f t="shared" si="63"/>
        <v>4.201137092318886</v>
      </c>
      <c r="N146">
        <f t="shared" si="45"/>
        <v>0.23437253380932344</v>
      </c>
      <c r="O146">
        <f t="shared" si="60"/>
        <v>4.9630135782440297</v>
      </c>
      <c r="P146">
        <f t="shared" si="64"/>
        <v>5.0213468494091815</v>
      </c>
      <c r="Q146">
        <f t="shared" si="62"/>
        <v>5.1328846340903045</v>
      </c>
      <c r="R146">
        <f t="shared" si="65"/>
        <v>4.6265703960170441</v>
      </c>
      <c r="S146">
        <f t="shared" si="65"/>
        <v>4.2105920259790652</v>
      </c>
      <c r="T146">
        <f t="shared" si="46"/>
        <v>0.24382746746950268</v>
      </c>
      <c r="U146">
        <f t="shared" si="47"/>
        <v>-0.24382746746950268</v>
      </c>
      <c r="V146">
        <f t="shared" si="54"/>
        <v>4.5761758060230271</v>
      </c>
      <c r="W146">
        <f t="shared" si="48"/>
        <v>-0.60941124751346454</v>
      </c>
      <c r="X146">
        <f t="shared" si="55"/>
        <v>4.8609040634466822</v>
      </c>
      <c r="Y146">
        <f t="shared" si="49"/>
        <v>-0.89413950493711969</v>
      </c>
      <c r="Z146">
        <f t="shared" si="56"/>
        <v>4.9941468983632564</v>
      </c>
      <c r="AA146">
        <f t="shared" si="50"/>
        <v>-1.0273823398536939</v>
      </c>
      <c r="AB146">
        <f t="shared" si="51"/>
        <v>-2.3428754414904374</v>
      </c>
      <c r="AC146">
        <f t="shared" si="52"/>
        <v>5.1536991242458532</v>
      </c>
      <c r="AD146">
        <f t="shared" si="53"/>
        <v>-1.1869345657362906</v>
      </c>
    </row>
    <row r="147" spans="1:30">
      <c r="A147">
        <v>145</v>
      </c>
      <c r="B147">
        <v>6.031772776567724</v>
      </c>
      <c r="C147">
        <f t="shared" si="57"/>
        <v>4.3763308572873498</v>
      </c>
      <c r="D147">
        <f t="shared" si="57"/>
        <v>5.0416323081575181</v>
      </c>
      <c r="E147">
        <f t="shared" si="58"/>
        <v>4.9148422151112632</v>
      </c>
      <c r="F147">
        <f t="shared" si="61"/>
        <v>5.06984185856615</v>
      </c>
      <c r="G147">
        <f t="shared" si="61"/>
        <v>5.149223371763882</v>
      </c>
      <c r="H147">
        <f t="shared" si="61"/>
        <v>4.6112175121133294</v>
      </c>
      <c r="I147">
        <f t="shared" si="44"/>
        <v>-1.4205552644543946</v>
      </c>
      <c r="J147">
        <f t="shared" si="59"/>
        <v>4.5353572150951367</v>
      </c>
      <c r="K147">
        <f t="shared" si="63"/>
        <v>5.1855767478867145</v>
      </c>
      <c r="L147">
        <f t="shared" si="63"/>
        <v>4.7311245099941228</v>
      </c>
      <c r="M147">
        <f t="shared" si="63"/>
        <v>4.2904161263847138</v>
      </c>
      <c r="N147">
        <f t="shared" si="45"/>
        <v>-1.7413566501830102</v>
      </c>
      <c r="O147">
        <f t="shared" si="60"/>
        <v>4.8346403273896543</v>
      </c>
      <c r="P147">
        <f t="shared" si="64"/>
        <v>5.0932882121898349</v>
      </c>
      <c r="Q147">
        <f t="shared" si="62"/>
        <v>5.0226721489854507</v>
      </c>
      <c r="R147">
        <f t="shared" si="65"/>
        <v>4.7494604395362927</v>
      </c>
      <c r="S147">
        <f t="shared" si="65"/>
        <v>4.317964355708396</v>
      </c>
      <c r="T147">
        <f t="shared" si="46"/>
        <v>-1.7138084208593281</v>
      </c>
      <c r="U147">
        <f t="shared" si="47"/>
        <v>1.7138084208593281</v>
      </c>
      <c r="V147">
        <f t="shared" si="54"/>
        <v>4.5152346812716804</v>
      </c>
      <c r="W147">
        <f t="shared" si="48"/>
        <v>1.5165380952960437</v>
      </c>
      <c r="X147">
        <f t="shared" si="55"/>
        <v>4.682076162459258</v>
      </c>
      <c r="Y147">
        <f t="shared" si="49"/>
        <v>1.3496966141084661</v>
      </c>
      <c r="Z147">
        <f t="shared" si="56"/>
        <v>4.6859321964071485</v>
      </c>
      <c r="AA147">
        <f t="shared" si="50"/>
        <v>1.3458405801605755</v>
      </c>
      <c r="AB147">
        <f t="shared" si="51"/>
        <v>-0.28342722343227678</v>
      </c>
      <c r="AC147">
        <f t="shared" si="52"/>
        <v>5.1903422000566168</v>
      </c>
      <c r="AD147">
        <f t="shared" si="53"/>
        <v>0.8414305765111072</v>
      </c>
    </row>
    <row r="148" spans="1:30">
      <c r="A148">
        <v>146</v>
      </c>
      <c r="B148">
        <v>3.5165642075820998</v>
      </c>
      <c r="C148">
        <f t="shared" si="57"/>
        <v>4.9992686675386437</v>
      </c>
      <c r="D148">
        <f t="shared" si="57"/>
        <v>4.8826059503497312</v>
      </c>
      <c r="E148">
        <f t="shared" si="58"/>
        <v>4.9281448303808082</v>
      </c>
      <c r="F148">
        <f t="shared" si="61"/>
        <v>4.9979552359833583</v>
      </c>
      <c r="G148">
        <f t="shared" si="61"/>
        <v>5.1764315226600717</v>
      </c>
      <c r="H148">
        <f t="shared" si="61"/>
        <v>4.8962214137576687</v>
      </c>
      <c r="I148">
        <f t="shared" si="44"/>
        <v>1.379657206175569</v>
      </c>
      <c r="J148">
        <f t="shared" si="59"/>
        <v>5.1940748554753782</v>
      </c>
      <c r="K148">
        <f t="shared" si="63"/>
        <v>5.0245405681341708</v>
      </c>
      <c r="L148">
        <f t="shared" si="63"/>
        <v>4.9440977644283199</v>
      </c>
      <c r="M148">
        <f t="shared" si="63"/>
        <v>4.4304230650386405</v>
      </c>
      <c r="N148">
        <f t="shared" si="45"/>
        <v>0.91385885745654072</v>
      </c>
      <c r="O148">
        <f t="shared" si="60"/>
        <v>4.8585727258967228</v>
      </c>
      <c r="P148">
        <f t="shared" si="64"/>
        <v>5.0113543385406505</v>
      </c>
      <c r="Q148">
        <f t="shared" si="62"/>
        <v>5.1411401112979789</v>
      </c>
      <c r="R148">
        <f t="shared" si="65"/>
        <v>4.8927616875397684</v>
      </c>
      <c r="S148">
        <f t="shared" si="65"/>
        <v>4.4221404463554626</v>
      </c>
      <c r="T148">
        <f t="shared" si="46"/>
        <v>0.9055762387733628</v>
      </c>
      <c r="U148">
        <f t="shared" si="47"/>
        <v>-0.9055762387733628</v>
      </c>
      <c r="V148">
        <f t="shared" si="54"/>
        <v>4.6668884908012851</v>
      </c>
      <c r="W148">
        <f t="shared" si="48"/>
        <v>-1.1503242832191853</v>
      </c>
      <c r="X148">
        <f t="shared" si="55"/>
        <v>4.9520154852809508</v>
      </c>
      <c r="Y148">
        <f t="shared" si="49"/>
        <v>-1.4354512776988511</v>
      </c>
      <c r="Z148">
        <f t="shared" si="56"/>
        <v>5.0896843704553216</v>
      </c>
      <c r="AA148">
        <f t="shared" si="50"/>
        <v>-1.5731201628732219</v>
      </c>
      <c r="AB148">
        <f t="shared" si="51"/>
        <v>-2.8041957924179002</v>
      </c>
      <c r="AC148">
        <f t="shared" si="52"/>
        <v>5.2276039859340635</v>
      </c>
      <c r="AD148">
        <f t="shared" si="53"/>
        <v>-1.7110397783519637</v>
      </c>
    </row>
    <row r="149" spans="1:30">
      <c r="A149">
        <v>147</v>
      </c>
      <c r="B149">
        <v>3.9162009714371084</v>
      </c>
      <c r="C149">
        <f t="shared" si="57"/>
        <v>4.7741684920749119</v>
      </c>
      <c r="D149">
        <f t="shared" si="57"/>
        <v>4.6877997624129968</v>
      </c>
      <c r="E149">
        <f t="shared" si="58"/>
        <v>4.5050338475531291</v>
      </c>
      <c r="F149">
        <f t="shared" si="61"/>
        <v>4.855958382038577</v>
      </c>
      <c r="G149">
        <f t="shared" si="61"/>
        <v>5.1365455473644737</v>
      </c>
      <c r="H149">
        <f t="shared" si="61"/>
        <v>5.0751111081392137</v>
      </c>
      <c r="I149">
        <f t="shared" si="44"/>
        <v>1.1589101367021053</v>
      </c>
      <c r="J149">
        <f t="shared" si="59"/>
        <v>4.5752496746811309</v>
      </c>
      <c r="K149">
        <f t="shared" si="63"/>
        <v>5.0718376746456659</v>
      </c>
      <c r="L149">
        <f t="shared" si="63"/>
        <v>5.0470584821505886</v>
      </c>
      <c r="M149">
        <f t="shared" si="63"/>
        <v>4.617741978142953</v>
      </c>
      <c r="N149">
        <f t="shared" si="45"/>
        <v>0.70154100670584452</v>
      </c>
      <c r="O149">
        <f t="shared" si="60"/>
        <v>4.4434399340323267</v>
      </c>
      <c r="P149">
        <f t="shared" si="64"/>
        <v>5.0184724856612748</v>
      </c>
      <c r="Q149">
        <f t="shared" si="62"/>
        <v>4.6149609740883948</v>
      </c>
      <c r="R149">
        <f t="shared" si="65"/>
        <v>5.0332105498399322</v>
      </c>
      <c r="S149">
        <f t="shared" si="65"/>
        <v>4.5485873377166284</v>
      </c>
      <c r="T149">
        <f t="shared" si="46"/>
        <v>0.63238636627951994</v>
      </c>
      <c r="U149">
        <f t="shared" si="47"/>
        <v>-0.63238636627951994</v>
      </c>
      <c r="V149">
        <f t="shared" si="54"/>
        <v>4.5518560624793665</v>
      </c>
      <c r="W149">
        <f t="shared" si="48"/>
        <v>-0.63565509104225804</v>
      </c>
      <c r="X149">
        <f t="shared" si="55"/>
        <v>4.664925229741181</v>
      </c>
      <c r="Y149">
        <f t="shared" si="49"/>
        <v>-0.74872425830407252</v>
      </c>
      <c r="Z149">
        <f t="shared" si="56"/>
        <v>4.6177483215933552</v>
      </c>
      <c r="AA149">
        <f t="shared" si="50"/>
        <v>-0.70154735015624681</v>
      </c>
      <c r="AB149">
        <f t="shared" si="51"/>
        <v>-2.4101190285628915</v>
      </c>
      <c r="AC149">
        <f t="shared" si="52"/>
        <v>5.2654743399502184</v>
      </c>
      <c r="AD149">
        <f t="shared" si="53"/>
        <v>-1.34927336851311</v>
      </c>
    </row>
    <row r="150" spans="1:30">
      <c r="A150">
        <v>148</v>
      </c>
      <c r="B150">
        <v>4.3404557286705465</v>
      </c>
      <c r="C150">
        <f t="shared" si="57"/>
        <v>3.7163825895096041</v>
      </c>
      <c r="D150">
        <f t="shared" si="57"/>
        <v>4.8867185798067778</v>
      </c>
      <c r="E150">
        <f t="shared" si="58"/>
        <v>4.4881793185289771</v>
      </c>
      <c r="F150">
        <f t="shared" si="61"/>
        <v>4.7826736310150668</v>
      </c>
      <c r="G150">
        <f t="shared" si="61"/>
        <v>4.9745851588626948</v>
      </c>
      <c r="H150">
        <f t="shared" si="61"/>
        <v>5.1540668139294761</v>
      </c>
      <c r="I150">
        <f t="shared" si="44"/>
        <v>0.81361108525892956</v>
      </c>
      <c r="J150">
        <f t="shared" si="59"/>
        <v>4.3578256285241235</v>
      </c>
      <c r="K150">
        <f t="shared" si="63"/>
        <v>4.879189394607323</v>
      </c>
      <c r="L150">
        <f t="shared" si="63"/>
        <v>5.0965642801793738</v>
      </c>
      <c r="M150">
        <f t="shared" si="63"/>
        <v>4.804353494050333</v>
      </c>
      <c r="N150">
        <f t="shared" si="45"/>
        <v>0.46389776537978644</v>
      </c>
      <c r="O150">
        <f t="shared" si="60"/>
        <v>4.3543516485534086</v>
      </c>
      <c r="P150">
        <f t="shared" si="64"/>
        <v>4.8667040465286719</v>
      </c>
      <c r="Q150">
        <f t="shared" si="62"/>
        <v>4.7015107668201201</v>
      </c>
      <c r="R150">
        <f t="shared" si="65"/>
        <v>4.9776436885062365</v>
      </c>
      <c r="S150">
        <f t="shared" si="65"/>
        <v>4.6898453559088047</v>
      </c>
      <c r="T150">
        <f t="shared" si="46"/>
        <v>0.34938962723825817</v>
      </c>
      <c r="U150">
        <f t="shared" si="47"/>
        <v>-0.34938962723825817</v>
      </c>
      <c r="V150">
        <f t="shared" si="54"/>
        <v>4.4882905533751405</v>
      </c>
      <c r="W150">
        <f t="shared" si="48"/>
        <v>-0.14783482470459397</v>
      </c>
      <c r="X150">
        <f t="shared" si="55"/>
        <v>4.5151803780803661</v>
      </c>
      <c r="Y150">
        <f t="shared" si="49"/>
        <v>-0.17472464940981958</v>
      </c>
      <c r="Z150">
        <f t="shared" si="56"/>
        <v>4.4072841165464816</v>
      </c>
      <c r="AA150">
        <f t="shared" si="50"/>
        <v>-6.6828387875935036E-2</v>
      </c>
      <c r="AB150">
        <f t="shared" si="51"/>
        <v>-1.9914242713294534</v>
      </c>
      <c r="AC150">
        <f t="shared" si="52"/>
        <v>5.3039429511343155</v>
      </c>
      <c r="AD150">
        <f t="shared" si="53"/>
        <v>-0.96348722246376894</v>
      </c>
    </row>
    <row r="151" spans="1:30">
      <c r="A151">
        <v>149</v>
      </c>
      <c r="B151">
        <v>5.0221901097174984</v>
      </c>
      <c r="C151">
        <f t="shared" si="57"/>
        <v>4.1283283500538275</v>
      </c>
      <c r="D151">
        <f t="shared" si="57"/>
        <v>4.2452755407922584</v>
      </c>
      <c r="E151">
        <f t="shared" si="58"/>
        <v>3.9244069692299184</v>
      </c>
      <c r="F151">
        <f t="shared" si="61"/>
        <v>4.640452665487639</v>
      </c>
      <c r="G151">
        <f t="shared" si="61"/>
        <v>4.8788624163456671</v>
      </c>
      <c r="H151">
        <f t="shared" si="61"/>
        <v>5.0958540762957467</v>
      </c>
      <c r="I151">
        <f t="shared" si="44"/>
        <v>7.3663966578248363E-2</v>
      </c>
      <c r="J151">
        <f t="shared" si="59"/>
        <v>4.4512484210643697</v>
      </c>
      <c r="K151">
        <f t="shared" si="63"/>
        <v>4.6656268434439419</v>
      </c>
      <c r="L151">
        <f t="shared" si="63"/>
        <v>5.0402860963184679</v>
      </c>
      <c r="M151">
        <f t="shared" si="63"/>
        <v>4.9547112591881017</v>
      </c>
      <c r="N151">
        <f t="shared" si="45"/>
        <v>-6.7478850529396617E-2</v>
      </c>
      <c r="O151">
        <f t="shared" si="60"/>
        <v>4.5654367587949958</v>
      </c>
      <c r="P151">
        <f t="shared" si="64"/>
        <v>4.6908036428232283</v>
      </c>
      <c r="Q151">
        <f t="shared" si="62"/>
        <v>4.426275899805364</v>
      </c>
      <c r="R151">
        <f t="shared" si="65"/>
        <v>4.9384940748311275</v>
      </c>
      <c r="S151">
        <f t="shared" si="65"/>
        <v>4.7969957670072105</v>
      </c>
      <c r="T151">
        <f t="shared" si="46"/>
        <v>-0.22519434271028782</v>
      </c>
      <c r="U151">
        <f t="shared" si="47"/>
        <v>0.22519434271028782</v>
      </c>
      <c r="V151">
        <f t="shared" si="54"/>
        <v>4.4735070709046809</v>
      </c>
      <c r="W151">
        <f t="shared" si="48"/>
        <v>0.54868303881281744</v>
      </c>
      <c r="X151">
        <f t="shared" si="55"/>
        <v>4.4802354481984024</v>
      </c>
      <c r="Y151">
        <f t="shared" si="49"/>
        <v>0.54195466151909599</v>
      </c>
      <c r="Z151">
        <f t="shared" si="56"/>
        <v>4.3872356001837014</v>
      </c>
      <c r="AA151">
        <f t="shared" si="50"/>
        <v>0.63495450953379695</v>
      </c>
      <c r="AB151">
        <f t="shared" si="51"/>
        <v>-1.3152498902825016</v>
      </c>
      <c r="AC151">
        <f t="shared" si="52"/>
        <v>5.3429993423368893</v>
      </c>
      <c r="AD151">
        <f t="shared" si="53"/>
        <v>-0.32080923261939098</v>
      </c>
    </row>
    <row r="152" spans="1:30">
      <c r="A152">
        <v>150</v>
      </c>
      <c r="B152">
        <v>3.7430882520663289</v>
      </c>
      <c r="C152">
        <f t="shared" si="57"/>
        <v>4.681322919194022</v>
      </c>
      <c r="D152">
        <f t="shared" si="57"/>
        <v>3.9223554697817158</v>
      </c>
      <c r="E152">
        <f t="shared" si="58"/>
        <v>4.4262822699417184</v>
      </c>
      <c r="F152">
        <f t="shared" si="61"/>
        <v>4.305873378437342</v>
      </c>
      <c r="G152">
        <f t="shared" si="61"/>
        <v>4.7596948928470946</v>
      </c>
      <c r="H152">
        <f t="shared" si="61"/>
        <v>4.9966643741909449</v>
      </c>
      <c r="I152">
        <f t="shared" si="44"/>
        <v>1.253576122124616</v>
      </c>
      <c r="J152">
        <f t="shared" si="59"/>
        <v>4.1988527543518135</v>
      </c>
      <c r="K152">
        <f t="shared" si="63"/>
        <v>4.6445996449362505</v>
      </c>
      <c r="L152">
        <f t="shared" si="63"/>
        <v>4.9102986202077759</v>
      </c>
      <c r="M152">
        <f t="shared" si="63"/>
        <v>5.0320016557691876</v>
      </c>
      <c r="N152">
        <f t="shared" si="45"/>
        <v>1.2889134037028587</v>
      </c>
      <c r="O152">
        <f t="shared" si="60"/>
        <v>4.1076998538947169</v>
      </c>
      <c r="P152">
        <f t="shared" si="64"/>
        <v>4.6112882789334213</v>
      </c>
      <c r="Q152">
        <f t="shared" si="62"/>
        <v>4.4656580587474233</v>
      </c>
      <c r="R152">
        <f t="shared" si="65"/>
        <v>4.8399074225146022</v>
      </c>
      <c r="S152">
        <f t="shared" si="65"/>
        <v>4.8696901393783998</v>
      </c>
      <c r="T152">
        <f t="shared" si="46"/>
        <v>1.1266018873120709</v>
      </c>
      <c r="U152">
        <f t="shared" si="47"/>
        <v>-1.1266018873120709</v>
      </c>
      <c r="V152">
        <f t="shared" si="54"/>
        <v>4.5283753747859627</v>
      </c>
      <c r="W152">
        <f t="shared" si="48"/>
        <v>-0.78528712271963386</v>
      </c>
      <c r="X152">
        <f t="shared" si="55"/>
        <v>4.5886263805022214</v>
      </c>
      <c r="Y152">
        <f t="shared" si="49"/>
        <v>-0.84553812843589249</v>
      </c>
      <c r="Z152">
        <f t="shared" si="56"/>
        <v>4.5777219530438407</v>
      </c>
      <c r="AA152">
        <f t="shared" si="50"/>
        <v>-0.83463370097751177</v>
      </c>
      <c r="AB152">
        <f t="shared" si="51"/>
        <v>-2.5999117479336711</v>
      </c>
      <c r="AC152">
        <f t="shared" si="52"/>
        <v>5.3826328731400261</v>
      </c>
      <c r="AD152">
        <f t="shared" si="53"/>
        <v>-1.6395446210736973</v>
      </c>
    </row>
    <row r="153" spans="1:30">
      <c r="A153">
        <v>151</v>
      </c>
      <c r="B153">
        <v>6.278238693118718</v>
      </c>
      <c r="C153">
        <f t="shared" si="57"/>
        <v>4.3826391808919141</v>
      </c>
      <c r="D153">
        <f t="shared" si="57"/>
        <v>4.4048256346239247</v>
      </c>
      <c r="E153">
        <f t="shared" si="58"/>
        <v>4.3685780301514576</v>
      </c>
      <c r="F153">
        <f t="shared" si="61"/>
        <v>4.2796228525668711</v>
      </c>
      <c r="G153">
        <f t="shared" si="61"/>
        <v>4.5763332249800159</v>
      </c>
      <c r="H153">
        <f t="shared" si="61"/>
        <v>4.8710474893518194</v>
      </c>
      <c r="I153">
        <f t="shared" si="44"/>
        <v>-1.4071912037668985</v>
      </c>
      <c r="J153">
        <f t="shared" si="59"/>
        <v>4.2554837654728708</v>
      </c>
      <c r="K153">
        <f t="shared" si="63"/>
        <v>4.3957941196553598</v>
      </c>
      <c r="L153">
        <f t="shared" si="63"/>
        <v>4.8153133894082956</v>
      </c>
      <c r="M153">
        <f t="shared" si="63"/>
        <v>5.0235518697140513</v>
      </c>
      <c r="N153">
        <f t="shared" si="45"/>
        <v>-1.2546868234046666</v>
      </c>
      <c r="O153">
        <f t="shared" si="60"/>
        <v>4.6600347510020397</v>
      </c>
      <c r="P153">
        <f t="shared" si="64"/>
        <v>4.4659001842344335</v>
      </c>
      <c r="Q153">
        <f t="shared" si="62"/>
        <v>4.4283786743402178</v>
      </c>
      <c r="R153">
        <f t="shared" si="65"/>
        <v>4.7287029932907885</v>
      </c>
      <c r="S153">
        <f t="shared" si="65"/>
        <v>4.9052463104613269</v>
      </c>
      <c r="T153">
        <f t="shared" si="46"/>
        <v>-1.3729923826573911</v>
      </c>
      <c r="U153">
        <f t="shared" si="47"/>
        <v>1.3729923826573911</v>
      </c>
      <c r="V153">
        <f t="shared" si="54"/>
        <v>4.4498466625139992</v>
      </c>
      <c r="W153">
        <f t="shared" si="48"/>
        <v>1.8283920306047188</v>
      </c>
      <c r="X153">
        <f t="shared" si="55"/>
        <v>4.4195187548150425</v>
      </c>
      <c r="Y153">
        <f t="shared" si="49"/>
        <v>1.8587199383036754</v>
      </c>
      <c r="Z153">
        <f t="shared" si="56"/>
        <v>4.3273318427505867</v>
      </c>
      <c r="AA153">
        <f t="shared" si="50"/>
        <v>1.9509068503681313</v>
      </c>
      <c r="AB153">
        <f t="shared" si="51"/>
        <v>-7.032130688128202E-2</v>
      </c>
      <c r="AC153">
        <f t="shared" si="52"/>
        <v>5.422832742812969</v>
      </c>
      <c r="AD153">
        <f t="shared" si="53"/>
        <v>0.85540595030574895</v>
      </c>
    </row>
    <row r="154" spans="1:30">
      <c r="A154">
        <v>152</v>
      </c>
      <c r="B154">
        <v>6.6221306352326534</v>
      </c>
      <c r="C154">
        <f t="shared" si="57"/>
        <v>5.0106634725925234</v>
      </c>
      <c r="D154">
        <f t="shared" si="57"/>
        <v>4.531981050042968</v>
      </c>
      <c r="E154">
        <f t="shared" si="58"/>
        <v>5.0145056849675154</v>
      </c>
      <c r="F154">
        <f t="shared" si="61"/>
        <v>4.2397557564410313</v>
      </c>
      <c r="G154">
        <f t="shared" si="61"/>
        <v>4.4086496321639501</v>
      </c>
      <c r="H154">
        <f t="shared" si="61"/>
        <v>4.7382968447242595</v>
      </c>
      <c r="I154">
        <f t="shared" si="44"/>
        <v>-1.8838337905083939</v>
      </c>
      <c r="J154">
        <f t="shared" si="59"/>
        <v>4.8459931958932732</v>
      </c>
      <c r="K154">
        <f t="shared" si="63"/>
        <v>4.3158526423532937</v>
      </c>
      <c r="L154">
        <f t="shared" si="63"/>
        <v>4.6463025006607186</v>
      </c>
      <c r="M154">
        <f t="shared" si="63"/>
        <v>4.9656155965284778</v>
      </c>
      <c r="N154">
        <f t="shared" si="45"/>
        <v>-1.6565150387041756</v>
      </c>
      <c r="O154">
        <f t="shared" si="60"/>
        <v>5.2012206837611492</v>
      </c>
      <c r="P154">
        <f t="shared" si="64"/>
        <v>4.4261925892554981</v>
      </c>
      <c r="Q154">
        <f t="shared" si="62"/>
        <v>4.4694563270987162</v>
      </c>
      <c r="R154">
        <f t="shared" si="65"/>
        <v>4.6296540808499165</v>
      </c>
      <c r="S154">
        <f t="shared" si="65"/>
        <v>4.9017867360870762</v>
      </c>
      <c r="T154">
        <f t="shared" si="46"/>
        <v>-1.7203438991455773</v>
      </c>
      <c r="U154">
        <f t="shared" si="47"/>
        <v>1.7203438991455773</v>
      </c>
      <c r="V154">
        <f t="shared" si="54"/>
        <v>4.6326858655744712</v>
      </c>
      <c r="W154">
        <f t="shared" si="48"/>
        <v>1.9894447696581823</v>
      </c>
      <c r="X154">
        <f t="shared" si="55"/>
        <v>4.7912627424757774</v>
      </c>
      <c r="Y154">
        <f t="shared" si="49"/>
        <v>1.830867892756876</v>
      </c>
      <c r="Z154">
        <f t="shared" si="56"/>
        <v>4.9126038978610262</v>
      </c>
      <c r="AA154">
        <f t="shared" si="50"/>
        <v>1.7095267373716272</v>
      </c>
      <c r="AB154">
        <f t="shared" si="51"/>
        <v>0.26801063523265345</v>
      </c>
      <c r="AC154">
        <f t="shared" si="52"/>
        <v>5.463587993312248</v>
      </c>
      <c r="AD154">
        <f t="shared" si="53"/>
        <v>1.1585426419204055</v>
      </c>
    </row>
    <row r="155" spans="1:30">
      <c r="A155">
        <v>153</v>
      </c>
      <c r="B155">
        <v>5.9173676983304171</v>
      </c>
      <c r="C155">
        <f t="shared" si="57"/>
        <v>6.4501846641756853</v>
      </c>
      <c r="D155">
        <f t="shared" si="57"/>
        <v>4.6966513267422183</v>
      </c>
      <c r="E155">
        <f t="shared" si="58"/>
        <v>5.5478191934725665</v>
      </c>
      <c r="F155">
        <f t="shared" si="61"/>
        <v>4.6031219950202305</v>
      </c>
      <c r="G155">
        <f t="shared" si="61"/>
        <v>4.2750839958150815</v>
      </c>
      <c r="H155">
        <f t="shared" si="61"/>
        <v>4.5815592499970199</v>
      </c>
      <c r="I155">
        <f t="shared" si="44"/>
        <v>-1.3358084483333972</v>
      </c>
      <c r="J155">
        <f t="shared" si="59"/>
        <v>5.4164119225337997</v>
      </c>
      <c r="K155">
        <f t="shared" si="63"/>
        <v>4.437894534195582</v>
      </c>
      <c r="L155">
        <f t="shared" si="63"/>
        <v>4.5054683125972108</v>
      </c>
      <c r="M155">
        <f t="shared" si="63"/>
        <v>4.853050151648814</v>
      </c>
      <c r="N155">
        <f t="shared" si="45"/>
        <v>-1.0643175466816031</v>
      </c>
      <c r="O155">
        <f t="shared" si="60"/>
        <v>5.516603077693123</v>
      </c>
      <c r="P155">
        <f t="shared" si="64"/>
        <v>4.5777487392012626</v>
      </c>
      <c r="Q155">
        <f t="shared" si="62"/>
        <v>4.987050731707142</v>
      </c>
      <c r="R155">
        <f t="shared" si="65"/>
        <v>4.517706783483372</v>
      </c>
      <c r="S155">
        <f t="shared" si="65"/>
        <v>4.8579354683054339</v>
      </c>
      <c r="T155">
        <f t="shared" si="46"/>
        <v>-1.0594322300249832</v>
      </c>
      <c r="U155">
        <f t="shared" si="47"/>
        <v>1.0594322300249832</v>
      </c>
      <c r="V155">
        <f t="shared" si="54"/>
        <v>4.8316303425402891</v>
      </c>
      <c r="W155">
        <f t="shared" si="48"/>
        <v>1.085737355790128</v>
      </c>
      <c r="X155">
        <f t="shared" si="55"/>
        <v>5.157436321027153</v>
      </c>
      <c r="Y155">
        <f t="shared" si="49"/>
        <v>0.7599313773032641</v>
      </c>
      <c r="Z155">
        <f t="shared" si="56"/>
        <v>5.4254619190725144</v>
      </c>
      <c r="AA155">
        <f t="shared" si="50"/>
        <v>0.49190577925790269</v>
      </c>
      <c r="AB155">
        <f t="shared" si="51"/>
        <v>-0.44231230166958291</v>
      </c>
      <c r="AC155">
        <f t="shared" si="52"/>
        <v>5.5048875123255119</v>
      </c>
      <c r="AD155">
        <f t="shared" si="53"/>
        <v>0.41248018600490521</v>
      </c>
    </row>
    <row r="156" spans="1:30">
      <c r="A156">
        <v>154</v>
      </c>
      <c r="B156">
        <v>6.1113583261264477</v>
      </c>
      <c r="C156">
        <f t="shared" si="57"/>
        <v>6.2697491667815353</v>
      </c>
      <c r="D156">
        <f t="shared" si="57"/>
        <v>5.7304240683841048</v>
      </c>
      <c r="E156">
        <f t="shared" si="58"/>
        <v>6.2725790088939286</v>
      </c>
      <c r="F156">
        <f t="shared" si="61"/>
        <v>4.9769676361971795</v>
      </c>
      <c r="G156">
        <f t="shared" si="61"/>
        <v>4.3741668680093779</v>
      </c>
      <c r="H156">
        <f t="shared" si="61"/>
        <v>4.4200222843196819</v>
      </c>
      <c r="I156">
        <f t="shared" si="44"/>
        <v>-1.6913360418067658</v>
      </c>
      <c r="J156">
        <f t="shared" si="59"/>
        <v>5.6402063196870289</v>
      </c>
      <c r="K156">
        <f t="shared" si="63"/>
        <v>4.6791854095629395</v>
      </c>
      <c r="L156">
        <f t="shared" si="63"/>
        <v>4.4485352352851208</v>
      </c>
      <c r="M156">
        <f t="shared" si="63"/>
        <v>4.7193457057185002</v>
      </c>
      <c r="N156">
        <f t="shared" si="45"/>
        <v>-1.3920126204079475</v>
      </c>
      <c r="O156">
        <f t="shared" si="60"/>
        <v>5.7344367209749123</v>
      </c>
      <c r="P156">
        <f t="shared" si="64"/>
        <v>4.8101990250292053</v>
      </c>
      <c r="Q156">
        <f t="shared" si="62"/>
        <v>5.3205785195226936</v>
      </c>
      <c r="R156">
        <f t="shared" si="65"/>
        <v>4.5797217430864974</v>
      </c>
      <c r="S156">
        <f t="shared" si="65"/>
        <v>4.7720181739126746</v>
      </c>
      <c r="T156">
        <f t="shared" si="46"/>
        <v>-1.3393401522137731</v>
      </c>
      <c r="U156">
        <f t="shared" si="47"/>
        <v>1.3393401522137731</v>
      </c>
      <c r="V156">
        <f t="shared" si="54"/>
        <v>4.9402040781193017</v>
      </c>
      <c r="W156">
        <f t="shared" si="48"/>
        <v>1.171154248007146</v>
      </c>
      <c r="X156">
        <f t="shared" si="55"/>
        <v>5.3094225964878055</v>
      </c>
      <c r="Y156">
        <f t="shared" si="49"/>
        <v>0.80193572963864224</v>
      </c>
      <c r="Z156">
        <f t="shared" si="56"/>
        <v>5.5730336528498849</v>
      </c>
      <c r="AA156">
        <f t="shared" si="50"/>
        <v>0.53832467327656275</v>
      </c>
      <c r="AB156">
        <f t="shared" si="51"/>
        <v>-0.25388167387355232</v>
      </c>
      <c r="AC156">
        <f t="shared" si="52"/>
        <v>5.546720036358213</v>
      </c>
      <c r="AD156">
        <f t="shared" si="53"/>
        <v>0.56463828976823471</v>
      </c>
    </row>
    <row r="157" spans="1:30">
      <c r="A157">
        <v>155</v>
      </c>
      <c r="B157">
        <v>5.924524943064915</v>
      </c>
      <c r="C157">
        <f t="shared" si="57"/>
        <v>6.0143630122284328</v>
      </c>
      <c r="D157">
        <f t="shared" si="57"/>
        <v>6.3599669154786103</v>
      </c>
      <c r="E157">
        <f t="shared" si="58"/>
        <v>6.2169522198965055</v>
      </c>
      <c r="F157">
        <f t="shared" si="61"/>
        <v>5.6116346291113368</v>
      </c>
      <c r="G157">
        <f t="shared" si="61"/>
        <v>4.606615129219481</v>
      </c>
      <c r="H157">
        <f t="shared" si="61"/>
        <v>4.3526334986628035</v>
      </c>
      <c r="I157">
        <f t="shared" si="44"/>
        <v>-1.5718914444021115</v>
      </c>
      <c r="J157">
        <f t="shared" si="59"/>
        <v>6.2322738382020582</v>
      </c>
      <c r="K157">
        <f t="shared" si="63"/>
        <v>5.0395238008967427</v>
      </c>
      <c r="L157">
        <f t="shared" si="63"/>
        <v>4.4571816764417935</v>
      </c>
      <c r="M157">
        <f t="shared" si="63"/>
        <v>4.6039048594878365</v>
      </c>
      <c r="N157">
        <f t="shared" si="45"/>
        <v>-1.3206200835770785</v>
      </c>
      <c r="O157">
        <f t="shared" si="60"/>
        <v>6.1707240591746295</v>
      </c>
      <c r="P157">
        <f t="shared" si="64"/>
        <v>5.0439990174651879</v>
      </c>
      <c r="Q157">
        <f t="shared" si="62"/>
        <v>5.6157289524320104</v>
      </c>
      <c r="R157">
        <f t="shared" si="65"/>
        <v>4.6828997018702596</v>
      </c>
      <c r="S157">
        <f t="shared" si="65"/>
        <v>4.7056978496760511</v>
      </c>
      <c r="T157">
        <f t="shared" si="46"/>
        <v>-1.2188270933888639</v>
      </c>
      <c r="U157">
        <f t="shared" si="47"/>
        <v>1.2188270933888639</v>
      </c>
      <c r="V157">
        <f t="shared" si="54"/>
        <v>5.0573195029200164</v>
      </c>
      <c r="W157">
        <f t="shared" si="48"/>
        <v>0.86720544014489853</v>
      </c>
      <c r="X157">
        <f t="shared" si="55"/>
        <v>5.4698097424155341</v>
      </c>
      <c r="Y157">
        <f t="shared" si="49"/>
        <v>0.45471520064938087</v>
      </c>
      <c r="Z157">
        <f t="shared" si="56"/>
        <v>5.7345310548328534</v>
      </c>
      <c r="AA157">
        <f t="shared" si="50"/>
        <v>0.18999388823206154</v>
      </c>
      <c r="AB157">
        <f t="shared" si="51"/>
        <v>-0.44627505693508507</v>
      </c>
      <c r="AC157">
        <f t="shared" si="52"/>
        <v>5.5890741538622795</v>
      </c>
      <c r="AD157">
        <f t="shared" si="53"/>
        <v>0.33545078920263549</v>
      </c>
    </row>
    <row r="158" spans="1:30">
      <c r="A158">
        <v>156</v>
      </c>
      <c r="B158">
        <v>5.9339309966548477</v>
      </c>
      <c r="C158">
        <f t="shared" si="57"/>
        <v>6.0179416345956813</v>
      </c>
      <c r="D158">
        <f t="shared" si="57"/>
        <v>6.1420560895049841</v>
      </c>
      <c r="E158">
        <f t="shared" si="58"/>
        <v>5.9844169891739272</v>
      </c>
      <c r="F158">
        <f t="shared" si="61"/>
        <v>6.0124501407543329</v>
      </c>
      <c r="G158">
        <f t="shared" si="61"/>
        <v>5.0639080867762489</v>
      </c>
      <c r="H158">
        <f t="shared" si="61"/>
        <v>4.4186219976813135</v>
      </c>
      <c r="I158">
        <f t="shared" si="44"/>
        <v>-1.5153089989735342</v>
      </c>
      <c r="J158">
        <f t="shared" si="59"/>
        <v>6.1438454006886083</v>
      </c>
      <c r="K158">
        <f t="shared" si="63"/>
        <v>5.5337213190790395</v>
      </c>
      <c r="L158">
        <f t="shared" si="63"/>
        <v>4.618114096752139</v>
      </c>
      <c r="M158">
        <f t="shared" si="63"/>
        <v>4.5143719312462114</v>
      </c>
      <c r="N158">
        <f t="shared" si="45"/>
        <v>-1.4195590654086363</v>
      </c>
      <c r="O158">
        <f t="shared" si="60"/>
        <v>6.1018625198818564</v>
      </c>
      <c r="P158">
        <f t="shared" si="64"/>
        <v>5.4566038585211718</v>
      </c>
      <c r="Q158">
        <f t="shared" si="62"/>
        <v>5.7661180913232464</v>
      </c>
      <c r="R158">
        <f t="shared" si="65"/>
        <v>4.8811418773080346</v>
      </c>
      <c r="S158">
        <f t="shared" si="65"/>
        <v>4.6630987875159065</v>
      </c>
      <c r="T158">
        <f t="shared" si="46"/>
        <v>-1.2708322091389412</v>
      </c>
      <c r="U158">
        <f t="shared" si="47"/>
        <v>1.2708322091389412</v>
      </c>
      <c r="V158">
        <f t="shared" si="54"/>
        <v>5.1440400469345064</v>
      </c>
      <c r="W158">
        <f t="shared" si="48"/>
        <v>0.78989094972034124</v>
      </c>
      <c r="X158">
        <f t="shared" si="55"/>
        <v>5.5607527825454106</v>
      </c>
      <c r="Y158">
        <f t="shared" si="49"/>
        <v>0.37317821410943708</v>
      </c>
      <c r="Z158">
        <f t="shared" si="56"/>
        <v>5.7915292213024721</v>
      </c>
      <c r="AA158">
        <f t="shared" si="50"/>
        <v>0.14240177535237564</v>
      </c>
      <c r="AB158">
        <f t="shared" si="51"/>
        <v>-0.44242900334515234</v>
      </c>
      <c r="AC158">
        <f t="shared" si="52"/>
        <v>5.6319383084059185</v>
      </c>
      <c r="AD158">
        <f t="shared" si="53"/>
        <v>0.30199268824892922</v>
      </c>
    </row>
    <row r="159" spans="1:30">
      <c r="A159">
        <v>157</v>
      </c>
      <c r="B159">
        <v>6.6259021445776778</v>
      </c>
      <c r="C159">
        <f t="shared" si="57"/>
        <v>5.9292279698598813</v>
      </c>
      <c r="D159">
        <f t="shared" si="57"/>
        <v>6.0161523234120571</v>
      </c>
      <c r="E159">
        <f t="shared" si="58"/>
        <v>5.9899380886154034</v>
      </c>
      <c r="F159">
        <f t="shared" si="61"/>
        <v>6.1579827393214535</v>
      </c>
      <c r="G159">
        <f t="shared" si="61"/>
        <v>5.5336841353542825</v>
      </c>
      <c r="H159">
        <f t="shared" si="61"/>
        <v>4.6815633613350363</v>
      </c>
      <c r="I159">
        <f t="shared" si="44"/>
        <v>-1.9443387832426415</v>
      </c>
      <c r="J159">
        <f t="shared" si="59"/>
        <v>5.9717954910441575</v>
      </c>
      <c r="K159">
        <f t="shared" si="63"/>
        <v>5.8581843702778738</v>
      </c>
      <c r="L159">
        <f t="shared" si="63"/>
        <v>4.9225812659335757</v>
      </c>
      <c r="M159">
        <f t="shared" si="63"/>
        <v>4.5073248302690665</v>
      </c>
      <c r="N159">
        <f t="shared" si="45"/>
        <v>-2.1185773143086113</v>
      </c>
      <c r="O159">
        <f t="shared" si="60"/>
        <v>6.1026168217508614</v>
      </c>
      <c r="P159">
        <f t="shared" si="64"/>
        <v>5.7449694122971335</v>
      </c>
      <c r="Q159">
        <f t="shared" si="62"/>
        <v>6.1312585487546656</v>
      </c>
      <c r="R159">
        <f t="shared" si="65"/>
        <v>5.0978852160706714</v>
      </c>
      <c r="S159">
        <f t="shared" si="65"/>
        <v>4.6699711966481452</v>
      </c>
      <c r="T159">
        <f t="shared" si="46"/>
        <v>-1.9559309479295326</v>
      </c>
      <c r="U159">
        <f t="shared" si="47"/>
        <v>1.9559309479295326</v>
      </c>
      <c r="V159">
        <f t="shared" si="54"/>
        <v>5.2230291419065402</v>
      </c>
      <c r="W159">
        <f t="shared" si="48"/>
        <v>1.4028730026711376</v>
      </c>
      <c r="X159">
        <f t="shared" si="55"/>
        <v>5.6353884253672977</v>
      </c>
      <c r="Y159">
        <f t="shared" si="49"/>
        <v>0.99051371921038012</v>
      </c>
      <c r="Z159">
        <f t="shared" si="56"/>
        <v>5.8342497539081846</v>
      </c>
      <c r="AA159">
        <f t="shared" si="50"/>
        <v>0.79165239066949322</v>
      </c>
      <c r="AB159">
        <f t="shared" si="51"/>
        <v>0.24398214457767775</v>
      </c>
      <c r="AC159">
        <f t="shared" si="52"/>
        <v>5.6753008018836599</v>
      </c>
      <c r="AD159">
        <f t="shared" si="53"/>
        <v>0.95060134269401786</v>
      </c>
    </row>
    <row r="160" spans="1:30">
      <c r="A160">
        <v>158</v>
      </c>
      <c r="B160">
        <v>5.5074983938255686</v>
      </c>
      <c r="C160">
        <f t="shared" si="57"/>
        <v>6.2799165706162627</v>
      </c>
      <c r="D160">
        <f t="shared" si="57"/>
        <v>5.9735848022277818</v>
      </c>
      <c r="E160">
        <f t="shared" si="58"/>
        <v>6.1614526947658135</v>
      </c>
      <c r="F160">
        <f t="shared" si="61"/>
        <v>6.0637690992286117</v>
      </c>
      <c r="G160">
        <f t="shared" si="61"/>
        <v>5.9273558363957077</v>
      </c>
      <c r="H160">
        <f t="shared" si="61"/>
        <v>5.0680691171166705</v>
      </c>
      <c r="I160">
        <f t="shared" si="44"/>
        <v>-0.43942927670889809</v>
      </c>
      <c r="J160">
        <f t="shared" si="59"/>
        <v>6.1489291026059725</v>
      </c>
      <c r="K160">
        <f t="shared" si="63"/>
        <v>5.9970302624054632</v>
      </c>
      <c r="L160">
        <f t="shared" si="63"/>
        <v>5.2776537249541491</v>
      </c>
      <c r="M160">
        <f t="shared" si="63"/>
        <v>4.6116030686031575</v>
      </c>
      <c r="N160">
        <f t="shared" si="45"/>
        <v>-0.89589532522241111</v>
      </c>
      <c r="O160">
        <f t="shared" si="60"/>
        <v>6.0206429608498917</v>
      </c>
      <c r="P160">
        <f t="shared" si="64"/>
        <v>5.9252486398950754</v>
      </c>
      <c r="Q160">
        <f t="shared" si="62"/>
        <v>6.1892024573311595</v>
      </c>
      <c r="R160">
        <f t="shared" si="65"/>
        <v>5.3816985284730796</v>
      </c>
      <c r="S160">
        <f t="shared" si="65"/>
        <v>4.7315015671114589</v>
      </c>
      <c r="T160">
        <f t="shared" si="46"/>
        <v>-0.77599682671410974</v>
      </c>
      <c r="U160">
        <f t="shared" si="47"/>
        <v>0.77599682671410974</v>
      </c>
      <c r="V160">
        <f t="shared" si="54"/>
        <v>5.3633164421736543</v>
      </c>
      <c r="W160">
        <f t="shared" si="48"/>
        <v>0.14418195165191428</v>
      </c>
      <c r="X160">
        <f t="shared" si="55"/>
        <v>5.833491169209374</v>
      </c>
      <c r="Y160">
        <f t="shared" si="49"/>
        <v>-0.32599277538380544</v>
      </c>
      <c r="Z160">
        <f t="shared" si="56"/>
        <v>6.0717454711090326</v>
      </c>
      <c r="AA160">
        <f t="shared" si="50"/>
        <v>-0.56424707728346402</v>
      </c>
      <c r="AB160">
        <f t="shared" si="51"/>
        <v>-0.87998160617443144</v>
      </c>
      <c r="AC160">
        <f t="shared" si="52"/>
        <v>5.7191497977657599</v>
      </c>
      <c r="AD160">
        <f t="shared" si="53"/>
        <v>-0.21165140394019133</v>
      </c>
    </row>
    <row r="161" spans="1:30">
      <c r="A161">
        <v>159</v>
      </c>
      <c r="B161">
        <v>4.9572304378085832</v>
      </c>
      <c r="C161">
        <f t="shared" si="57"/>
        <v>6.0667002692016236</v>
      </c>
      <c r="D161">
        <f t="shared" si="57"/>
        <v>6.104572270238072</v>
      </c>
      <c r="E161">
        <f t="shared" si="58"/>
        <v>6.0224438450193647</v>
      </c>
      <c r="F161">
        <f t="shared" si="61"/>
        <v>6.0452692575183811</v>
      </c>
      <c r="G161">
        <f t="shared" si="61"/>
        <v>6.0780673264347991</v>
      </c>
      <c r="H161">
        <f t="shared" si="61"/>
        <v>5.5083160195087464</v>
      </c>
      <c r="I161">
        <f t="shared" si="44"/>
        <v>0.5510855817001632</v>
      </c>
      <c r="J161">
        <f t="shared" si="59"/>
        <v>5.997964119530752</v>
      </c>
      <c r="K161">
        <f t="shared" si="63"/>
        <v>6.1242109581351993</v>
      </c>
      <c r="L161">
        <f t="shared" si="63"/>
        <v>5.6071149381647798</v>
      </c>
      <c r="M161">
        <f t="shared" si="63"/>
        <v>4.8188826910204146</v>
      </c>
      <c r="N161">
        <f t="shared" si="45"/>
        <v>-0.13834774678816864</v>
      </c>
      <c r="O161">
        <f t="shared" si="60"/>
        <v>5.7898173831863184</v>
      </c>
      <c r="P161">
        <f t="shared" si="64"/>
        <v>6.0260566165264304</v>
      </c>
      <c r="Q161">
        <f t="shared" si="62"/>
        <v>6.0034304170966459</v>
      </c>
      <c r="R161">
        <f t="shared" si="65"/>
        <v>5.66832288351182</v>
      </c>
      <c r="S161">
        <f t="shared" si="65"/>
        <v>4.8568423083819861</v>
      </c>
      <c r="T161">
        <f t="shared" si="46"/>
        <v>-0.10038812942659714</v>
      </c>
      <c r="U161">
        <f t="shared" si="47"/>
        <v>0.10038812942659714</v>
      </c>
      <c r="V161">
        <f t="shared" si="54"/>
        <v>5.3777346373388459</v>
      </c>
      <c r="W161">
        <f t="shared" si="48"/>
        <v>-0.42050419953026275</v>
      </c>
      <c r="X161">
        <f t="shared" si="55"/>
        <v>5.768292614132613</v>
      </c>
      <c r="Y161">
        <f t="shared" si="49"/>
        <v>-0.81106217632402977</v>
      </c>
      <c r="Z161">
        <f t="shared" si="56"/>
        <v>5.9024713479239939</v>
      </c>
      <c r="AA161">
        <f t="shared" si="50"/>
        <v>-0.94524091011541067</v>
      </c>
      <c r="AB161">
        <f t="shared" si="51"/>
        <v>-1.4358095621914169</v>
      </c>
      <c r="AC161">
        <f t="shared" si="52"/>
        <v>5.7634733243860419</v>
      </c>
      <c r="AD161">
        <f t="shared" si="53"/>
        <v>-0.80624288657745868</v>
      </c>
    </row>
    <row r="162" spans="1:30">
      <c r="A162">
        <v>160</v>
      </c>
      <c r="B162">
        <v>4.1068044439470102</v>
      </c>
      <c r="C162">
        <f t="shared" si="57"/>
        <v>5.2323644158170755</v>
      </c>
      <c r="D162">
        <f t="shared" si="57"/>
        <v>6.1733084199089436</v>
      </c>
      <c r="E162">
        <f t="shared" si="58"/>
        <v>5.6968769920706102</v>
      </c>
      <c r="F162">
        <f t="shared" si="61"/>
        <v>6.0579448761335266</v>
      </c>
      <c r="G162">
        <f t="shared" si="61"/>
        <v>6.089007032022816</v>
      </c>
      <c r="H162">
        <f t="shared" si="61"/>
        <v>5.8463690993949298</v>
      </c>
      <c r="I162">
        <f t="shared" si="44"/>
        <v>1.7395646554479196</v>
      </c>
      <c r="J162">
        <f t="shared" si="59"/>
        <v>5.7561404932166695</v>
      </c>
      <c r="K162">
        <f t="shared" si="63"/>
        <v>6.065633528467373</v>
      </c>
      <c r="L162">
        <f t="shared" si="63"/>
        <v>5.8782867274743946</v>
      </c>
      <c r="M162">
        <f t="shared" si="63"/>
        <v>5.1063660064511609</v>
      </c>
      <c r="N162">
        <f t="shared" si="45"/>
        <v>0.99956156250415074</v>
      </c>
      <c r="O162">
        <f t="shared" si="60"/>
        <v>5.4262732833627378</v>
      </c>
      <c r="P162">
        <f t="shared" si="64"/>
        <v>6.0371327489687108</v>
      </c>
      <c r="Q162">
        <f t="shared" si="62"/>
        <v>5.8434075403430059</v>
      </c>
      <c r="R162">
        <f t="shared" si="65"/>
        <v>5.8377194977434037</v>
      </c>
      <c r="S162">
        <f t="shared" si="65"/>
        <v>5.0486116583867275</v>
      </c>
      <c r="T162">
        <f t="shared" si="46"/>
        <v>0.94180721443971738</v>
      </c>
      <c r="U162">
        <f t="shared" si="47"/>
        <v>-0.94180721443971738</v>
      </c>
      <c r="V162">
        <f t="shared" si="54"/>
        <v>5.3356842173858201</v>
      </c>
      <c r="W162">
        <f t="shared" si="48"/>
        <v>-1.2288797734388099</v>
      </c>
      <c r="X162">
        <f t="shared" si="55"/>
        <v>5.6060801788678072</v>
      </c>
      <c r="Y162">
        <f t="shared" si="49"/>
        <v>-1.499275734920797</v>
      </c>
      <c r="Z162">
        <f t="shared" si="56"/>
        <v>5.618899074889371</v>
      </c>
      <c r="AA162">
        <f t="shared" si="50"/>
        <v>-1.5120946309423609</v>
      </c>
      <c r="AB162">
        <f t="shared" si="51"/>
        <v>-2.2917955560529899</v>
      </c>
      <c r="AC162">
        <f t="shared" si="52"/>
        <v>5.8082592782672879</v>
      </c>
      <c r="AD162">
        <f t="shared" si="53"/>
        <v>-1.7014548343202778</v>
      </c>
    </row>
    <row r="163" spans="1:30">
      <c r="A163">
        <v>161</v>
      </c>
      <c r="B163">
        <v>4.0885052325202276</v>
      </c>
      <c r="C163">
        <f t="shared" si="57"/>
        <v>4.5320174408777962</v>
      </c>
      <c r="D163">
        <f t="shared" si="57"/>
        <v>5.6495323425093495</v>
      </c>
      <c r="E163">
        <f t="shared" si="58"/>
        <v>4.8571777585270537</v>
      </c>
      <c r="F163">
        <f t="shared" si="61"/>
        <v>5.9602578439519291</v>
      </c>
      <c r="G163">
        <f t="shared" si="61"/>
        <v>6.0556610776268398</v>
      </c>
      <c r="H163">
        <f t="shared" si="61"/>
        <v>6.0314767316177749</v>
      </c>
      <c r="I163">
        <f t="shared" si="44"/>
        <v>1.9429714990975473</v>
      </c>
      <c r="J163">
        <f t="shared" si="59"/>
        <v>5.2993588550397099</v>
      </c>
      <c r="K163">
        <f t="shared" si="63"/>
        <v>5.9687073015993883</v>
      </c>
      <c r="L163">
        <f t="shared" si="63"/>
        <v>6.0112647798214773</v>
      </c>
      <c r="M163">
        <f t="shared" si="63"/>
        <v>5.4214091641317257</v>
      </c>
      <c r="N163">
        <f t="shared" si="45"/>
        <v>1.3329039316114981</v>
      </c>
      <c r="O163">
        <f t="shared" si="60"/>
        <v>5.0571881305358133</v>
      </c>
      <c r="P163">
        <f t="shared" si="64"/>
        <v>5.8882425938063339</v>
      </c>
      <c r="Q163">
        <f t="shared" si="62"/>
        <v>5.5093152266464331</v>
      </c>
      <c r="R163">
        <f t="shared" si="65"/>
        <v>5.9248576678801221</v>
      </c>
      <c r="S163">
        <f t="shared" si="65"/>
        <v>5.2582779508295454</v>
      </c>
      <c r="T163">
        <f t="shared" si="46"/>
        <v>1.1697727183093178</v>
      </c>
      <c r="U163">
        <f t="shared" si="47"/>
        <v>-1.1697727183093178</v>
      </c>
      <c r="V163">
        <f t="shared" si="54"/>
        <v>5.2127962400419392</v>
      </c>
      <c r="W163">
        <f t="shared" si="48"/>
        <v>-1.1242910075217116</v>
      </c>
      <c r="X163">
        <f t="shared" si="55"/>
        <v>5.3062250318836481</v>
      </c>
      <c r="Y163">
        <f t="shared" si="49"/>
        <v>-1.2177197993634206</v>
      </c>
      <c r="Z163">
        <f t="shared" si="56"/>
        <v>5.1652706856066626</v>
      </c>
      <c r="AA163">
        <f t="shared" si="50"/>
        <v>-1.076765453086435</v>
      </c>
      <c r="AB163">
        <f t="shared" si="51"/>
        <v>-2.3156547674797725</v>
      </c>
      <c r="AC163">
        <f t="shared" si="52"/>
        <v>5.8534954274832387</v>
      </c>
      <c r="AD163">
        <f t="shared" si="53"/>
        <v>-1.7649901949630111</v>
      </c>
    </row>
    <row r="164" spans="1:30">
      <c r="A164">
        <v>162</v>
      </c>
      <c r="B164">
        <v>5.8127724636245404</v>
      </c>
      <c r="C164">
        <f t="shared" si="57"/>
        <v>4.0976548382336189</v>
      </c>
      <c r="D164">
        <f t="shared" si="57"/>
        <v>4.8821909283474358</v>
      </c>
      <c r="E164">
        <f t="shared" si="58"/>
        <v>4.38418003809194</v>
      </c>
      <c r="F164">
        <f t="shared" si="61"/>
        <v>5.5254995318723426</v>
      </c>
      <c r="G164">
        <f t="shared" si="61"/>
        <v>6.0211573258679456</v>
      </c>
      <c r="H164">
        <f t="shared" si="61"/>
        <v>6.074245145361485</v>
      </c>
      <c r="I164">
        <f t="shared" si="44"/>
        <v>0.2614726817369446</v>
      </c>
      <c r="J164">
        <f t="shared" si="59"/>
        <v>4.6650096270253467</v>
      </c>
      <c r="K164">
        <f t="shared" si="63"/>
        <v>5.8005981425982762</v>
      </c>
      <c r="L164">
        <f t="shared" si="63"/>
        <v>6.0388955126518553</v>
      </c>
      <c r="M164">
        <f t="shared" si="63"/>
        <v>5.6935800426037</v>
      </c>
      <c r="N164">
        <f t="shared" si="45"/>
        <v>-0.11919242102084038</v>
      </c>
      <c r="O164">
        <f t="shared" si="60"/>
        <v>4.8945621943451858</v>
      </c>
      <c r="P164">
        <f t="shared" si="64"/>
        <v>5.6793077159371252</v>
      </c>
      <c r="Q164">
        <f t="shared" si="62"/>
        <v>5.2033119415556524</v>
      </c>
      <c r="R164">
        <f t="shared" si="65"/>
        <v>5.907122046915859</v>
      </c>
      <c r="S164">
        <f t="shared" si="65"/>
        <v>5.4652709451645221</v>
      </c>
      <c r="T164">
        <f t="shared" si="46"/>
        <v>-0.34750151846001831</v>
      </c>
      <c r="U164">
        <f t="shared" si="47"/>
        <v>0.34750151846001831</v>
      </c>
      <c r="V164">
        <f t="shared" si="54"/>
        <v>5.1003671392897676</v>
      </c>
      <c r="W164">
        <f t="shared" si="48"/>
        <v>0.71240532433477277</v>
      </c>
      <c r="X164">
        <f t="shared" si="55"/>
        <v>5.0626810720109638</v>
      </c>
      <c r="Y164">
        <f t="shared" si="49"/>
        <v>0.75009139161357652</v>
      </c>
      <c r="Z164">
        <f t="shared" si="56"/>
        <v>4.842241049680732</v>
      </c>
      <c r="AA164">
        <f t="shared" si="50"/>
        <v>0.97053141394380837</v>
      </c>
      <c r="AB164">
        <f t="shared" si="51"/>
        <v>-0.59694753637545972</v>
      </c>
      <c r="AC164">
        <f t="shared" si="52"/>
        <v>5.8991694150562681</v>
      </c>
      <c r="AD164">
        <f t="shared" si="53"/>
        <v>-8.6396951431727764E-2</v>
      </c>
    </row>
    <row r="165" spans="1:30">
      <c r="A165">
        <v>163</v>
      </c>
      <c r="B165">
        <v>6.1769091686415036</v>
      </c>
      <c r="C165">
        <f t="shared" si="57"/>
        <v>4.9506388480723835</v>
      </c>
      <c r="D165">
        <f t="shared" si="57"/>
        <v>4.3148361395557071</v>
      </c>
      <c r="E165">
        <f t="shared" si="58"/>
        <v>4.6693607133639263</v>
      </c>
      <c r="F165">
        <f t="shared" si="61"/>
        <v>4.9794115962298688</v>
      </c>
      <c r="G165">
        <f t="shared" si="61"/>
        <v>5.8479007506525988</v>
      </c>
      <c r="H165">
        <f t="shared" si="61"/>
        <v>6.0552751451725335</v>
      </c>
      <c r="I165">
        <f t="shared" si="44"/>
        <v>-0.12163402346897012</v>
      </c>
      <c r="J165">
        <f t="shared" si="59"/>
        <v>4.7413281444750899</v>
      </c>
      <c r="K165">
        <f t="shared" si="63"/>
        <v>5.4296182737031202</v>
      </c>
      <c r="L165">
        <f t="shared" si="63"/>
        <v>5.9897874827000592</v>
      </c>
      <c r="M165">
        <f t="shared" si="63"/>
        <v>5.8838904895281265</v>
      </c>
      <c r="N165">
        <f t="shared" si="45"/>
        <v>-0.29301867911337709</v>
      </c>
      <c r="O165">
        <f t="shared" si="60"/>
        <v>5.0284443493083728</v>
      </c>
      <c r="P165">
        <f t="shared" si="64"/>
        <v>5.4376967904559894</v>
      </c>
      <c r="Q165">
        <f t="shared" si="62"/>
        <v>5.1831188527172678</v>
      </c>
      <c r="R165">
        <f t="shared" si="65"/>
        <v>5.813321021954593</v>
      </c>
      <c r="S165">
        <f t="shared" si="65"/>
        <v>5.6362676400991596</v>
      </c>
      <c r="T165">
        <f t="shared" si="46"/>
        <v>-0.54064152854234404</v>
      </c>
      <c r="U165">
        <f t="shared" si="47"/>
        <v>0.54064152854234404</v>
      </c>
      <c r="V165">
        <f t="shared" si="54"/>
        <v>5.1716076717232449</v>
      </c>
      <c r="W165">
        <f t="shared" si="48"/>
        <v>1.0053014969182588</v>
      </c>
      <c r="X165">
        <f t="shared" si="55"/>
        <v>5.2126993503336791</v>
      </c>
      <c r="Y165">
        <f t="shared" si="49"/>
        <v>0.96420981830782448</v>
      </c>
      <c r="Z165">
        <f t="shared" si="56"/>
        <v>5.1334004738638743</v>
      </c>
      <c r="AA165">
        <f t="shared" si="50"/>
        <v>1.0435086947776293</v>
      </c>
      <c r="AB165">
        <f t="shared" si="51"/>
        <v>-0.23837083135849646</v>
      </c>
      <c r="AC165">
        <f t="shared" si="52"/>
        <v>5.9452687623897988</v>
      </c>
      <c r="AD165">
        <f t="shared" si="53"/>
        <v>0.23164040625170479</v>
      </c>
    </row>
    <row r="166" spans="1:30">
      <c r="A166">
        <v>164</v>
      </c>
      <c r="B166">
        <v>7.7075641126428316</v>
      </c>
      <c r="C166">
        <f t="shared" si="57"/>
        <v>5.9948408161330224</v>
      </c>
      <c r="D166">
        <f t="shared" si="57"/>
        <v>4.5241468431530016</v>
      </c>
      <c r="E166">
        <f t="shared" si="58"/>
        <v>5.3593956215954242</v>
      </c>
      <c r="F166">
        <f t="shared" si="61"/>
        <v>4.6369061699943073</v>
      </c>
      <c r="G166">
        <f t="shared" si="61"/>
        <v>5.4883896573513802</v>
      </c>
      <c r="H166">
        <f t="shared" si="61"/>
        <v>5.9749063847157942</v>
      </c>
      <c r="I166">
        <f t="shared" si="44"/>
        <v>-1.7326577279270374</v>
      </c>
      <c r="J166">
        <f t="shared" si="59"/>
        <v>5.0462478271833202</v>
      </c>
      <c r="K166">
        <f t="shared" si="63"/>
        <v>5.1154592799392038</v>
      </c>
      <c r="L166">
        <f t="shared" si="63"/>
        <v>5.816139311592039</v>
      </c>
      <c r="M166">
        <f t="shared" si="63"/>
        <v>5.9795586256619462</v>
      </c>
      <c r="N166">
        <f t="shared" si="45"/>
        <v>-1.7280054869808854</v>
      </c>
      <c r="O166">
        <f t="shared" si="60"/>
        <v>5.5785110842752221</v>
      </c>
      <c r="P166">
        <f t="shared" si="64"/>
        <v>5.2392570681476851</v>
      </c>
      <c r="Q166">
        <f t="shared" si="62"/>
        <v>5.1082866900612389</v>
      </c>
      <c r="R166">
        <f t="shared" si="65"/>
        <v>5.6552977392816928</v>
      </c>
      <c r="S166">
        <f t="shared" si="65"/>
        <v>5.7555069410798128</v>
      </c>
      <c r="T166">
        <f t="shared" si="46"/>
        <v>-1.9520571715630188</v>
      </c>
      <c r="U166">
        <f t="shared" si="47"/>
        <v>1.9520571715630188</v>
      </c>
      <c r="V166">
        <f t="shared" si="54"/>
        <v>5.2721378214150709</v>
      </c>
      <c r="W166">
        <f t="shared" si="48"/>
        <v>2.4354262912277607</v>
      </c>
      <c r="X166">
        <f t="shared" si="55"/>
        <v>5.4055413139952444</v>
      </c>
      <c r="Y166">
        <f t="shared" si="49"/>
        <v>2.3020227986475872</v>
      </c>
      <c r="Z166">
        <f t="shared" si="56"/>
        <v>5.4464530822971629</v>
      </c>
      <c r="AA166">
        <f t="shared" si="50"/>
        <v>2.2611110303456687</v>
      </c>
      <c r="AB166">
        <f t="shared" si="51"/>
        <v>1.2867241126428315</v>
      </c>
      <c r="AC166">
        <f t="shared" si="52"/>
        <v>5.9917808727344992</v>
      </c>
      <c r="AD166">
        <f t="shared" si="53"/>
        <v>1.7157832399083324</v>
      </c>
    </row>
    <row r="167" spans="1:30">
      <c r="A167">
        <v>165</v>
      </c>
      <c r="B167">
        <v>6.8373759715726248</v>
      </c>
      <c r="C167">
        <f t="shared" si="57"/>
        <v>6.9422366406421681</v>
      </c>
      <c r="D167">
        <f t="shared" si="57"/>
        <v>5.472739832102703</v>
      </c>
      <c r="E167">
        <f t="shared" si="58"/>
        <v>6.5657485816362922</v>
      </c>
      <c r="F167">
        <f t="shared" si="61"/>
        <v>4.8043121243504308</v>
      </c>
      <c r="G167">
        <f t="shared" si="61"/>
        <v>5.0472724326988399</v>
      </c>
      <c r="H167">
        <f t="shared" si="61"/>
        <v>5.7858159112906415</v>
      </c>
      <c r="I167">
        <f t="shared" si="44"/>
        <v>-1.0515600602819832</v>
      </c>
      <c r="J167">
        <f t="shared" si="59"/>
        <v>5.9464377443572758</v>
      </c>
      <c r="K167">
        <f t="shared" si="63"/>
        <v>4.9379861134308669</v>
      </c>
      <c r="L167">
        <f t="shared" si="63"/>
        <v>5.5785957494599963</v>
      </c>
      <c r="M167">
        <f t="shared" si="63"/>
        <v>5.9640217716913577</v>
      </c>
      <c r="N167">
        <f t="shared" si="45"/>
        <v>-0.87335419988126706</v>
      </c>
      <c r="O167">
        <f t="shared" si="60"/>
        <v>6.1246253898003458</v>
      </c>
      <c r="P167">
        <f t="shared" si="64"/>
        <v>5.1969958083654664</v>
      </c>
      <c r="Q167">
        <f t="shared" si="62"/>
        <v>5.4749643098641156</v>
      </c>
      <c r="R167">
        <f t="shared" si="65"/>
        <v>5.475145111403374</v>
      </c>
      <c r="S167">
        <f t="shared" si="65"/>
        <v>5.8011068095479148</v>
      </c>
      <c r="T167">
        <f t="shared" si="46"/>
        <v>-1.03626916202471</v>
      </c>
      <c r="U167">
        <f t="shared" si="47"/>
        <v>1.03626916202471</v>
      </c>
      <c r="V167">
        <f t="shared" si="54"/>
        <v>5.5156804505378467</v>
      </c>
      <c r="W167">
        <f t="shared" si="48"/>
        <v>1.3216955210347781</v>
      </c>
      <c r="X167">
        <f t="shared" si="55"/>
        <v>5.8659458737247618</v>
      </c>
      <c r="Y167">
        <f t="shared" si="49"/>
        <v>0.97143009784786294</v>
      </c>
      <c r="Z167">
        <f t="shared" si="56"/>
        <v>6.1247863914008631</v>
      </c>
      <c r="AA167">
        <f t="shared" si="50"/>
        <v>0.71258958017176166</v>
      </c>
      <c r="AB167">
        <f t="shared" si="51"/>
        <v>0.41097597157262467</v>
      </c>
      <c r="AC167">
        <f t="shared" si="52"/>
        <v>6.0386930346873022</v>
      </c>
      <c r="AD167">
        <f t="shared" si="53"/>
        <v>0.79868293688532255</v>
      </c>
    </row>
    <row r="168" spans="1:30">
      <c r="A168">
        <v>166</v>
      </c>
      <c r="B168">
        <v>5.4281069059233875</v>
      </c>
      <c r="C168">
        <f t="shared" si="57"/>
        <v>7.2724700421077282</v>
      </c>
      <c r="D168">
        <f t="shared" si="57"/>
        <v>6.4685387283875952</v>
      </c>
      <c r="E168">
        <f t="shared" si="58"/>
        <v>6.9072830842856545</v>
      </c>
      <c r="F168">
        <f t="shared" si="61"/>
        <v>5.5315016388652145</v>
      </c>
      <c r="G168">
        <f t="shared" si="61"/>
        <v>4.8068766301915353</v>
      </c>
      <c r="H168">
        <f t="shared" si="61"/>
        <v>5.4611876135676063</v>
      </c>
      <c r="I168">
        <f t="shared" si="44"/>
        <v>3.3080707644218776E-2</v>
      </c>
      <c r="J168">
        <f t="shared" si="59"/>
        <v>6.6336554291203758</v>
      </c>
      <c r="K168">
        <f t="shared" si="63"/>
        <v>5.0997558357602575</v>
      </c>
      <c r="L168">
        <f t="shared" si="63"/>
        <v>5.3209154524178661</v>
      </c>
      <c r="M168">
        <f t="shared" si="63"/>
        <v>5.8558545141009875</v>
      </c>
      <c r="N168">
        <f t="shared" si="45"/>
        <v>0.42774760817759994</v>
      </c>
      <c r="O168">
        <f t="shared" si="60"/>
        <v>6.3925457244809776</v>
      </c>
      <c r="P168">
        <f t="shared" si="64"/>
        <v>5.3366662296529883</v>
      </c>
      <c r="Q168">
        <f t="shared" si="62"/>
        <v>5.7883218988247895</v>
      </c>
      <c r="R168">
        <f t="shared" si="65"/>
        <v>5.3870674268646184</v>
      </c>
      <c r="S168">
        <f t="shared" si="65"/>
        <v>5.7689105141965067</v>
      </c>
      <c r="T168">
        <f t="shared" si="46"/>
        <v>0.34080360827311917</v>
      </c>
      <c r="U168">
        <f t="shared" si="47"/>
        <v>-0.34080360827311917</v>
      </c>
      <c r="V168">
        <f t="shared" si="54"/>
        <v>5.6478500026413245</v>
      </c>
      <c r="W168">
        <f t="shared" si="48"/>
        <v>-0.21974309671793701</v>
      </c>
      <c r="X168">
        <f t="shared" si="55"/>
        <v>6.0602318932943344</v>
      </c>
      <c r="Y168">
        <f t="shared" si="49"/>
        <v>-0.63212498737094691</v>
      </c>
      <c r="Z168">
        <f t="shared" si="56"/>
        <v>6.3385632654523913</v>
      </c>
      <c r="AA168">
        <f t="shared" si="50"/>
        <v>-0.91045635952900383</v>
      </c>
      <c r="AB168">
        <f t="shared" si="51"/>
        <v>-1.0038530940766126</v>
      </c>
      <c r="AC168">
        <f t="shared" si="52"/>
        <v>6.0859924257222646</v>
      </c>
      <c r="AD168">
        <f t="shared" si="53"/>
        <v>-0.65788551979887711</v>
      </c>
    </row>
    <row r="169" spans="1:30">
      <c r="A169">
        <v>167</v>
      </c>
      <c r="B169">
        <v>5.625809339858419</v>
      </c>
      <c r="C169">
        <f t="shared" si="57"/>
        <v>6.1327414387480061</v>
      </c>
      <c r="D169">
        <f t="shared" si="57"/>
        <v>7.1073533413749477</v>
      </c>
      <c r="E169">
        <f t="shared" si="58"/>
        <v>6.6576823300462813</v>
      </c>
      <c r="F169">
        <f t="shared" si="61"/>
        <v>6.2774757625057909</v>
      </c>
      <c r="G169">
        <f t="shared" si="61"/>
        <v>4.9909066444033172</v>
      </c>
      <c r="H169">
        <f t="shared" si="61"/>
        <v>5.1141795734139182</v>
      </c>
      <c r="I169">
        <f t="shared" si="44"/>
        <v>-0.51162976644450087</v>
      </c>
      <c r="J169">
        <f t="shared" si="59"/>
        <v>6.5374890396950871</v>
      </c>
      <c r="K169">
        <f t="shared" si="63"/>
        <v>5.5919172862840156</v>
      </c>
      <c r="L169">
        <f t="shared" si="63"/>
        <v>5.1457048757083621</v>
      </c>
      <c r="M169">
        <f t="shared" si="63"/>
        <v>5.6763594990424906</v>
      </c>
      <c r="N169">
        <f t="shared" si="45"/>
        <v>5.0550159184071575E-2</v>
      </c>
      <c r="O169">
        <f t="shared" si="60"/>
        <v>6.3551530997277537</v>
      </c>
      <c r="P169">
        <f t="shared" si="64"/>
        <v>5.603737748442021</v>
      </c>
      <c r="Q169">
        <f t="shared" si="62"/>
        <v>6.0085389758208523</v>
      </c>
      <c r="R169">
        <f t="shared" si="65"/>
        <v>5.3778864866115832</v>
      </c>
      <c r="S169">
        <f t="shared" si="65"/>
        <v>5.6938018357167097</v>
      </c>
      <c r="T169">
        <f t="shared" si="46"/>
        <v>6.7992495858290702E-2</v>
      </c>
      <c r="U169">
        <f t="shared" si="47"/>
        <v>-6.7992495858290702E-2</v>
      </c>
      <c r="V169">
        <f t="shared" si="54"/>
        <v>5.6258756929695313</v>
      </c>
      <c r="W169">
        <f t="shared" si="48"/>
        <v>-6.6353111112249508E-5</v>
      </c>
      <c r="X169">
        <f t="shared" si="55"/>
        <v>5.9338068958201449</v>
      </c>
      <c r="Y169">
        <f t="shared" si="49"/>
        <v>-0.30799755596172584</v>
      </c>
      <c r="Z169">
        <f t="shared" si="56"/>
        <v>6.0654263575936902</v>
      </c>
      <c r="AA169">
        <f t="shared" si="50"/>
        <v>-0.43961701773527118</v>
      </c>
      <c r="AB169">
        <f t="shared" si="51"/>
        <v>-0.81171066014158111</v>
      </c>
      <c r="AC169">
        <f t="shared" si="52"/>
        <v>6.1336661157522991</v>
      </c>
      <c r="AD169">
        <f t="shared" si="53"/>
        <v>-0.50785677589388012</v>
      </c>
    </row>
    <row r="170" spans="1:30">
      <c r="A170">
        <v>168</v>
      </c>
      <c r="B170">
        <v>5.2023650392951604</v>
      </c>
      <c r="C170">
        <f t="shared" si="57"/>
        <v>5.5269581228909033</v>
      </c>
      <c r="D170">
        <f t="shared" si="57"/>
        <v>6.7026057404278667</v>
      </c>
      <c r="E170">
        <f t="shared" si="58"/>
        <v>5.963764072451478</v>
      </c>
      <c r="F170">
        <f t="shared" si="61"/>
        <v>6.7102379986560763</v>
      </c>
      <c r="G170">
        <f t="shared" si="61"/>
        <v>5.5377631752404781</v>
      </c>
      <c r="H170">
        <f t="shared" si="61"/>
        <v>4.9483519024312308</v>
      </c>
      <c r="I170">
        <f t="shared" si="44"/>
        <v>-0.25401313686392957</v>
      </c>
      <c r="J170">
        <f t="shared" si="59"/>
        <v>6.3997140824993153</v>
      </c>
      <c r="K170">
        <f t="shared" si="63"/>
        <v>6.0409575100890152</v>
      </c>
      <c r="L170">
        <f t="shared" si="63"/>
        <v>5.186279628853586</v>
      </c>
      <c r="M170">
        <f t="shared" si="63"/>
        <v>5.4653388472945661</v>
      </c>
      <c r="N170">
        <f t="shared" si="45"/>
        <v>0.26297380799940573</v>
      </c>
      <c r="O170">
        <f t="shared" si="60"/>
        <v>6.1602442738584839</v>
      </c>
      <c r="P170">
        <f t="shared" si="64"/>
        <v>5.8958559295185342</v>
      </c>
      <c r="Q170">
        <f t="shared" si="62"/>
        <v>6.2647563270438846</v>
      </c>
      <c r="R170">
        <f t="shared" si="65"/>
        <v>5.4610904448073194</v>
      </c>
      <c r="S170">
        <f t="shared" si="65"/>
        <v>5.6026399721719535</v>
      </c>
      <c r="T170">
        <f t="shared" si="46"/>
        <v>0.40027493287679317</v>
      </c>
      <c r="U170">
        <f t="shared" si="47"/>
        <v>-0.40027493287679317</v>
      </c>
      <c r="V170">
        <f t="shared" si="54"/>
        <v>5.62586905765842</v>
      </c>
      <c r="W170">
        <f t="shared" si="48"/>
        <v>-0.42350401836325968</v>
      </c>
      <c r="X170">
        <f t="shared" si="55"/>
        <v>5.8722073846277993</v>
      </c>
      <c r="Y170">
        <f t="shared" si="49"/>
        <v>-0.66984234533263898</v>
      </c>
      <c r="Z170">
        <f t="shared" si="56"/>
        <v>5.933541252273109</v>
      </c>
      <c r="AA170">
        <f t="shared" si="50"/>
        <v>-0.73117621297794866</v>
      </c>
      <c r="AB170">
        <f t="shared" si="51"/>
        <v>-1.2407149607048398</v>
      </c>
      <c r="AC170">
        <f t="shared" si="52"/>
        <v>6.1817010707207833</v>
      </c>
      <c r="AD170">
        <f t="shared" si="53"/>
        <v>-0.97933603142562298</v>
      </c>
    </row>
    <row r="171" spans="1:30">
      <c r="A171">
        <v>169</v>
      </c>
      <c r="B171">
        <v>6.9346392200319009</v>
      </c>
      <c r="C171">
        <f t="shared" si="57"/>
        <v>5.4140871895767901</v>
      </c>
      <c r="D171">
        <f t="shared" si="57"/>
        <v>5.8298497808194547</v>
      </c>
      <c r="E171">
        <f t="shared" si="58"/>
        <v>5.418760428358989</v>
      </c>
      <c r="F171">
        <f t="shared" si="61"/>
        <v>6.5095764955944722</v>
      </c>
      <c r="G171">
        <f t="shared" si="61"/>
        <v>6.1730718000090272</v>
      </c>
      <c r="H171">
        <f t="shared" si="61"/>
        <v>5.1118488166117766</v>
      </c>
      <c r="I171">
        <f t="shared" si="44"/>
        <v>-1.8227904034201243</v>
      </c>
      <c r="J171">
        <f t="shared" si="59"/>
        <v>5.7734143141623981</v>
      </c>
      <c r="K171">
        <f t="shared" si="63"/>
        <v>6.3793240739180135</v>
      </c>
      <c r="L171">
        <f t="shared" si="63"/>
        <v>5.4176541863910384</v>
      </c>
      <c r="M171">
        <f t="shared" si="63"/>
        <v>5.3078739266099531</v>
      </c>
      <c r="N171">
        <f t="shared" si="45"/>
        <v>-1.6267652934219479</v>
      </c>
      <c r="O171">
        <f t="shared" si="60"/>
        <v>6.0056592953362991</v>
      </c>
      <c r="P171">
        <f t="shared" si="64"/>
        <v>6.1222159144285566</v>
      </c>
      <c r="Q171">
        <f t="shared" si="62"/>
        <v>6.1630217563223217</v>
      </c>
      <c r="R171">
        <f t="shared" si="65"/>
        <v>5.6379978423886916</v>
      </c>
      <c r="S171">
        <f t="shared" si="65"/>
        <v>5.5283013718205298</v>
      </c>
      <c r="T171">
        <f t="shared" si="46"/>
        <v>-1.4063378482113711</v>
      </c>
      <c r="U171">
        <f t="shared" si="47"/>
        <v>1.4063378482113711</v>
      </c>
      <c r="V171">
        <f t="shared" si="54"/>
        <v>5.5835186558220942</v>
      </c>
      <c r="W171">
        <f t="shared" si="48"/>
        <v>1.3511205642098068</v>
      </c>
      <c r="X171">
        <f t="shared" si="55"/>
        <v>5.7382389155612712</v>
      </c>
      <c r="Y171">
        <f t="shared" si="49"/>
        <v>1.1964003044706297</v>
      </c>
      <c r="Z171">
        <f t="shared" si="56"/>
        <v>5.7141883883797249</v>
      </c>
      <c r="AA171">
        <f t="shared" si="50"/>
        <v>1.220450831652176</v>
      </c>
      <c r="AB171">
        <f t="shared" si="51"/>
        <v>0.48599922003190077</v>
      </c>
      <c r="AC171">
        <f t="shared" si="52"/>
        <v>6.2300841562220475</v>
      </c>
      <c r="AD171">
        <f t="shared" si="53"/>
        <v>0.70455506380985344</v>
      </c>
    </row>
    <row r="172" spans="1:30">
      <c r="A172">
        <v>170</v>
      </c>
      <c r="B172">
        <v>5.2705278474663313</v>
      </c>
      <c r="C172">
        <f t="shared" si="57"/>
        <v>6.0685021296635302</v>
      </c>
      <c r="D172">
        <f t="shared" si="57"/>
        <v>5.4705226562338467</v>
      </c>
      <c r="E172">
        <f t="shared" si="58"/>
        <v>5.9209378663951604</v>
      </c>
      <c r="F172">
        <f t="shared" si="61"/>
        <v>6.0134022769522497</v>
      </c>
      <c r="G172">
        <f t="shared" si="61"/>
        <v>6.4990967522521137</v>
      </c>
      <c r="H172">
        <f t="shared" si="61"/>
        <v>5.5672472065509409</v>
      </c>
      <c r="I172">
        <f t="shared" si="44"/>
        <v>0.29671935908460956</v>
      </c>
      <c r="J172">
        <f t="shared" si="59"/>
        <v>5.7977301262772167</v>
      </c>
      <c r="K172">
        <f t="shared" si="63"/>
        <v>6.3360682163692941</v>
      </c>
      <c r="L172">
        <f t="shared" si="63"/>
        <v>5.777988676512825</v>
      </c>
      <c r="M172">
        <f t="shared" si="63"/>
        <v>5.267638535842714</v>
      </c>
      <c r="N172">
        <f t="shared" si="45"/>
        <v>-2.8893116236172744E-3</v>
      </c>
      <c r="O172">
        <f t="shared" si="60"/>
        <v>5.6922896705150396</v>
      </c>
      <c r="P172">
        <f t="shared" si="64"/>
        <v>6.207645556640772</v>
      </c>
      <c r="Q172">
        <f t="shared" si="62"/>
        <v>6.28931009822072</v>
      </c>
      <c r="R172">
        <f t="shared" si="65"/>
        <v>5.8013149929895329</v>
      </c>
      <c r="S172">
        <f t="shared" si="65"/>
        <v>5.49908084189288</v>
      </c>
      <c r="T172">
        <f t="shared" si="46"/>
        <v>0.22855299442654875</v>
      </c>
      <c r="U172">
        <f t="shared" si="47"/>
        <v>-0.22855299442654875</v>
      </c>
      <c r="V172">
        <f t="shared" si="54"/>
        <v>5.7186307122430744</v>
      </c>
      <c r="W172">
        <f t="shared" si="48"/>
        <v>-0.4481028647767431</v>
      </c>
      <c r="X172">
        <f t="shared" si="55"/>
        <v>5.9775189764553973</v>
      </c>
      <c r="Y172">
        <f t="shared" si="49"/>
        <v>-0.70699112898906602</v>
      </c>
      <c r="Z172">
        <f t="shared" si="56"/>
        <v>6.0803236378753773</v>
      </c>
      <c r="AA172">
        <f t="shared" si="50"/>
        <v>-0.80979579040904603</v>
      </c>
      <c r="AB172">
        <f t="shared" si="51"/>
        <v>-1.1836721525336689</v>
      </c>
      <c r="AC172">
        <f t="shared" si="52"/>
        <v>6.2788021411497272</v>
      </c>
      <c r="AD172">
        <f t="shared" si="53"/>
        <v>-1.0082742936833959</v>
      </c>
    </row>
    <row r="173" spans="1:30">
      <c r="A173">
        <v>171</v>
      </c>
      <c r="B173">
        <v>6.6237929370324586</v>
      </c>
      <c r="C173">
        <f t="shared" si="57"/>
        <v>6.1025835337491161</v>
      </c>
      <c r="D173">
        <f t="shared" si="57"/>
        <v>5.7412946596201602</v>
      </c>
      <c r="E173">
        <f t="shared" si="58"/>
        <v>5.8025107022644633</v>
      </c>
      <c r="F173">
        <f t="shared" si="61"/>
        <v>5.7678207890685416</v>
      </c>
      <c r="G173">
        <f t="shared" si="61"/>
        <v>6.4110722570675991</v>
      </c>
      <c r="H173">
        <f t="shared" si="61"/>
        <v>6.0699772425005394</v>
      </c>
      <c r="I173">
        <f t="shared" si="44"/>
        <v>-0.55381569453191926</v>
      </c>
      <c r="J173">
        <f t="shared" si="59"/>
        <v>5.7583353616629527</v>
      </c>
      <c r="K173">
        <f t="shared" si="63"/>
        <v>6.1270868906585036</v>
      </c>
      <c r="L173">
        <f t="shared" si="63"/>
        <v>6.0870667716650848</v>
      </c>
      <c r="M173">
        <f t="shared" si="63"/>
        <v>5.3819068418664529</v>
      </c>
      <c r="N173">
        <f t="shared" si="45"/>
        <v>-1.2418860951660058</v>
      </c>
      <c r="O173">
        <f t="shared" si="60"/>
        <v>5.9314268767368539</v>
      </c>
      <c r="P173">
        <f t="shared" si="64"/>
        <v>6.1211784127837108</v>
      </c>
      <c r="Q173">
        <f t="shared" si="62"/>
        <v>5.8831373873579702</v>
      </c>
      <c r="R173">
        <f t="shared" si="65"/>
        <v>5.9981522276827803</v>
      </c>
      <c r="S173">
        <f t="shared" si="65"/>
        <v>5.5234170508441869</v>
      </c>
      <c r="T173">
        <f t="shared" si="46"/>
        <v>-1.1003758861882718</v>
      </c>
      <c r="U173">
        <f t="shared" si="47"/>
        <v>1.1003758861882718</v>
      </c>
      <c r="V173">
        <f t="shared" si="54"/>
        <v>5.6738204257653999</v>
      </c>
      <c r="W173">
        <f t="shared" si="48"/>
        <v>0.94997251126705873</v>
      </c>
      <c r="X173">
        <f t="shared" si="55"/>
        <v>5.8361207506575843</v>
      </c>
      <c r="Y173">
        <f t="shared" si="49"/>
        <v>0.78767218637487435</v>
      </c>
      <c r="Z173">
        <f t="shared" si="56"/>
        <v>5.8373849007526637</v>
      </c>
      <c r="AA173">
        <f t="shared" si="50"/>
        <v>0.78640803627979494</v>
      </c>
      <c r="AB173">
        <f t="shared" si="51"/>
        <v>0.16403293703245847</v>
      </c>
      <c r="AC173">
        <f t="shared" si="52"/>
        <v>6.3278417013720007</v>
      </c>
      <c r="AD173">
        <f t="shared" si="53"/>
        <v>0.29595123566045789</v>
      </c>
    </row>
    <row r="174" spans="1:30">
      <c r="A174">
        <v>172</v>
      </c>
      <c r="B174">
        <v>8.0538180776440704</v>
      </c>
      <c r="C174">
        <f t="shared" si="57"/>
        <v>5.947160392249395</v>
      </c>
      <c r="D174">
        <f t="shared" si="57"/>
        <v>6.0855428317063236</v>
      </c>
      <c r="E174">
        <f t="shared" si="58"/>
        <v>6.2763200015102312</v>
      </c>
      <c r="F174">
        <f t="shared" si="61"/>
        <v>5.7140696656728709</v>
      </c>
      <c r="G174">
        <f t="shared" si="61"/>
        <v>6.0969331872050878</v>
      </c>
      <c r="H174">
        <f t="shared" si="61"/>
        <v>6.3610802697762461</v>
      </c>
      <c r="I174">
        <f t="shared" si="44"/>
        <v>-1.6927378078678244</v>
      </c>
      <c r="J174">
        <f t="shared" si="59"/>
        <v>6.0078312609564621</v>
      </c>
      <c r="K174">
        <f t="shared" si="63"/>
        <v>5.9322984711504709</v>
      </c>
      <c r="L174">
        <f t="shared" si="63"/>
        <v>6.2208591727587068</v>
      </c>
      <c r="M174">
        <f t="shared" si="63"/>
        <v>5.617247315855634</v>
      </c>
      <c r="N174">
        <f t="shared" si="45"/>
        <v>-2.4365707617884365</v>
      </c>
      <c r="O174">
        <f t="shared" si="60"/>
        <v>6.4170286242939838</v>
      </c>
      <c r="P174">
        <f t="shared" si="64"/>
        <v>6.0289546432348864</v>
      </c>
      <c r="Q174">
        <f t="shared" si="62"/>
        <v>5.8475402149346083</v>
      </c>
      <c r="R174">
        <f t="shared" si="65"/>
        <v>6.0661810739317561</v>
      </c>
      <c r="S174">
        <f t="shared" si="65"/>
        <v>5.6105849035574211</v>
      </c>
      <c r="T174">
        <f t="shared" si="46"/>
        <v>-2.4432331740866493</v>
      </c>
      <c r="U174">
        <f t="shared" si="47"/>
        <v>2.4432331740866493</v>
      </c>
      <c r="V174">
        <f t="shared" si="54"/>
        <v>5.7688176768921053</v>
      </c>
      <c r="W174">
        <f t="shared" si="48"/>
        <v>2.2850004007519651</v>
      </c>
      <c r="X174">
        <f t="shared" si="55"/>
        <v>5.9936551879325588</v>
      </c>
      <c r="Y174">
        <f t="shared" si="49"/>
        <v>2.0601628897115116</v>
      </c>
      <c r="Z174">
        <f t="shared" si="56"/>
        <v>6.0733073116366025</v>
      </c>
      <c r="AA174">
        <f t="shared" si="50"/>
        <v>1.9805107660074679</v>
      </c>
      <c r="AB174">
        <f t="shared" si="51"/>
        <v>1.5884980776440702</v>
      </c>
      <c r="AC174">
        <f t="shared" si="52"/>
        <v>6.3771894234326396</v>
      </c>
      <c r="AD174">
        <f t="shared" si="53"/>
        <v>1.6766286542114308</v>
      </c>
    </row>
    <row r="175" spans="1:30">
      <c r="A175">
        <v>173</v>
      </c>
      <c r="B175">
        <v>5.1119963310246499</v>
      </c>
      <c r="C175">
        <f t="shared" si="57"/>
        <v>7.3388055073382645</v>
      </c>
      <c r="D175">
        <f t="shared" si="57"/>
        <v>6.0248719629992555</v>
      </c>
      <c r="E175">
        <f t="shared" si="58"/>
        <v>6.6493796207142877</v>
      </c>
      <c r="F175">
        <f t="shared" si="61"/>
        <v>5.999922856723285</v>
      </c>
      <c r="G175">
        <f t="shared" si="61"/>
        <v>5.8317642438978874</v>
      </c>
      <c r="H175">
        <f t="shared" si="61"/>
        <v>6.3357007321749341</v>
      </c>
      <c r="I175">
        <f t="shared" si="44"/>
        <v>1.2237044011502842</v>
      </c>
      <c r="J175">
        <f t="shared" si="59"/>
        <v>6.7206945205436908</v>
      </c>
      <c r="K175">
        <f t="shared" si="63"/>
        <v>5.8343277657647574</v>
      </c>
      <c r="L175">
        <f t="shared" si="63"/>
        <v>6.1936944130240708</v>
      </c>
      <c r="M175">
        <f t="shared" si="63"/>
        <v>5.8758922018319142</v>
      </c>
      <c r="N175">
        <f t="shared" si="45"/>
        <v>0.76389587080726429</v>
      </c>
      <c r="O175">
        <f t="shared" si="60"/>
        <v>6.3989548826398828</v>
      </c>
      <c r="P175">
        <f t="shared" si="64"/>
        <v>6.0413297481481312</v>
      </c>
      <c r="Q175">
        <f t="shared" si="62"/>
        <v>6.2851587435547236</v>
      </c>
      <c r="R175">
        <f t="shared" si="65"/>
        <v>6.0760507932833931</v>
      </c>
      <c r="S175">
        <f t="shared" si="65"/>
        <v>5.7237705114019439</v>
      </c>
      <c r="T175">
        <f t="shared" si="46"/>
        <v>0.61177418037729403</v>
      </c>
      <c r="U175">
        <f t="shared" si="47"/>
        <v>-0.61177418037729403</v>
      </c>
      <c r="V175">
        <f t="shared" si="54"/>
        <v>5.9973177169673022</v>
      </c>
      <c r="W175">
        <f t="shared" si="48"/>
        <v>-0.88532138594265231</v>
      </c>
      <c r="X175">
        <f t="shared" si="55"/>
        <v>6.4056877658748608</v>
      </c>
      <c r="Y175">
        <f t="shared" si="49"/>
        <v>-1.2936914348502109</v>
      </c>
      <c r="Z175">
        <f t="shared" si="56"/>
        <v>6.6674605414388433</v>
      </c>
      <c r="AA175">
        <f t="shared" si="50"/>
        <v>-1.5554642104141934</v>
      </c>
      <c r="AB175">
        <f t="shared" si="51"/>
        <v>-1.3588836689753503</v>
      </c>
      <c r="AC175">
        <f t="shared" si="52"/>
        <v>6.426831808276888</v>
      </c>
      <c r="AD175">
        <f t="shared" si="53"/>
        <v>-1.3148354772522381</v>
      </c>
    </row>
    <row r="176" spans="1:30">
      <c r="A176">
        <v>174</v>
      </c>
      <c r="B176">
        <v>4.9054392924729235</v>
      </c>
      <c r="C176">
        <f t="shared" si="57"/>
        <v>6.5829072043343597</v>
      </c>
      <c r="D176">
        <f t="shared" si="57"/>
        <v>6.6429829497938293</v>
      </c>
      <c r="E176">
        <f t="shared" si="58"/>
        <v>6.5965357819003927</v>
      </c>
      <c r="F176">
        <f t="shared" si="61"/>
        <v>6.2427367748296616</v>
      </c>
      <c r="G176">
        <f t="shared" si="61"/>
        <v>5.8272711038215661</v>
      </c>
      <c r="H176">
        <f t="shared" si="61"/>
        <v>6.1132565627235245</v>
      </c>
      <c r="I176">
        <f t="shared" si="44"/>
        <v>1.2078172702506009</v>
      </c>
      <c r="J176">
        <f t="shared" si="59"/>
        <v>6.2650337982918778</v>
      </c>
      <c r="K176">
        <f t="shared" si="63"/>
        <v>6.0711478173600808</v>
      </c>
      <c r="L176">
        <f t="shared" si="63"/>
        <v>6.057445335985757</v>
      </c>
      <c r="M176">
        <f t="shared" si="63"/>
        <v>6.0699022584901723</v>
      </c>
      <c r="N176">
        <f t="shared" si="45"/>
        <v>1.1644629660172487</v>
      </c>
      <c r="O176">
        <f t="shared" si="60"/>
        <v>5.9931148971280868</v>
      </c>
      <c r="P176">
        <f t="shared" si="64"/>
        <v>6.0890718699044113</v>
      </c>
      <c r="Q176">
        <f t="shared" si="62"/>
        <v>6.199523242082428</v>
      </c>
      <c r="R176">
        <f t="shared" si="65"/>
        <v>6.122154087905705</v>
      </c>
      <c r="S176">
        <f t="shared" si="65"/>
        <v>5.840131229180578</v>
      </c>
      <c r="T176">
        <f t="shared" si="46"/>
        <v>0.93469193670765449</v>
      </c>
      <c r="U176">
        <f t="shared" si="47"/>
        <v>-0.93469193670765449</v>
      </c>
      <c r="V176">
        <f t="shared" si="54"/>
        <v>5.9087855783730365</v>
      </c>
      <c r="W176">
        <f t="shared" si="48"/>
        <v>-1.003346285900113</v>
      </c>
      <c r="X176">
        <f t="shared" si="55"/>
        <v>6.1469494789048182</v>
      </c>
      <c r="Y176">
        <f t="shared" si="49"/>
        <v>-1.2415101864318947</v>
      </c>
      <c r="Z176">
        <f t="shared" si="56"/>
        <v>6.2008212783145851</v>
      </c>
      <c r="AA176">
        <f t="shared" si="50"/>
        <v>-1.2953819858416615</v>
      </c>
      <c r="AB176">
        <f t="shared" si="51"/>
        <v>-1.5710007075270767</v>
      </c>
      <c r="AC176">
        <f t="shared" si="52"/>
        <v>6.4767552750011115</v>
      </c>
      <c r="AD176">
        <f t="shared" si="53"/>
        <v>-1.5713159825281879</v>
      </c>
    </row>
    <row r="177" spans="1:30">
      <c r="A177">
        <v>175</v>
      </c>
      <c r="B177">
        <v>4.1491450922389195</v>
      </c>
      <c r="C177">
        <f t="shared" si="57"/>
        <v>5.0087178117487863</v>
      </c>
      <c r="D177">
        <f t="shared" si="57"/>
        <v>6.9608563558363121</v>
      </c>
      <c r="E177">
        <f t="shared" si="58"/>
        <v>6.023751233713881</v>
      </c>
      <c r="F177">
        <f t="shared" si="61"/>
        <v>6.5074118013749711</v>
      </c>
      <c r="G177">
        <f t="shared" si="61"/>
        <v>5.9855764324086058</v>
      </c>
      <c r="H177">
        <f t="shared" si="61"/>
        <v>5.9186561783081801</v>
      </c>
      <c r="I177">
        <f t="shared" si="44"/>
        <v>1.7695110860692607</v>
      </c>
      <c r="J177">
        <f t="shared" si="59"/>
        <v>6.1737616595435254</v>
      </c>
      <c r="K177">
        <f t="shared" si="63"/>
        <v>6.1879737353637463</v>
      </c>
      <c r="L177">
        <f t="shared" si="63"/>
        <v>5.9912152362334536</v>
      </c>
      <c r="M177">
        <f t="shared" si="63"/>
        <v>6.1397664233584051</v>
      </c>
      <c r="N177">
        <f t="shared" si="45"/>
        <v>1.9906213311194856</v>
      </c>
      <c r="O177">
        <f t="shared" si="60"/>
        <v>5.7688383460826049</v>
      </c>
      <c r="P177">
        <f t="shared" si="64"/>
        <v>6.0865629902627703</v>
      </c>
      <c r="Q177">
        <f t="shared" si="62"/>
        <v>6.1500356176120556</v>
      </c>
      <c r="R177">
        <f t="shared" si="65"/>
        <v>6.1112819070787952</v>
      </c>
      <c r="S177">
        <f t="shared" si="65"/>
        <v>5.9503085030303096</v>
      </c>
      <c r="T177">
        <f t="shared" si="46"/>
        <v>1.8011634107913901</v>
      </c>
      <c r="U177">
        <f t="shared" si="47"/>
        <v>-1.8011634107913901</v>
      </c>
      <c r="V177">
        <f t="shared" si="54"/>
        <v>5.8084509497830252</v>
      </c>
      <c r="W177">
        <f t="shared" si="48"/>
        <v>-1.6593058575441058</v>
      </c>
      <c r="X177">
        <f t="shared" si="55"/>
        <v>5.8986474416184391</v>
      </c>
      <c r="Y177">
        <f t="shared" si="49"/>
        <v>-1.7495023493795197</v>
      </c>
      <c r="Z177">
        <f t="shared" si="56"/>
        <v>5.8122066825620866</v>
      </c>
      <c r="AA177">
        <f t="shared" si="50"/>
        <v>-1.6630615903231671</v>
      </c>
      <c r="AB177">
        <f t="shared" si="51"/>
        <v>-2.3328549077610807</v>
      </c>
      <c r="AC177">
        <f t="shared" si="52"/>
        <v>6.5269461646251816</v>
      </c>
      <c r="AD177">
        <f t="shared" si="53"/>
        <v>-2.3778010723862621</v>
      </c>
    </row>
    <row r="178" spans="1:30">
      <c r="A178">
        <v>176</v>
      </c>
      <c r="B178">
        <v>4.7663915501727301</v>
      </c>
      <c r="C178">
        <f t="shared" si="57"/>
        <v>4.5272921923559215</v>
      </c>
      <c r="D178">
        <f t="shared" si="57"/>
        <v>5.795812508041573</v>
      </c>
      <c r="E178">
        <f t="shared" si="58"/>
        <v>4.7221935719121637</v>
      </c>
      <c r="F178">
        <f t="shared" si="61"/>
        <v>6.423222212109521</v>
      </c>
      <c r="G178">
        <f t="shared" si="61"/>
        <v>6.2500238109759723</v>
      </c>
      <c r="H178">
        <f t="shared" si="61"/>
        <v>5.8815372600426867</v>
      </c>
      <c r="I178">
        <f t="shared" si="44"/>
        <v>1.1151457098699566</v>
      </c>
      <c r="J178">
        <f t="shared" si="59"/>
        <v>5.5550996983451402</v>
      </c>
      <c r="K178">
        <f t="shared" si="63"/>
        <v>6.2918303098338892</v>
      </c>
      <c r="L178">
        <f t="shared" si="63"/>
        <v>6.0064369474097639</v>
      </c>
      <c r="M178">
        <f t="shared" si="63"/>
        <v>6.1158035395004973</v>
      </c>
      <c r="N178">
        <f t="shared" si="45"/>
        <v>1.3494119893277672</v>
      </c>
      <c r="O178">
        <f t="shared" si="60"/>
        <v>5.3973580687106582</v>
      </c>
      <c r="P178">
        <f t="shared" si="64"/>
        <v>6.1018727253762819</v>
      </c>
      <c r="Q178">
        <f t="shared" si="62"/>
        <v>5.6857865963132257</v>
      </c>
      <c r="R178">
        <f t="shared" si="65"/>
        <v>6.1091175506270838</v>
      </c>
      <c r="S178">
        <f t="shared" si="65"/>
        <v>6.0291891804786601</v>
      </c>
      <c r="T178">
        <f t="shared" si="46"/>
        <v>1.2627976303059301</v>
      </c>
      <c r="U178">
        <f t="shared" si="47"/>
        <v>-1.2627976303059301</v>
      </c>
      <c r="V178">
        <f t="shared" si="54"/>
        <v>5.6425203640286146</v>
      </c>
      <c r="W178">
        <f t="shared" si="48"/>
        <v>-0.87612881385588448</v>
      </c>
      <c r="X178">
        <f t="shared" si="55"/>
        <v>5.5487469717425348</v>
      </c>
      <c r="Y178">
        <f t="shared" si="49"/>
        <v>-0.78235542156980475</v>
      </c>
      <c r="Z178">
        <f t="shared" si="56"/>
        <v>5.3132882054651365</v>
      </c>
      <c r="AA178">
        <f t="shared" si="50"/>
        <v>-0.54689665529240639</v>
      </c>
      <c r="AB178">
        <f t="shared" si="51"/>
        <v>-1.7211684498272701</v>
      </c>
      <c r="AC178">
        <f t="shared" si="52"/>
        <v>6.5773907438865526</v>
      </c>
      <c r="AD178">
        <f t="shared" si="53"/>
        <v>-1.8109991937138226</v>
      </c>
    </row>
    <row r="179" spans="1:30">
      <c r="A179">
        <v>177</v>
      </c>
      <c r="B179">
        <v>4.6386373878939589</v>
      </c>
      <c r="C179">
        <f t="shared" si="57"/>
        <v>4.4577683212058243</v>
      </c>
      <c r="D179">
        <f t="shared" si="57"/>
        <v>4.7680050020523534</v>
      </c>
      <c r="E179">
        <f t="shared" si="58"/>
        <v>4.6069919782948574</v>
      </c>
      <c r="F179">
        <f t="shared" si="61"/>
        <v>5.7808268625088131</v>
      </c>
      <c r="G179">
        <f t="shared" si="61"/>
        <v>6.3911235961047188</v>
      </c>
      <c r="H179">
        <f t="shared" si="61"/>
        <v>6.0209571157353814</v>
      </c>
      <c r="I179">
        <f t="shared" si="44"/>
        <v>1.3823197278414225</v>
      </c>
      <c r="J179">
        <f t="shared" si="59"/>
        <v>4.7332430664773053</v>
      </c>
      <c r="K179">
        <f t="shared" si="63"/>
        <v>6.1786474191810594</v>
      </c>
      <c r="L179">
        <f t="shared" si="63"/>
        <v>6.096319907080618</v>
      </c>
      <c r="M179">
        <f t="shared" si="63"/>
        <v>6.0621979831632613</v>
      </c>
      <c r="N179">
        <f t="shared" si="45"/>
        <v>1.4235605952693025</v>
      </c>
      <c r="O179">
        <f t="shared" si="60"/>
        <v>4.7143219307606357</v>
      </c>
      <c r="P179">
        <f t="shared" si="64"/>
        <v>5.9950589637710436</v>
      </c>
      <c r="Q179">
        <f t="shared" si="62"/>
        <v>5.601763880097625</v>
      </c>
      <c r="R179">
        <f t="shared" si="65"/>
        <v>6.0085303003091681</v>
      </c>
      <c r="S179">
        <f t="shared" si="65"/>
        <v>6.080489606751585</v>
      </c>
      <c r="T179">
        <f t="shared" si="46"/>
        <v>1.4418522188576262</v>
      </c>
      <c r="U179">
        <f t="shared" si="47"/>
        <v>-1.4418522188576262</v>
      </c>
      <c r="V179">
        <f t="shared" si="54"/>
        <v>5.554907482643026</v>
      </c>
      <c r="W179">
        <f t="shared" si="48"/>
        <v>-0.91627009474906718</v>
      </c>
      <c r="X179">
        <f t="shared" si="55"/>
        <v>5.3922758874285739</v>
      </c>
      <c r="Y179">
        <f t="shared" si="49"/>
        <v>-0.75363849953461504</v>
      </c>
      <c r="Z179">
        <f t="shared" si="56"/>
        <v>5.1492192088774145</v>
      </c>
      <c r="AA179">
        <f t="shared" si="50"/>
        <v>-0.51058182098345561</v>
      </c>
      <c r="AB179">
        <f t="shared" si="51"/>
        <v>-1.8544826121060414</v>
      </c>
      <c r="AC179">
        <f t="shared" si="52"/>
        <v>6.6280752090549626</v>
      </c>
      <c r="AD179">
        <f t="shared" si="53"/>
        <v>-1.9894378211610038</v>
      </c>
    </row>
    <row r="180" spans="1:30">
      <c r="A180">
        <v>178</v>
      </c>
      <c r="B180">
        <v>7.624892422244459</v>
      </c>
      <c r="C180">
        <f t="shared" si="57"/>
        <v>4.7025144690333445</v>
      </c>
      <c r="D180">
        <f t="shared" si="57"/>
        <v>4.4925302567808725</v>
      </c>
      <c r="E180">
        <f t="shared" si="58"/>
        <v>4.5180580101018686</v>
      </c>
      <c r="F180">
        <f t="shared" si="61"/>
        <v>5.117645594640301</v>
      </c>
      <c r="G180">
        <f t="shared" si="61"/>
        <v>6.2371536253311026</v>
      </c>
      <c r="H180">
        <f t="shared" si="61"/>
        <v>6.2089079464964323</v>
      </c>
      <c r="I180">
        <f t="shared" si="44"/>
        <v>-1.4159844757480267</v>
      </c>
      <c r="J180">
        <f t="shared" si="59"/>
        <v>4.6149033306946325</v>
      </c>
      <c r="K180">
        <f t="shared" si="63"/>
        <v>5.6817845556644624</v>
      </c>
      <c r="L180">
        <f t="shared" si="63"/>
        <v>6.1823998204346946</v>
      </c>
      <c r="M180">
        <f t="shared" si="63"/>
        <v>6.0378543566773981</v>
      </c>
      <c r="N180">
        <f t="shared" si="45"/>
        <v>-1.5870380655670608</v>
      </c>
      <c r="O180">
        <f t="shared" si="60"/>
        <v>5.2169011490045971</v>
      </c>
      <c r="P180">
        <f t="shared" si="64"/>
        <v>5.6545176250643738</v>
      </c>
      <c r="Q180">
        <f t="shared" si="62"/>
        <v>5.2709046219078752</v>
      </c>
      <c r="R180">
        <f t="shared" si="65"/>
        <v>5.9616347157657783</v>
      </c>
      <c r="S180">
        <f t="shared" si="65"/>
        <v>6.0822192855226502</v>
      </c>
      <c r="T180">
        <f t="shared" si="46"/>
        <v>-1.5426731367218087</v>
      </c>
      <c r="U180">
        <f t="shared" si="47"/>
        <v>1.5426731367218087</v>
      </c>
      <c r="V180">
        <f t="shared" si="54"/>
        <v>5.463280473168119</v>
      </c>
      <c r="W180">
        <f t="shared" si="48"/>
        <v>2.1616119490763399</v>
      </c>
      <c r="X180">
        <f t="shared" si="55"/>
        <v>5.2415481875216505</v>
      </c>
      <c r="Y180">
        <f t="shared" si="49"/>
        <v>2.3833442347228084</v>
      </c>
      <c r="Z180">
        <f t="shared" si="56"/>
        <v>4.9960446625823778</v>
      </c>
      <c r="AA180">
        <f t="shared" si="50"/>
        <v>2.6288477596620812</v>
      </c>
      <c r="AB180">
        <f t="shared" si="51"/>
        <v>1.1262124222444587</v>
      </c>
      <c r="AC180">
        <f t="shared" si="52"/>
        <v>6.6789856897667201</v>
      </c>
      <c r="AD180">
        <f t="shared" si="53"/>
        <v>0.94590673247773882</v>
      </c>
    </row>
    <row r="181" spans="1:30">
      <c r="A181">
        <v>179</v>
      </c>
      <c r="B181">
        <v>6.9472331512913064</v>
      </c>
      <c r="C181">
        <f t="shared" si="57"/>
        <v>6.1317649050692093</v>
      </c>
      <c r="D181">
        <f t="shared" si="57"/>
        <v>4.5801413951195844</v>
      </c>
      <c r="E181">
        <f t="shared" si="58"/>
        <v>5.6766404534370496</v>
      </c>
      <c r="F181">
        <f t="shared" si="61"/>
        <v>4.6157478534362966</v>
      </c>
      <c r="G181">
        <f t="shared" si="61"/>
        <v>5.7738982230862108</v>
      </c>
      <c r="H181">
        <f t="shared" si="61"/>
        <v>6.2927670108039315</v>
      </c>
      <c r="I181">
        <f t="shared" si="44"/>
        <v>-0.65446614048737484</v>
      </c>
      <c r="J181">
        <f t="shared" si="59"/>
        <v>5.2947666131375168</v>
      </c>
      <c r="K181">
        <f t="shared" si="63"/>
        <v>5.2692519387651497</v>
      </c>
      <c r="L181">
        <f t="shared" si="63"/>
        <v>6.0850590050107893</v>
      </c>
      <c r="M181">
        <f t="shared" si="63"/>
        <v>6.0690929777896336</v>
      </c>
      <c r="N181">
        <f t="shared" si="45"/>
        <v>-0.87814017350167273</v>
      </c>
      <c r="O181">
        <f t="shared" si="60"/>
        <v>5.6252599207682747</v>
      </c>
      <c r="P181">
        <f t="shared" si="64"/>
        <v>5.4181068783373165</v>
      </c>
      <c r="Q181">
        <f t="shared" si="62"/>
        <v>5.1994170126746058</v>
      </c>
      <c r="R181">
        <f t="shared" si="65"/>
        <v>5.8655287835946552</v>
      </c>
      <c r="S181">
        <f t="shared" si="65"/>
        <v>6.0647948924949873</v>
      </c>
      <c r="T181">
        <f t="shared" si="46"/>
        <v>-0.8824382587963191</v>
      </c>
      <c r="U181">
        <f t="shared" si="47"/>
        <v>0.8824382587963191</v>
      </c>
      <c r="V181">
        <f t="shared" si="54"/>
        <v>5.6794416680757527</v>
      </c>
      <c r="W181">
        <f t="shared" si="48"/>
        <v>1.2677914832155537</v>
      </c>
      <c r="X181">
        <f t="shared" si="55"/>
        <v>5.7182170344662122</v>
      </c>
      <c r="Y181">
        <f t="shared" si="49"/>
        <v>1.2290161168250942</v>
      </c>
      <c r="Z181">
        <f t="shared" si="56"/>
        <v>5.7846989904810018</v>
      </c>
      <c r="AA181">
        <f t="shared" si="50"/>
        <v>1.1625341608103046</v>
      </c>
      <c r="AB181">
        <f t="shared" si="51"/>
        <v>0.44299315129130612</v>
      </c>
      <c r="AC181">
        <f t="shared" si="52"/>
        <v>6.7301082528774936</v>
      </c>
      <c r="AD181">
        <f t="shared" si="53"/>
        <v>0.21712489841381277</v>
      </c>
    </row>
    <row r="182" spans="1:30">
      <c r="A182">
        <v>180</v>
      </c>
      <c r="B182">
        <v>7.8525291131722907</v>
      </c>
      <c r="C182">
        <f t="shared" si="57"/>
        <v>7.2860627867678822</v>
      </c>
      <c r="D182">
        <f t="shared" si="57"/>
        <v>5.4171396870512769</v>
      </c>
      <c r="E182">
        <f t="shared" si="58"/>
        <v>6.4035876538099084</v>
      </c>
      <c r="F182">
        <f t="shared" si="61"/>
        <v>4.9338968139445916</v>
      </c>
      <c r="G182">
        <f t="shared" si="61"/>
        <v>5.1714067701951372</v>
      </c>
      <c r="H182">
        <f t="shared" si="61"/>
        <v>6.1340584815073447</v>
      </c>
      <c r="I182">
        <f t="shared" si="44"/>
        <v>-1.7184706316649461</v>
      </c>
      <c r="J182">
        <f t="shared" si="59"/>
        <v>5.9942886279006142</v>
      </c>
      <c r="K182">
        <f t="shared" si="63"/>
        <v>5.0495031771636487</v>
      </c>
      <c r="L182">
        <f t="shared" si="63"/>
        <v>5.8553785558611402</v>
      </c>
      <c r="M182">
        <f t="shared" si="63"/>
        <v>6.0925539199839669</v>
      </c>
      <c r="N182">
        <f t="shared" si="45"/>
        <v>-1.7599751931883238</v>
      </c>
      <c r="O182">
        <f t="shared" si="60"/>
        <v>6.3659367249549499</v>
      </c>
      <c r="P182">
        <f t="shared" si="64"/>
        <v>5.3445358830653538</v>
      </c>
      <c r="Q182">
        <f t="shared" si="62"/>
        <v>5.5052898160523824</v>
      </c>
      <c r="R182">
        <f t="shared" si="65"/>
        <v>5.6845718284479689</v>
      </c>
      <c r="S182">
        <f t="shared" si="65"/>
        <v>6.0297078908801973</v>
      </c>
      <c r="T182">
        <f t="shared" si="46"/>
        <v>-1.8228212222920934</v>
      </c>
      <c r="U182">
        <f t="shared" si="47"/>
        <v>1.8228212222920934</v>
      </c>
      <c r="V182">
        <f t="shared" si="54"/>
        <v>5.8062208163973077</v>
      </c>
      <c r="W182">
        <f t="shared" si="48"/>
        <v>2.046308296774983</v>
      </c>
      <c r="X182">
        <f t="shared" si="55"/>
        <v>5.9640202578312307</v>
      </c>
      <c r="Y182">
        <f t="shared" si="49"/>
        <v>1.8885088553410601</v>
      </c>
      <c r="Z182">
        <f t="shared" si="56"/>
        <v>6.1334592387240932</v>
      </c>
      <c r="AA182">
        <f t="shared" si="50"/>
        <v>1.7190698744481976</v>
      </c>
      <c r="AB182">
        <f t="shared" si="51"/>
        <v>1.3427291131722905</v>
      </c>
      <c r="AC182">
        <f t="shared" si="52"/>
        <v>6.7814289063325353</v>
      </c>
      <c r="AD182">
        <f t="shared" si="53"/>
        <v>1.0711002068397555</v>
      </c>
    </row>
    <row r="183" spans="1:30">
      <c r="A183">
        <v>181</v>
      </c>
      <c r="B183">
        <v>6.9069406631856562</v>
      </c>
      <c r="C183">
        <f t="shared" si="57"/>
        <v>7.3998811322317986</v>
      </c>
      <c r="D183">
        <f t="shared" si="57"/>
        <v>6.7089138459185458</v>
      </c>
      <c r="E183">
        <f t="shared" si="58"/>
        <v>7.4748848955693523</v>
      </c>
      <c r="F183">
        <f t="shared" si="61"/>
        <v>5.5327620391162755</v>
      </c>
      <c r="G183">
        <f t="shared" si="61"/>
        <v>4.8890967540070633</v>
      </c>
      <c r="H183">
        <f t="shared" si="61"/>
        <v>5.7274862062041505</v>
      </c>
      <c r="I183">
        <f t="shared" si="44"/>
        <v>-1.1794544569815057</v>
      </c>
      <c r="J183">
        <f t="shared" si="59"/>
        <v>6.7658230186505044</v>
      </c>
      <c r="K183">
        <f t="shared" si="63"/>
        <v>5.1593004095525172</v>
      </c>
      <c r="L183">
        <f t="shared" si="63"/>
        <v>5.5447967726935801</v>
      </c>
      <c r="M183">
        <f t="shared" si="63"/>
        <v>6.0547893220968101</v>
      </c>
      <c r="N183">
        <f t="shared" si="45"/>
        <v>-0.85215134108884616</v>
      </c>
      <c r="O183">
        <f t="shared" si="60"/>
        <v>6.7940465475575351</v>
      </c>
      <c r="P183">
        <f t="shared" si="64"/>
        <v>5.4639555588398228</v>
      </c>
      <c r="Q183">
        <f t="shared" si="62"/>
        <v>5.9964714528356104</v>
      </c>
      <c r="R183">
        <f t="shared" si="65"/>
        <v>5.5688662574429602</v>
      </c>
      <c r="S183">
        <f t="shared" si="65"/>
        <v>5.9567775143039086</v>
      </c>
      <c r="T183">
        <f t="shared" si="46"/>
        <v>-0.95016314888174769</v>
      </c>
      <c r="U183">
        <f t="shared" si="47"/>
        <v>0.95016314888174769</v>
      </c>
      <c r="V183">
        <f t="shared" si="54"/>
        <v>6.0108516460748058</v>
      </c>
      <c r="W183">
        <f t="shared" si="48"/>
        <v>0.89608901711085043</v>
      </c>
      <c r="X183">
        <f t="shared" si="55"/>
        <v>6.3417220288994427</v>
      </c>
      <c r="Y183">
        <f t="shared" si="49"/>
        <v>0.56521863428621355</v>
      </c>
      <c r="Z183">
        <f t="shared" si="56"/>
        <v>6.6491802010585523</v>
      </c>
      <c r="AA183">
        <f t="shared" si="50"/>
        <v>0.25776046212710391</v>
      </c>
      <c r="AB183">
        <f t="shared" si="51"/>
        <v>0.39158066318565599</v>
      </c>
      <c r="AC183">
        <f t="shared" si="52"/>
        <v>6.8329336030532746</v>
      </c>
      <c r="AD183">
        <f t="shared" si="53"/>
        <v>7.4007060132381675E-2</v>
      </c>
    </row>
    <row r="184" spans="1:30">
      <c r="A184">
        <v>182</v>
      </c>
      <c r="B184">
        <v>6.9964427079809814</v>
      </c>
      <c r="C184">
        <f t="shared" si="57"/>
        <v>7.3797348881789731</v>
      </c>
      <c r="D184">
        <f t="shared" si="57"/>
        <v>7.3429719594998399</v>
      </c>
      <c r="E184">
        <f t="shared" si="58"/>
        <v>7.2355676425497508</v>
      </c>
      <c r="F184">
        <f t="shared" si="61"/>
        <v>6.5183710009387701</v>
      </c>
      <c r="G184">
        <f t="shared" si="61"/>
        <v>5.0274689021657215</v>
      </c>
      <c r="H184">
        <f t="shared" si="61"/>
        <v>5.2781339157628038</v>
      </c>
      <c r="I184">
        <f t="shared" si="44"/>
        <v>-1.7183087922181777</v>
      </c>
      <c r="J184">
        <f t="shared" si="59"/>
        <v>7.3328988374734276</v>
      </c>
      <c r="K184">
        <f t="shared" si="63"/>
        <v>5.6674453975958166</v>
      </c>
      <c r="L184">
        <f t="shared" si="63"/>
        <v>5.2899600202864443</v>
      </c>
      <c r="M184">
        <f t="shared" si="63"/>
        <v>5.9169085385000511</v>
      </c>
      <c r="N184">
        <f t="shared" si="45"/>
        <v>-1.0795341694809304</v>
      </c>
      <c r="O184">
        <f t="shared" si="60"/>
        <v>7.2656076115749384</v>
      </c>
      <c r="P184">
        <f t="shared" si="64"/>
        <v>5.7432932546091982</v>
      </c>
      <c r="Q184">
        <f t="shared" si="62"/>
        <v>6.4561040479934002</v>
      </c>
      <c r="R184">
        <f t="shared" si="65"/>
        <v>5.5432722299802206</v>
      </c>
      <c r="S184">
        <f t="shared" si="65"/>
        <v>5.8663749060312691</v>
      </c>
      <c r="T184">
        <f t="shared" si="46"/>
        <v>-1.1300678019497123</v>
      </c>
      <c r="U184">
        <f t="shared" si="47"/>
        <v>1.1300678019497123</v>
      </c>
      <c r="V184">
        <f t="shared" si="54"/>
        <v>6.1004605477858913</v>
      </c>
      <c r="W184">
        <f t="shared" si="48"/>
        <v>0.89598216019509014</v>
      </c>
      <c r="X184">
        <f t="shared" si="55"/>
        <v>6.4547657557566858</v>
      </c>
      <c r="Y184">
        <f t="shared" si="49"/>
        <v>0.54167695222429568</v>
      </c>
      <c r="Z184">
        <f t="shared" si="56"/>
        <v>6.7265083396966832</v>
      </c>
      <c r="AA184">
        <f t="shared" si="50"/>
        <v>0.26993436828429829</v>
      </c>
      <c r="AB184">
        <f t="shared" si="51"/>
        <v>0.47552270798098117</v>
      </c>
      <c r="AC184">
        <f t="shared" si="52"/>
        <v>6.8846082448391988</v>
      </c>
      <c r="AD184">
        <f t="shared" si="53"/>
        <v>0.11183446314178269</v>
      </c>
    </row>
    <row r="185" spans="1:30">
      <c r="A185">
        <v>183</v>
      </c>
      <c r="B185">
        <v>5.962604698592787</v>
      </c>
      <c r="C185">
        <f t="shared" si="57"/>
        <v>6.9516916855833184</v>
      </c>
      <c r="D185">
        <f t="shared" si="57"/>
        <v>7.3898080102053854</v>
      </c>
      <c r="E185">
        <f t="shared" si="58"/>
        <v>7.2519708281129764</v>
      </c>
      <c r="F185">
        <f t="shared" si="61"/>
        <v>7.0380133973096699</v>
      </c>
      <c r="G185">
        <f t="shared" si="61"/>
        <v>5.6616766179998796</v>
      </c>
      <c r="H185">
        <f t="shared" si="61"/>
        <v>5.0293241421226407</v>
      </c>
      <c r="I185">
        <f t="shared" si="44"/>
        <v>-0.93328055647014629</v>
      </c>
      <c r="J185">
        <f t="shared" si="59"/>
        <v>7.1757864089075589</v>
      </c>
      <c r="K185">
        <f t="shared" si="63"/>
        <v>6.3469442742905162</v>
      </c>
      <c r="L185">
        <f t="shared" si="63"/>
        <v>5.2863752307692833</v>
      </c>
      <c r="M185">
        <f t="shared" si="63"/>
        <v>5.6937985884629878</v>
      </c>
      <c r="N185">
        <f t="shared" si="45"/>
        <v>-0.26880611012979916</v>
      </c>
      <c r="O185">
        <f t="shared" si="60"/>
        <v>6.933150066844604</v>
      </c>
      <c r="P185">
        <f t="shared" si="64"/>
        <v>6.2535503907720589</v>
      </c>
      <c r="Q185">
        <f t="shared" si="62"/>
        <v>6.8277792409614433</v>
      </c>
      <c r="R185">
        <f t="shared" si="65"/>
        <v>5.671658471926917</v>
      </c>
      <c r="S185">
        <f t="shared" si="65"/>
        <v>5.7720673525901249</v>
      </c>
      <c r="T185">
        <f t="shared" si="46"/>
        <v>-0.19053734600266203</v>
      </c>
      <c r="U185">
        <f t="shared" si="47"/>
        <v>0.19053734600266203</v>
      </c>
      <c r="V185">
        <f t="shared" si="54"/>
        <v>6.1900587638053999</v>
      </c>
      <c r="W185">
        <f t="shared" si="48"/>
        <v>-0.22745406521261291</v>
      </c>
      <c r="X185">
        <f t="shared" si="55"/>
        <v>6.5631011462015447</v>
      </c>
      <c r="Y185">
        <f t="shared" si="49"/>
        <v>-0.60049644760875776</v>
      </c>
      <c r="Z185">
        <f t="shared" si="56"/>
        <v>6.8074886501819725</v>
      </c>
      <c r="AA185">
        <f t="shared" si="50"/>
        <v>-0.8448839515891855</v>
      </c>
      <c r="AB185">
        <f t="shared" si="51"/>
        <v>-0.56387530140721331</v>
      </c>
      <c r="AC185">
        <f t="shared" si="52"/>
        <v>6.9364386862839211</v>
      </c>
      <c r="AD185">
        <f t="shared" si="53"/>
        <v>-0.97383398769113416</v>
      </c>
    </row>
    <row r="186" spans="1:30">
      <c r="A186">
        <v>184</v>
      </c>
      <c r="B186">
        <v>4.4915403341805202</v>
      </c>
      <c r="C186">
        <f t="shared" si="57"/>
        <v>6.4795237032868842</v>
      </c>
      <c r="D186">
        <f t="shared" si="57"/>
        <v>7.1657132868811457</v>
      </c>
      <c r="E186">
        <f t="shared" si="58"/>
        <v>6.6219960232531418</v>
      </c>
      <c r="F186">
        <f t="shared" si="61"/>
        <v>7.3208077887440268</v>
      </c>
      <c r="G186">
        <f t="shared" si="61"/>
        <v>6.3630488124549052</v>
      </c>
      <c r="H186">
        <f t="shared" si="61"/>
        <v>5.1927474247242218</v>
      </c>
      <c r="I186">
        <f t="shared" si="44"/>
        <v>0.70120709054370156</v>
      </c>
      <c r="J186">
        <f t="shared" si="59"/>
        <v>6.9296292957329291</v>
      </c>
      <c r="K186">
        <f t="shared" si="63"/>
        <v>6.8171992232330263</v>
      </c>
      <c r="L186">
        <f t="shared" si="63"/>
        <v>5.5557983146506249</v>
      </c>
      <c r="M186">
        <f t="shared" si="63"/>
        <v>5.494127644902612</v>
      </c>
      <c r="N186">
        <f t="shared" si="45"/>
        <v>1.0025873107220917</v>
      </c>
      <c r="O186">
        <f t="shared" si="60"/>
        <v>6.4420115034224468</v>
      </c>
      <c r="P186">
        <f t="shared" si="64"/>
        <v>6.5968001743400606</v>
      </c>
      <c r="Q186">
        <f t="shared" si="62"/>
        <v>7.0484404594112462</v>
      </c>
      <c r="R186">
        <f t="shared" si="65"/>
        <v>5.8759943654042184</v>
      </c>
      <c r="S186">
        <f t="shared" si="65"/>
        <v>5.7159220478597499</v>
      </c>
      <c r="T186">
        <f t="shared" si="46"/>
        <v>1.2243817136792297</v>
      </c>
      <c r="U186">
        <f t="shared" si="47"/>
        <v>-1.2243817136792297</v>
      </c>
      <c r="V186">
        <f t="shared" si="54"/>
        <v>6.1673133572841383</v>
      </c>
      <c r="W186">
        <f t="shared" si="48"/>
        <v>-1.6757730231036181</v>
      </c>
      <c r="X186">
        <f t="shared" si="55"/>
        <v>6.4430018566797935</v>
      </c>
      <c r="Y186">
        <f t="shared" si="49"/>
        <v>-1.9514615224992733</v>
      </c>
      <c r="Z186">
        <f t="shared" si="56"/>
        <v>6.5540234647052165</v>
      </c>
      <c r="AA186">
        <f t="shared" si="50"/>
        <v>-2.0624831305246962</v>
      </c>
      <c r="AB186">
        <f t="shared" si="51"/>
        <v>-2.0404996658194801</v>
      </c>
      <c r="AC186">
        <f t="shared" si="52"/>
        <v>6.9884107387043768</v>
      </c>
      <c r="AD186">
        <f t="shared" si="53"/>
        <v>-2.4968704045238566</v>
      </c>
    </row>
    <row r="187" spans="1:30">
      <c r="A187">
        <v>185</v>
      </c>
      <c r="B187">
        <v>6.1794102168457288</v>
      </c>
      <c r="C187">
        <f t="shared" si="57"/>
        <v>5.227072516386654</v>
      </c>
      <c r="D187">
        <f t="shared" si="57"/>
        <v>6.7156076944351017</v>
      </c>
      <c r="E187">
        <f t="shared" si="58"/>
        <v>5.8168625802514287</v>
      </c>
      <c r="F187">
        <f t="shared" si="61"/>
        <v>7.036511497971957</v>
      </c>
      <c r="G187">
        <f t="shared" si="61"/>
        <v>6.959064062330822</v>
      </c>
      <c r="H187">
        <f t="shared" si="61"/>
        <v>5.6840647775401685</v>
      </c>
      <c r="I187">
        <f t="shared" si="44"/>
        <v>-0.4953454393055603</v>
      </c>
      <c r="J187">
        <f t="shared" si="59"/>
        <v>6.0893821009849862</v>
      </c>
      <c r="K187">
        <f t="shared" si="63"/>
        <v>7.0510343901911057</v>
      </c>
      <c r="L187">
        <f t="shared" si="63"/>
        <v>5.9977223261679686</v>
      </c>
      <c r="M187">
        <f t="shared" si="63"/>
        <v>5.4192325845999836</v>
      </c>
      <c r="N187">
        <f t="shared" si="45"/>
        <v>-0.76017763224574519</v>
      </c>
      <c r="O187">
        <f t="shared" si="60"/>
        <v>6.1073877241571344</v>
      </c>
      <c r="P187">
        <f t="shared" si="64"/>
        <v>6.7601504908708945</v>
      </c>
      <c r="Q187">
        <f t="shared" si="62"/>
        <v>6.5262151114005897</v>
      </c>
      <c r="R187">
        <f t="shared" si="65"/>
        <v>6.1722503383214473</v>
      </c>
      <c r="S187">
        <f t="shared" si="65"/>
        <v>5.7016486561328241</v>
      </c>
      <c r="T187">
        <f t="shared" si="46"/>
        <v>-0.47776156071290465</v>
      </c>
      <c r="U187">
        <f t="shared" si="47"/>
        <v>0.47776156071290465</v>
      </c>
      <c r="V187">
        <f t="shared" si="54"/>
        <v>5.9997360549737762</v>
      </c>
      <c r="W187">
        <f t="shared" si="48"/>
        <v>0.17967416187195262</v>
      </c>
      <c r="X187">
        <f t="shared" si="55"/>
        <v>6.0527095521799392</v>
      </c>
      <c r="Y187">
        <f t="shared" si="49"/>
        <v>0.12670066466578955</v>
      </c>
      <c r="Z187">
        <f t="shared" si="56"/>
        <v>5.9352785255478073</v>
      </c>
      <c r="AA187">
        <f t="shared" si="50"/>
        <v>0.24413169129792145</v>
      </c>
      <c r="AB187">
        <f t="shared" si="51"/>
        <v>-0.35818978315427152</v>
      </c>
      <c r="AC187">
        <f t="shared" si="52"/>
        <v>7.0405101740820273</v>
      </c>
      <c r="AD187">
        <f t="shared" si="53"/>
        <v>-0.86109995723629851</v>
      </c>
    </row>
    <row r="188" spans="1:30">
      <c r="A188">
        <v>186</v>
      </c>
      <c r="B188">
        <v>5.3509937313127631</v>
      </c>
      <c r="C188">
        <f t="shared" si="57"/>
        <v>5.3354752755131241</v>
      </c>
      <c r="D188">
        <f t="shared" si="57"/>
        <v>5.8532981098367696</v>
      </c>
      <c r="E188">
        <f t="shared" si="58"/>
        <v>5.5445184165396784</v>
      </c>
      <c r="F188">
        <f t="shared" si="61"/>
        <v>6.5636098105391829</v>
      </c>
      <c r="G188">
        <f t="shared" si="61"/>
        <v>7.1317775613418846</v>
      </c>
      <c r="H188">
        <f t="shared" si="61"/>
        <v>6.3279298309285359</v>
      </c>
      <c r="I188">
        <f t="shared" si="44"/>
        <v>0.97693609961577277</v>
      </c>
      <c r="J188">
        <f t="shared" si="59"/>
        <v>5.9074994894000037</v>
      </c>
      <c r="K188">
        <f t="shared" si="63"/>
        <v>6.8819241607747248</v>
      </c>
      <c r="L188">
        <f t="shared" si="63"/>
        <v>6.4706558213276164</v>
      </c>
      <c r="M188">
        <f t="shared" si="63"/>
        <v>5.5324639729685803</v>
      </c>
      <c r="N188">
        <f t="shared" si="45"/>
        <v>0.18147024165581715</v>
      </c>
      <c r="O188">
        <f t="shared" si="60"/>
        <v>5.7961983377825552</v>
      </c>
      <c r="P188">
        <f t="shared" si="64"/>
        <v>6.7084406907113321</v>
      </c>
      <c r="Q188">
        <f t="shared" si="62"/>
        <v>6.3982446223263274</v>
      </c>
      <c r="R188">
        <f t="shared" si="65"/>
        <v>6.3933833547757786</v>
      </c>
      <c r="S188">
        <f t="shared" si="65"/>
        <v>5.752768915253955</v>
      </c>
      <c r="T188">
        <f t="shared" si="46"/>
        <v>0.40177518394119183</v>
      </c>
      <c r="U188">
        <f t="shared" si="47"/>
        <v>-0.40177518394119183</v>
      </c>
      <c r="V188">
        <f t="shared" si="54"/>
        <v>6.0177034711609716</v>
      </c>
      <c r="W188">
        <f t="shared" si="48"/>
        <v>-0.66670973984820847</v>
      </c>
      <c r="X188">
        <f t="shared" si="55"/>
        <v>6.078049685113097</v>
      </c>
      <c r="Y188">
        <f t="shared" si="49"/>
        <v>-0.72705595380033383</v>
      </c>
      <c r="Z188">
        <f t="shared" si="56"/>
        <v>6.0085180329371841</v>
      </c>
      <c r="AA188">
        <f t="shared" si="50"/>
        <v>-0.65752430162442099</v>
      </c>
      <c r="AB188">
        <f t="shared" si="51"/>
        <v>-1.1921662686872372</v>
      </c>
      <c r="AC188">
        <f t="shared" si="52"/>
        <v>7.0927227290149988</v>
      </c>
      <c r="AD188">
        <f t="shared" si="53"/>
        <v>-1.7417289977022357</v>
      </c>
    </row>
    <row r="189" spans="1:30">
      <c r="A189">
        <v>187</v>
      </c>
      <c r="B189">
        <v>7.0359387899129864</v>
      </c>
      <c r="C189">
        <f t="shared" si="57"/>
        <v>5.765201974079246</v>
      </c>
      <c r="D189">
        <f t="shared" si="57"/>
        <v>5.2812738959498891</v>
      </c>
      <c r="E189">
        <f t="shared" si="58"/>
        <v>5.3406480941130035</v>
      </c>
      <c r="F189">
        <f t="shared" si="61"/>
        <v>5.9944590066814163</v>
      </c>
      <c r="G189">
        <f t="shared" si="61"/>
        <v>6.9736430324183898</v>
      </c>
      <c r="H189">
        <f t="shared" si="61"/>
        <v>6.8179634787092036</v>
      </c>
      <c r="I189">
        <f t="shared" si="44"/>
        <v>-0.21797531120378277</v>
      </c>
      <c r="J189">
        <f t="shared" si="59"/>
        <v>5.4961372452329496</v>
      </c>
      <c r="K189">
        <f t="shared" si="63"/>
        <v>6.5255743237563699</v>
      </c>
      <c r="L189">
        <f t="shared" si="63"/>
        <v>6.7742755121223439</v>
      </c>
      <c r="M189">
        <f t="shared" si="63"/>
        <v>5.827637923228874</v>
      </c>
      <c r="N189">
        <f t="shared" si="45"/>
        <v>-1.2083008666841124</v>
      </c>
      <c r="O189">
        <f t="shared" si="60"/>
        <v>5.8040975541689566</v>
      </c>
      <c r="P189">
        <f t="shared" si="64"/>
        <v>6.5088710487563359</v>
      </c>
      <c r="Q189">
        <f t="shared" si="62"/>
        <v>5.9813220586830731</v>
      </c>
      <c r="R189">
        <f t="shared" si="65"/>
        <v>6.5422091558214364</v>
      </c>
      <c r="S189">
        <f t="shared" si="65"/>
        <v>5.870904169641924</v>
      </c>
      <c r="T189">
        <f t="shared" si="46"/>
        <v>-1.1650346202710624</v>
      </c>
      <c r="U189">
        <f t="shared" si="47"/>
        <v>1.1650346202710624</v>
      </c>
      <c r="V189">
        <f t="shared" si="54"/>
        <v>5.9510324971761506</v>
      </c>
      <c r="W189">
        <f t="shared" si="48"/>
        <v>1.0849062927368358</v>
      </c>
      <c r="X189">
        <f t="shared" si="55"/>
        <v>5.9326384943530304</v>
      </c>
      <c r="Y189">
        <f t="shared" si="49"/>
        <v>1.103300295559956</v>
      </c>
      <c r="Z189">
        <f t="shared" si="56"/>
        <v>5.8112607424498579</v>
      </c>
      <c r="AA189">
        <f t="shared" si="50"/>
        <v>1.2246780474631285</v>
      </c>
      <c r="AB189">
        <f t="shared" si="51"/>
        <v>0.48721878991298606</v>
      </c>
      <c r="AC189">
        <f t="shared" si="52"/>
        <v>7.1450341086800471</v>
      </c>
      <c r="AD189">
        <f t="shared" si="53"/>
        <v>-0.10909531876706069</v>
      </c>
    </row>
    <row r="190" spans="1:30">
      <c r="A190">
        <v>188</v>
      </c>
      <c r="B190">
        <v>5.6001010551259069</v>
      </c>
      <c r="C190">
        <f t="shared" si="57"/>
        <v>6.1934662606128743</v>
      </c>
      <c r="D190">
        <f t="shared" si="57"/>
        <v>5.5503386247961846</v>
      </c>
      <c r="E190">
        <f t="shared" si="58"/>
        <v>6.1887809126904925</v>
      </c>
      <c r="F190">
        <f t="shared" si="61"/>
        <v>5.5673430303013705</v>
      </c>
      <c r="G190">
        <f t="shared" si="61"/>
        <v>6.5315267717308521</v>
      </c>
      <c r="H190">
        <f t="shared" si="61"/>
        <v>7.0214948853636985</v>
      </c>
      <c r="I190">
        <f t="shared" si="44"/>
        <v>1.4213938302377915</v>
      </c>
      <c r="J190">
        <f t="shared" si="59"/>
        <v>5.7644707680629992</v>
      </c>
      <c r="K190">
        <f t="shared" si="63"/>
        <v>6.1056620328377171</v>
      </c>
      <c r="L190">
        <f t="shared" si="63"/>
        <v>6.818933024488806</v>
      </c>
      <c r="M190">
        <f t="shared" si="63"/>
        <v>6.199612993567138</v>
      </c>
      <c r="N190">
        <f t="shared" si="45"/>
        <v>0.59951193844123107</v>
      </c>
      <c r="O190">
        <f t="shared" si="60"/>
        <v>5.7315968254755809</v>
      </c>
      <c r="P190">
        <f t="shared" si="64"/>
        <v>6.2165690372751401</v>
      </c>
      <c r="Q190">
        <f t="shared" si="62"/>
        <v>6.0028217464709606</v>
      </c>
      <c r="R190">
        <f t="shared" si="65"/>
        <v>6.5396842567960123</v>
      </c>
      <c r="S190">
        <f t="shared" si="65"/>
        <v>6.0331279860383367</v>
      </c>
      <c r="T190">
        <f t="shared" si="46"/>
        <v>0.43302693091242972</v>
      </c>
      <c r="U190">
        <f t="shared" si="47"/>
        <v>-0.43302693091242972</v>
      </c>
      <c r="V190">
        <f t="shared" si="54"/>
        <v>6.0595231264498342</v>
      </c>
      <c r="W190">
        <f t="shared" si="48"/>
        <v>-0.45942207132392721</v>
      </c>
      <c r="X190">
        <f t="shared" si="55"/>
        <v>6.1532985534650217</v>
      </c>
      <c r="Y190">
        <f t="shared" si="49"/>
        <v>-0.5531974983391148</v>
      </c>
      <c r="Z190">
        <f t="shared" si="56"/>
        <v>6.1786641566887965</v>
      </c>
      <c r="AA190">
        <f t="shared" si="50"/>
        <v>-0.57856310156288959</v>
      </c>
      <c r="AB190">
        <f t="shared" si="51"/>
        <v>-0.95417894487409338</v>
      </c>
      <c r="AC190">
        <f t="shared" si="52"/>
        <v>7.197429990803248</v>
      </c>
      <c r="AD190">
        <f t="shared" si="53"/>
        <v>-1.597328935677341</v>
      </c>
    </row>
    <row r="191" spans="1:30">
      <c r="A191">
        <v>189</v>
      </c>
      <c r="B191">
        <v>7.45656620752073</v>
      </c>
      <c r="C191">
        <f t="shared" si="57"/>
        <v>6.3180199225194471</v>
      </c>
      <c r="D191">
        <f t="shared" si="57"/>
        <v>5.9793341173460597</v>
      </c>
      <c r="E191">
        <f t="shared" si="58"/>
        <v>5.9956778587838855</v>
      </c>
      <c r="F191">
        <f t="shared" si="61"/>
        <v>5.6913158077810584</v>
      </c>
      <c r="G191">
        <f t="shared" si="61"/>
        <v>6.0418039491739899</v>
      </c>
      <c r="H191">
        <f t="shared" si="61"/>
        <v>6.8789824551637091</v>
      </c>
      <c r="I191">
        <f t="shared" si="44"/>
        <v>-0.57758375235702086</v>
      </c>
      <c r="J191">
        <f t="shared" si="59"/>
        <v>6.0416109482993461</v>
      </c>
      <c r="K191">
        <f t="shared" si="63"/>
        <v>5.8143724009202344</v>
      </c>
      <c r="L191">
        <f t="shared" si="63"/>
        <v>6.6410487268899798</v>
      </c>
      <c r="M191">
        <f t="shared" si="63"/>
        <v>6.515396671026684</v>
      </c>
      <c r="N191">
        <f t="shared" si="45"/>
        <v>-0.941169536494046</v>
      </c>
      <c r="O191">
        <f t="shared" si="60"/>
        <v>6.3246020001436225</v>
      </c>
      <c r="P191">
        <f t="shared" si="64"/>
        <v>5.9762583890013357</v>
      </c>
      <c r="Q191">
        <f t="shared" si="62"/>
        <v>5.7700981376617824</v>
      </c>
      <c r="R191">
        <f t="shared" si="65"/>
        <v>6.4641372065422731</v>
      </c>
      <c r="S191">
        <f t="shared" si="65"/>
        <v>6.1991966571743014</v>
      </c>
      <c r="T191">
        <f t="shared" si="46"/>
        <v>-1.2573695503464286</v>
      </c>
      <c r="U191">
        <f t="shared" si="47"/>
        <v>1.2573695503464286</v>
      </c>
      <c r="V191">
        <f t="shared" si="54"/>
        <v>6.013580919317441</v>
      </c>
      <c r="W191">
        <f t="shared" si="48"/>
        <v>1.442985288203289</v>
      </c>
      <c r="X191">
        <f t="shared" si="55"/>
        <v>6.0426590537971991</v>
      </c>
      <c r="Y191">
        <f t="shared" si="49"/>
        <v>1.4139071537235308</v>
      </c>
      <c r="Z191">
        <f t="shared" si="56"/>
        <v>6.0050952262199297</v>
      </c>
      <c r="AA191">
        <f t="shared" si="50"/>
        <v>1.4514709813008002</v>
      </c>
      <c r="AB191">
        <f t="shared" si="51"/>
        <v>0.89672620752072962</v>
      </c>
      <c r="AC191">
        <f t="shared" si="52"/>
        <v>7.2498960296383164</v>
      </c>
      <c r="AD191">
        <f t="shared" si="53"/>
        <v>0.2066701778824136</v>
      </c>
    </row>
    <row r="192" spans="1:30">
      <c r="A192">
        <v>190</v>
      </c>
      <c r="B192">
        <v>8.8655631699499615</v>
      </c>
      <c r="C192">
        <f t="shared" si="57"/>
        <v>6.5283336313233189</v>
      </c>
      <c r="D192">
        <f t="shared" si="57"/>
        <v>6.2557430915661607</v>
      </c>
      <c r="E192">
        <f t="shared" si="58"/>
        <v>6.6975353508532081</v>
      </c>
      <c r="F192">
        <f t="shared" si="61"/>
        <v>5.8417022885291274</v>
      </c>
      <c r="G192">
        <f t="shared" si="61"/>
        <v>5.751039281587949</v>
      </c>
      <c r="H192">
        <f t="shared" si="61"/>
        <v>6.5156579177744112</v>
      </c>
      <c r="I192">
        <f t="shared" si="44"/>
        <v>-2.3499052521755504</v>
      </c>
      <c r="J192">
        <f t="shared" si="59"/>
        <v>6.3608999459680966</v>
      </c>
      <c r="K192">
        <f t="shared" si="63"/>
        <v>5.8024296127488251</v>
      </c>
      <c r="L192">
        <f t="shared" si="63"/>
        <v>6.3318832295722611</v>
      </c>
      <c r="M192">
        <f t="shared" si="63"/>
        <v>6.6762282712071865</v>
      </c>
      <c r="N192">
        <f t="shared" si="45"/>
        <v>-2.189334898742775</v>
      </c>
      <c r="O192">
        <f t="shared" si="60"/>
        <v>6.8618325907644699</v>
      </c>
      <c r="P192">
        <f t="shared" si="64"/>
        <v>5.9527764883455703</v>
      </c>
      <c r="Q192">
        <f t="shared" si="62"/>
        <v>6.0190917224831066</v>
      </c>
      <c r="R192">
        <f t="shared" si="65"/>
        <v>6.2878570226589963</v>
      </c>
      <c r="S192">
        <f t="shared" si="65"/>
        <v>6.3312764462768607</v>
      </c>
      <c r="T192">
        <f t="shared" si="46"/>
        <v>-2.5342867236731008</v>
      </c>
      <c r="U192">
        <f t="shared" si="47"/>
        <v>2.5342867236731008</v>
      </c>
      <c r="V192">
        <f t="shared" si="54"/>
        <v>6.1578794481377699</v>
      </c>
      <c r="W192">
        <f t="shared" si="48"/>
        <v>2.7076837218121916</v>
      </c>
      <c r="X192">
        <f t="shared" si="55"/>
        <v>6.3254404845419057</v>
      </c>
      <c r="Y192">
        <f t="shared" si="49"/>
        <v>2.5401226854080559</v>
      </c>
      <c r="Z192">
        <f t="shared" si="56"/>
        <v>6.4405365206101699</v>
      </c>
      <c r="AA192">
        <f t="shared" si="50"/>
        <v>2.4250266493397916</v>
      </c>
      <c r="AB192">
        <f t="shared" si="51"/>
        <v>2.3001631699499612</v>
      </c>
      <c r="AC192">
        <f t="shared" si="52"/>
        <v>7.3024178599514427</v>
      </c>
      <c r="AD192">
        <f t="shared" si="53"/>
        <v>1.5631453099985189</v>
      </c>
    </row>
    <row r="193" spans="1:30">
      <c r="A193">
        <v>191</v>
      </c>
      <c r="B193">
        <v>6.2366114383441769</v>
      </c>
      <c r="C193">
        <f t="shared" si="57"/>
        <v>8.1610646887353457</v>
      </c>
      <c r="D193">
        <f t="shared" si="57"/>
        <v>6.423176776921383</v>
      </c>
      <c r="E193">
        <f t="shared" si="58"/>
        <v>7.3074101441988661</v>
      </c>
      <c r="F193">
        <f t="shared" si="61"/>
        <v>6.293998040775862</v>
      </c>
      <c r="G193">
        <f t="shared" si="61"/>
        <v>5.7001203755371854</v>
      </c>
      <c r="H193">
        <f t="shared" si="61"/>
        <v>6.1081233341642642</v>
      </c>
      <c r="I193">
        <f t="shared" si="44"/>
        <v>-0.12848810417991263</v>
      </c>
      <c r="J193">
        <f t="shared" si="59"/>
        <v>7.2395423056273964</v>
      </c>
      <c r="K193">
        <f t="shared" si="63"/>
        <v>5.9157797268908476</v>
      </c>
      <c r="L193">
        <f t="shared" si="63"/>
        <v>6.0620095925657864</v>
      </c>
      <c r="M193">
        <f t="shared" si="63"/>
        <v>6.6415351232683477</v>
      </c>
      <c r="N193">
        <f t="shared" si="45"/>
        <v>0.40492368492417086</v>
      </c>
      <c r="O193">
        <f t="shared" si="60"/>
        <v>7.0389561321707532</v>
      </c>
      <c r="P193">
        <f t="shared" si="64"/>
        <v>6.1036654616670374</v>
      </c>
      <c r="Q193">
        <f t="shared" si="62"/>
        <v>6.7480955284446793</v>
      </c>
      <c r="R193">
        <f t="shared" si="65"/>
        <v>6.1162988998376404</v>
      </c>
      <c r="S193">
        <f t="shared" si="65"/>
        <v>6.3999202224859912</v>
      </c>
      <c r="T193">
        <f t="shared" si="46"/>
        <v>0.16330878414181438</v>
      </c>
      <c r="U193">
        <f t="shared" si="47"/>
        <v>-0.16330878414181438</v>
      </c>
      <c r="V193">
        <f t="shared" si="54"/>
        <v>6.4286478203189894</v>
      </c>
      <c r="W193">
        <f t="shared" si="48"/>
        <v>-0.19203638197481254</v>
      </c>
      <c r="X193">
        <f t="shared" si="55"/>
        <v>6.8334650216235167</v>
      </c>
      <c r="Y193">
        <f t="shared" si="49"/>
        <v>-0.59685358327933979</v>
      </c>
      <c r="Z193">
        <f t="shared" si="56"/>
        <v>7.1680445154121077</v>
      </c>
      <c r="AA193">
        <f t="shared" si="50"/>
        <v>-0.93143307706793088</v>
      </c>
      <c r="AB193">
        <f t="shared" si="51"/>
        <v>-0.3343485616558235</v>
      </c>
      <c r="AC193">
        <f t="shared" si="52"/>
        <v>7.3549811010115436</v>
      </c>
      <c r="AD193">
        <f t="shared" si="53"/>
        <v>-1.1183696626673667</v>
      </c>
    </row>
    <row r="194" spans="1:30">
      <c r="A194">
        <v>192</v>
      </c>
      <c r="B194">
        <v>9.2156313068712308</v>
      </c>
      <c r="C194">
        <f t="shared" si="57"/>
        <v>7.5510873041470692</v>
      </c>
      <c r="D194">
        <f t="shared" si="57"/>
        <v>7.3446991600293323</v>
      </c>
      <c r="E194">
        <f t="shared" si="58"/>
        <v>7.5195802719382892</v>
      </c>
      <c r="F194">
        <f t="shared" si="61"/>
        <v>6.6668744512786526</v>
      </c>
      <c r="G194">
        <f t="shared" si="61"/>
        <v>5.9423387123620159</v>
      </c>
      <c r="H194">
        <f t="shared" si="61"/>
        <v>5.8309878687663748</v>
      </c>
      <c r="I194">
        <f t="shared" si="44"/>
        <v>-3.384643438104856</v>
      </c>
      <c r="J194">
        <f t="shared" si="59"/>
        <v>7.039710467735194</v>
      </c>
      <c r="K194">
        <f t="shared" si="63"/>
        <v>6.3516309919894596</v>
      </c>
      <c r="L194">
        <f t="shared" si="63"/>
        <v>5.9095609433494056</v>
      </c>
      <c r="M194">
        <f t="shared" si="63"/>
        <v>6.4634686433792083</v>
      </c>
      <c r="N194">
        <f t="shared" si="45"/>
        <v>-2.7521626634920224</v>
      </c>
      <c r="O194">
        <f t="shared" si="60"/>
        <v>7.4748946355624017</v>
      </c>
      <c r="P194">
        <f t="shared" si="64"/>
        <v>6.3522170205446766</v>
      </c>
      <c r="Q194">
        <f t="shared" si="62"/>
        <v>6.7576290653610878</v>
      </c>
      <c r="R194">
        <f t="shared" si="65"/>
        <v>6.1532789693449885</v>
      </c>
      <c r="S194">
        <f t="shared" si="65"/>
        <v>6.3905949827386879</v>
      </c>
      <c r="T194">
        <f t="shared" si="46"/>
        <v>-2.8250363241325429</v>
      </c>
      <c r="U194">
        <f t="shared" si="47"/>
        <v>2.8250363241325429</v>
      </c>
      <c r="V194">
        <f t="shared" si="54"/>
        <v>6.4094441821215078</v>
      </c>
      <c r="W194">
        <f t="shared" si="48"/>
        <v>2.806187124749723</v>
      </c>
      <c r="X194">
        <f t="shared" si="55"/>
        <v>6.7140943049676487</v>
      </c>
      <c r="Y194">
        <f t="shared" si="49"/>
        <v>2.5015370019035821</v>
      </c>
      <c r="Z194">
        <f t="shared" si="56"/>
        <v>6.8886145922917281</v>
      </c>
      <c r="AA194">
        <f t="shared" si="50"/>
        <v>2.3270167145795027</v>
      </c>
      <c r="AB194">
        <f t="shared" si="51"/>
        <v>2.6391113068712304</v>
      </c>
      <c r="AC194">
        <f t="shared" si="52"/>
        <v>7.4075713605848135</v>
      </c>
      <c r="AD194">
        <f t="shared" si="53"/>
        <v>1.8080599462864173</v>
      </c>
    </row>
    <row r="195" spans="1:30">
      <c r="A195">
        <v>193</v>
      </c>
      <c r="B195">
        <v>9.0910227153300855</v>
      </c>
      <c r="C195">
        <f t="shared" si="57"/>
        <v>7.7261213726077038</v>
      </c>
      <c r="D195">
        <f t="shared" si="57"/>
        <v>7.8560759964412075</v>
      </c>
      <c r="E195">
        <f t="shared" si="58"/>
        <v>8.1059353050551231</v>
      </c>
      <c r="F195">
        <f t="shared" si="61"/>
        <v>7.1748419223301205</v>
      </c>
      <c r="G195">
        <f t="shared" si="61"/>
        <v>6.2675249268612134</v>
      </c>
      <c r="H195">
        <f t="shared" si="61"/>
        <v>5.7978327898290507</v>
      </c>
      <c r="I195">
        <f t="shared" ref="I195:I258" si="66">H195-B195</f>
        <v>-3.2931899255010348</v>
      </c>
      <c r="J195">
        <f t="shared" si="59"/>
        <v>7.9435930306715248</v>
      </c>
      <c r="K195">
        <f t="shared" si="63"/>
        <v>6.6704409169075083</v>
      </c>
      <c r="L195">
        <f t="shared" si="63"/>
        <v>5.9710531831373412</v>
      </c>
      <c r="M195">
        <f t="shared" si="63"/>
        <v>6.2361256230943578</v>
      </c>
      <c r="N195">
        <f t="shared" ref="N195:N258" si="67">M195-B195</f>
        <v>-2.8548970922357277</v>
      </c>
      <c r="O195">
        <f t="shared" si="60"/>
        <v>8.1730789676032369</v>
      </c>
      <c r="P195">
        <f t="shared" si="64"/>
        <v>6.686376436823366</v>
      </c>
      <c r="Q195">
        <f t="shared" si="62"/>
        <v>7.4017353279541664</v>
      </c>
      <c r="R195">
        <f t="shared" si="65"/>
        <v>6.213176376517449</v>
      </c>
      <c r="S195">
        <f t="shared" si="65"/>
        <v>6.3505775851668913</v>
      </c>
      <c r="T195">
        <f t="shared" ref="T195:T258" si="68">S195-B195</f>
        <v>-2.7404451301631942</v>
      </c>
      <c r="U195">
        <f t="shared" ref="U195:U258" si="69">B195-S195</f>
        <v>2.7404451301631942</v>
      </c>
      <c r="V195">
        <f t="shared" si="54"/>
        <v>6.6900628945964797</v>
      </c>
      <c r="W195">
        <f t="shared" ref="W195:W258" si="70">B195-V195</f>
        <v>2.4009598207336058</v>
      </c>
      <c r="X195">
        <f t="shared" si="55"/>
        <v>7.2144017053483651</v>
      </c>
      <c r="Y195">
        <f t="shared" ref="Y195:Y258" si="71">B195-X195</f>
        <v>1.8766210099817204</v>
      </c>
      <c r="Z195">
        <f t="shared" si="56"/>
        <v>7.5867196066655787</v>
      </c>
      <c r="AA195">
        <f t="shared" ref="AA195:AA258" si="72">B195-Z195</f>
        <v>1.5043031086645069</v>
      </c>
      <c r="AB195">
        <f t="shared" ref="AB195:AB258" si="73">B195- ((0.00556 * A195)  +5.509)</f>
        <v>2.5089427153300852</v>
      </c>
      <c r="AC195">
        <f t="shared" ref="AC195:AC258" si="74">0.00075*A195 + 5.509 + ($AI$6*SIN((A195/$AI$7)+ $AI$8))+ ($AI$6*COS((A195/$AI$7) + $AI$8))+ $AI$9</f>
        <v>7.4601742389324839</v>
      </c>
      <c r="AD195">
        <f t="shared" ref="AD195:AD258" si="75">B195-AC195</f>
        <v>1.6308484763976017</v>
      </c>
    </row>
    <row r="196" spans="1:30">
      <c r="A196">
        <v>194</v>
      </c>
      <c r="B196">
        <v>8.7841829298554259</v>
      </c>
      <c r="C196">
        <f t="shared" si="57"/>
        <v>9.1533270111006573</v>
      </c>
      <c r="D196">
        <f t="shared" si="57"/>
        <v>7.6386043383773865</v>
      </c>
      <c r="E196">
        <f t="shared" si="58"/>
        <v>8.1810884868484965</v>
      </c>
      <c r="F196">
        <f t="shared" si="61"/>
        <v>7.6443085737307586</v>
      </c>
      <c r="G196">
        <f t="shared" si="61"/>
        <v>6.7119048047948793</v>
      </c>
      <c r="H196">
        <f t="shared" si="61"/>
        <v>5.9699946715868046</v>
      </c>
      <c r="I196">
        <f t="shared" si="66"/>
        <v>-2.8141882582686213</v>
      </c>
      <c r="J196">
        <f t="shared" si="59"/>
        <v>8.3522071576238641</v>
      </c>
      <c r="K196">
        <f t="shared" si="63"/>
        <v>7.145936437500553</v>
      </c>
      <c r="L196">
        <f t="shared" si="63"/>
        <v>6.1850703121341599</v>
      </c>
      <c r="M196">
        <f t="shared" si="63"/>
        <v>6.0686267371561993</v>
      </c>
      <c r="N196">
        <f t="shared" si="67"/>
        <v>-2.7155561926992267</v>
      </c>
      <c r="O196">
        <f t="shared" si="60"/>
        <v>8.4386023120701772</v>
      </c>
      <c r="P196">
        <f t="shared" si="64"/>
        <v>7.1746728652488967</v>
      </c>
      <c r="Q196">
        <f t="shared" si="62"/>
        <v>7.7442493155236818</v>
      </c>
      <c r="R196">
        <f t="shared" si="65"/>
        <v>6.4499119213959633</v>
      </c>
      <c r="S196">
        <f t="shared" si="65"/>
        <v>6.2957387886162266</v>
      </c>
      <c r="T196">
        <f t="shared" si="68"/>
        <v>-2.4884441412391993</v>
      </c>
      <c r="U196">
        <f t="shared" si="69"/>
        <v>2.4884441412391993</v>
      </c>
      <c r="V196">
        <f t="shared" ref="V196:V259" si="76">V195+0.1*(B195-V195)</f>
        <v>6.9301588766698403</v>
      </c>
      <c r="W196">
        <f t="shared" si="70"/>
        <v>1.8540240531855856</v>
      </c>
      <c r="X196">
        <f t="shared" ref="X196:X259" si="77">X195+0.2*(B195-X195)</f>
        <v>7.5897259073447092</v>
      </c>
      <c r="Y196">
        <f t="shared" si="71"/>
        <v>1.1944570225107167</v>
      </c>
      <c r="Z196">
        <f t="shared" ref="Z196:Z259" si="78">Z195+0.3*(B195-Z195)</f>
        <v>8.0380105392649313</v>
      </c>
      <c r="AA196">
        <f t="shared" si="72"/>
        <v>0.74617239059049467</v>
      </c>
      <c r="AB196">
        <f t="shared" si="73"/>
        <v>2.1965429298554255</v>
      </c>
      <c r="AC196">
        <f t="shared" si="74"/>
        <v>7.512775332810647</v>
      </c>
      <c r="AD196">
        <f t="shared" si="75"/>
        <v>1.2714075970447789</v>
      </c>
    </row>
    <row r="197" spans="1:30">
      <c r="A197">
        <v>195</v>
      </c>
      <c r="B197">
        <v>8.2456420877181174</v>
      </c>
      <c r="C197">
        <f t="shared" ref="C197:D260" si="79">AVERAGE(B195:B196)</f>
        <v>8.9376028225927548</v>
      </c>
      <c r="D197">
        <f t="shared" si="79"/>
        <v>8.4397241918541805</v>
      </c>
      <c r="E197">
        <f t="shared" si="58"/>
        <v>9.0302789840189135</v>
      </c>
      <c r="F197">
        <f t="shared" si="61"/>
        <v>7.9355346879473032</v>
      </c>
      <c r="G197">
        <f t="shared" si="61"/>
        <v>7.1620083157798433</v>
      </c>
      <c r="H197">
        <f t="shared" si="61"/>
        <v>6.3072561480060365</v>
      </c>
      <c r="I197">
        <f t="shared" si="66"/>
        <v>-1.9383859397120808</v>
      </c>
      <c r="J197">
        <f t="shared" si="59"/>
        <v>8.3318620976002293</v>
      </c>
      <c r="K197">
        <f t="shared" si="63"/>
        <v>7.6437632404144953</v>
      </c>
      <c r="L197">
        <f t="shared" si="63"/>
        <v>6.5209470183220919</v>
      </c>
      <c r="M197">
        <f t="shared" si="63"/>
        <v>6.0319235077966731</v>
      </c>
      <c r="N197">
        <f t="shared" si="67"/>
        <v>-2.2137185799214443</v>
      </c>
      <c r="O197">
        <f t="shared" si="60"/>
        <v>8.3146180956238069</v>
      </c>
      <c r="P197">
        <f t="shared" si="64"/>
        <v>7.5974729276342092</v>
      </c>
      <c r="Q197">
        <f t="shared" si="62"/>
        <v>8.2749296279786027</v>
      </c>
      <c r="R197">
        <f t="shared" si="65"/>
        <v>6.7401498495714165</v>
      </c>
      <c r="S197">
        <f t="shared" si="65"/>
        <v>6.2807767327162187</v>
      </c>
      <c r="T197">
        <f t="shared" si="68"/>
        <v>-1.9648653550018986</v>
      </c>
      <c r="U197">
        <f t="shared" si="69"/>
        <v>1.9648653550018986</v>
      </c>
      <c r="V197">
        <f t="shared" si="76"/>
        <v>7.1155612819883984</v>
      </c>
      <c r="W197">
        <f t="shared" si="70"/>
        <v>1.1300808057297189</v>
      </c>
      <c r="X197">
        <f t="shared" si="77"/>
        <v>7.8286173118468527</v>
      </c>
      <c r="Y197">
        <f t="shared" si="71"/>
        <v>0.41702477587126463</v>
      </c>
      <c r="Z197">
        <f t="shared" si="78"/>
        <v>8.2618622564420789</v>
      </c>
      <c r="AA197">
        <f t="shared" si="72"/>
        <v>-1.6220168723961592E-2</v>
      </c>
      <c r="AB197">
        <f t="shared" si="73"/>
        <v>1.652442087718117</v>
      </c>
      <c r="AC197">
        <f t="shared" si="74"/>
        <v>7.5653602394710715</v>
      </c>
      <c r="AD197">
        <f t="shared" si="75"/>
        <v>0.68028184824704585</v>
      </c>
    </row>
    <row r="198" spans="1:30">
      <c r="A198">
        <v>196</v>
      </c>
      <c r="B198">
        <v>7.6457368097384979</v>
      </c>
      <c r="C198">
        <f t="shared" si="79"/>
        <v>8.5149125087867716</v>
      </c>
      <c r="D198">
        <f t="shared" si="79"/>
        <v>9.0454649168467061</v>
      </c>
      <c r="E198">
        <f t="shared" ref="E198:E261" si="80">AVERAGE(B195:B197)</f>
        <v>8.7069492443012084</v>
      </c>
      <c r="F198">
        <f t="shared" si="61"/>
        <v>8.4391009253075122</v>
      </c>
      <c r="G198">
        <f t="shared" si="61"/>
        <v>7.5848950613360602</v>
      </c>
      <c r="H198">
        <f t="shared" si="61"/>
        <v>6.7138126824786459</v>
      </c>
      <c r="I198">
        <f t="shared" si="66"/>
        <v>-0.93192412725985196</v>
      </c>
      <c r="J198">
        <f t="shared" si="59"/>
        <v>8.8341197599437145</v>
      </c>
      <c r="K198">
        <f t="shared" si="63"/>
        <v>7.9168431884077037</v>
      </c>
      <c r="L198">
        <f t="shared" si="63"/>
        <v>6.9529428967030036</v>
      </c>
      <c r="M198">
        <f t="shared" si="63"/>
        <v>6.146657864235749</v>
      </c>
      <c r="N198">
        <f t="shared" si="67"/>
        <v>-1.4990789455027489</v>
      </c>
      <c r="O198">
        <f t="shared" si="60"/>
        <v>8.5964431699026704</v>
      </c>
      <c r="P198">
        <f t="shared" si="64"/>
        <v>7.8880300286060763</v>
      </c>
      <c r="Q198">
        <f t="shared" si="62"/>
        <v>8.4064422746781666</v>
      </c>
      <c r="R198">
        <f t="shared" si="65"/>
        <v>7.1576217646242206</v>
      </c>
      <c r="S198">
        <f t="shared" si="65"/>
        <v>6.3267788398877416</v>
      </c>
      <c r="T198">
        <f t="shared" si="68"/>
        <v>-1.3189579698507563</v>
      </c>
      <c r="U198">
        <f t="shared" si="69"/>
        <v>1.3189579698507563</v>
      </c>
      <c r="V198">
        <f t="shared" si="76"/>
        <v>7.2285693625613705</v>
      </c>
      <c r="W198">
        <f t="shared" si="70"/>
        <v>0.41716744717712739</v>
      </c>
      <c r="X198">
        <f t="shared" si="77"/>
        <v>7.912022267021106</v>
      </c>
      <c r="Y198">
        <f t="shared" si="71"/>
        <v>-0.26628545728260811</v>
      </c>
      <c r="Z198">
        <f t="shared" si="78"/>
        <v>8.2569962058248905</v>
      </c>
      <c r="AA198">
        <f t="shared" si="72"/>
        <v>-0.61125939608639257</v>
      </c>
      <c r="AB198">
        <f t="shared" si="73"/>
        <v>1.0469768097384975</v>
      </c>
      <c r="AC198">
        <f t="shared" si="74"/>
        <v>7.6179145606618714</v>
      </c>
      <c r="AD198">
        <f t="shared" si="75"/>
        <v>2.7822249076626449E-2</v>
      </c>
    </row>
    <row r="199" spans="1:30">
      <c r="A199">
        <v>197</v>
      </c>
      <c r="B199">
        <v>8.9767378352469063</v>
      </c>
      <c r="C199">
        <f t="shared" si="79"/>
        <v>7.9456894487283076</v>
      </c>
      <c r="D199">
        <f t="shared" si="79"/>
        <v>8.7262576656897632</v>
      </c>
      <c r="E199">
        <f t="shared" si="80"/>
        <v>8.225187275770681</v>
      </c>
      <c r="F199">
        <f t="shared" si="61"/>
        <v>8.6394389050562044</v>
      </c>
      <c r="G199">
        <f t="shared" si="61"/>
        <v>8.006314728995191</v>
      </c>
      <c r="H199">
        <f t="shared" si="61"/>
        <v>7.1529360606369279</v>
      </c>
      <c r="I199">
        <f t="shared" si="66"/>
        <v>-1.8238017746099784</v>
      </c>
      <c r="J199">
        <f t="shared" ref="J199:J262" si="81">AVERAGE(B195:B198)</f>
        <v>8.4416461356605303</v>
      </c>
      <c r="K199">
        <f t="shared" si="63"/>
        <v>8.3654455114598321</v>
      </c>
      <c r="L199">
        <f t="shared" si="63"/>
        <v>7.3442459458075646</v>
      </c>
      <c r="M199">
        <f t="shared" si="63"/>
        <v>6.4075033525741487</v>
      </c>
      <c r="N199">
        <f t="shared" si="67"/>
        <v>-2.5692344826727576</v>
      </c>
      <c r="O199">
        <f t="shared" ref="O199:O262" si="82">AVERAGE(B195:B199)</f>
        <v>8.5486644755778052</v>
      </c>
      <c r="P199">
        <f t="shared" si="64"/>
        <v>8.1995274361524597</v>
      </c>
      <c r="Q199">
        <f t="shared" si="62"/>
        <v>8.2031378813095888</v>
      </c>
      <c r="R199">
        <f t="shared" si="65"/>
        <v>7.5555135233233983</v>
      </c>
      <c r="S199">
        <f t="shared" si="65"/>
        <v>6.4717396302152794</v>
      </c>
      <c r="T199">
        <f t="shared" si="68"/>
        <v>-2.5049982050316268</v>
      </c>
      <c r="U199">
        <f t="shared" si="69"/>
        <v>2.5049982050316268</v>
      </c>
      <c r="V199">
        <f t="shared" si="76"/>
        <v>7.270286107279083</v>
      </c>
      <c r="W199">
        <f t="shared" si="70"/>
        <v>1.7064517279678233</v>
      </c>
      <c r="X199">
        <f t="shared" si="77"/>
        <v>7.8587651755645842</v>
      </c>
      <c r="Y199">
        <f t="shared" si="71"/>
        <v>1.1179726596823221</v>
      </c>
      <c r="Z199">
        <f t="shared" si="78"/>
        <v>8.0736183869989731</v>
      </c>
      <c r="AA199">
        <f t="shared" si="72"/>
        <v>0.90311944824793322</v>
      </c>
      <c r="AB199">
        <f t="shared" si="73"/>
        <v>2.3724178352469059</v>
      </c>
      <c r="AC199">
        <f t="shared" si="74"/>
        <v>7.6704239066269295</v>
      </c>
      <c r="AD199">
        <f t="shared" si="75"/>
        <v>1.3063139286199767</v>
      </c>
    </row>
    <row r="200" spans="1:30">
      <c r="A200">
        <v>198</v>
      </c>
      <c r="B200">
        <v>8.5504125833456524</v>
      </c>
      <c r="C200">
        <f t="shared" si="79"/>
        <v>8.3112373224927012</v>
      </c>
      <c r="D200">
        <f t="shared" si="79"/>
        <v>8.2303009787575405</v>
      </c>
      <c r="E200">
        <f t="shared" si="80"/>
        <v>8.2893722442345066</v>
      </c>
      <c r="F200">
        <f t="shared" si="61"/>
        <v>8.6541385013635992</v>
      </c>
      <c r="G200">
        <f t="shared" si="61"/>
        <v>8.338024839437006</v>
      </c>
      <c r="H200">
        <f t="shared" si="61"/>
        <v>7.584406035370364</v>
      </c>
      <c r="I200">
        <f t="shared" si="66"/>
        <v>-0.9660065479752884</v>
      </c>
      <c r="J200">
        <f t="shared" si="81"/>
        <v>8.4130749156397364</v>
      </c>
      <c r="K200">
        <f t="shared" si="63"/>
        <v>8.489958787707085</v>
      </c>
      <c r="L200">
        <f t="shared" si="63"/>
        <v>7.7679970944456462</v>
      </c>
      <c r="M200">
        <f t="shared" si="63"/>
        <v>6.750801543241705</v>
      </c>
      <c r="N200">
        <f t="shared" si="67"/>
        <v>-1.7996110401039473</v>
      </c>
      <c r="O200">
        <f t="shared" si="82"/>
        <v>8.4405424491809207</v>
      </c>
      <c r="P200">
        <f t="shared" si="64"/>
        <v>8.41428140415554</v>
      </c>
      <c r="Q200">
        <f t="shared" si="62"/>
        <v>8.65982561412671</v>
      </c>
      <c r="R200">
        <f t="shared" si="65"/>
        <v>7.7980205821342166</v>
      </c>
      <c r="S200">
        <f t="shared" si="65"/>
        <v>6.7116087341295723</v>
      </c>
      <c r="T200">
        <f t="shared" si="68"/>
        <v>-1.8388038492160801</v>
      </c>
      <c r="U200">
        <f t="shared" si="69"/>
        <v>1.8388038492160801</v>
      </c>
      <c r="V200">
        <f t="shared" si="76"/>
        <v>7.4409312800758656</v>
      </c>
      <c r="W200">
        <f t="shared" si="70"/>
        <v>1.1094813032697868</v>
      </c>
      <c r="X200">
        <f t="shared" si="77"/>
        <v>8.0823597075010483</v>
      </c>
      <c r="Y200">
        <f t="shared" si="71"/>
        <v>0.46805287584460409</v>
      </c>
      <c r="Z200">
        <f t="shared" si="78"/>
        <v>8.3445542214733521</v>
      </c>
      <c r="AA200">
        <f t="shared" si="72"/>
        <v>0.20585836187230022</v>
      </c>
      <c r="AB200">
        <f t="shared" si="73"/>
        <v>1.9405325833456519</v>
      </c>
      <c r="AC200">
        <f t="shared" si="74"/>
        <v>7.7228739001029538</v>
      </c>
      <c r="AD200">
        <f t="shared" si="75"/>
        <v>0.82753868324269853</v>
      </c>
    </row>
    <row r="201" spans="1:30">
      <c r="A201">
        <v>199</v>
      </c>
      <c r="B201">
        <v>6.0909979014518782</v>
      </c>
      <c r="C201">
        <f t="shared" si="79"/>
        <v>8.7635752092962793</v>
      </c>
      <c r="D201">
        <f t="shared" si="79"/>
        <v>8.1284633856105053</v>
      </c>
      <c r="E201">
        <f t="shared" si="80"/>
        <v>8.3909624094436861</v>
      </c>
      <c r="F201">
        <f t="shared" ref="F201:H264" si="83">AVERAGE(E198:E200)</f>
        <v>8.407169588102132</v>
      </c>
      <c r="G201">
        <f t="shared" si="83"/>
        <v>8.5775594439091041</v>
      </c>
      <c r="H201">
        <f t="shared" si="83"/>
        <v>7.9764115432560869</v>
      </c>
      <c r="I201">
        <f t="shared" si="66"/>
        <v>1.8854136418042087</v>
      </c>
      <c r="J201">
        <f t="shared" si="81"/>
        <v>8.3546323290122935</v>
      </c>
      <c r="K201">
        <f t="shared" si="63"/>
        <v>8.5051757272110535</v>
      </c>
      <c r="L201">
        <f t="shared" si="63"/>
        <v>8.1040026819972795</v>
      </c>
      <c r="M201">
        <f t="shared" si="63"/>
        <v>7.1465332388195772</v>
      </c>
      <c r="N201">
        <f t="shared" si="67"/>
        <v>1.055535337367699</v>
      </c>
      <c r="O201">
        <f t="shared" si="82"/>
        <v>7.9019054435002101</v>
      </c>
      <c r="P201">
        <f t="shared" si="64"/>
        <v>8.4677741004710754</v>
      </c>
      <c r="Q201">
        <f t="shared" ref="Q201:Q264" si="84">AVERAGE(B195:B200)</f>
        <v>8.5489558268724473</v>
      </c>
      <c r="R201">
        <f t="shared" si="65"/>
        <v>8.1150533402618201</v>
      </c>
      <c r="S201">
        <f t="shared" si="65"/>
        <v>6.985732336261111</v>
      </c>
      <c r="T201">
        <f t="shared" si="68"/>
        <v>0.89473443480923276</v>
      </c>
      <c r="U201">
        <f t="shared" si="69"/>
        <v>-0.89473443480923276</v>
      </c>
      <c r="V201">
        <f t="shared" si="76"/>
        <v>7.5518794104028446</v>
      </c>
      <c r="W201">
        <f t="shared" si="70"/>
        <v>-1.4608815089509664</v>
      </c>
      <c r="X201">
        <f t="shared" si="77"/>
        <v>8.1759702826699687</v>
      </c>
      <c r="Y201">
        <f t="shared" si="71"/>
        <v>-2.0849723812180905</v>
      </c>
      <c r="Z201">
        <f t="shared" si="78"/>
        <v>8.4063117300350427</v>
      </c>
      <c r="AA201">
        <f t="shared" si="72"/>
        <v>-2.3153138285831645</v>
      </c>
      <c r="AB201">
        <f t="shared" si="73"/>
        <v>-0.52444209854812218</v>
      </c>
      <c r="AC201">
        <f t="shared" si="74"/>
        <v>7.7752501803130789</v>
      </c>
      <c r="AD201">
        <f t="shared" si="75"/>
        <v>-1.6842522788612007</v>
      </c>
    </row>
    <row r="202" spans="1:30">
      <c r="A202">
        <v>200</v>
      </c>
      <c r="B202">
        <v>5.4063332866963192</v>
      </c>
      <c r="C202">
        <f t="shared" si="79"/>
        <v>7.3207052423987653</v>
      </c>
      <c r="D202">
        <f t="shared" si="79"/>
        <v>8.5374062658944894</v>
      </c>
      <c r="E202">
        <f t="shared" si="80"/>
        <v>7.8727161066814793</v>
      </c>
      <c r="F202">
        <f t="shared" si="83"/>
        <v>8.3018406431496246</v>
      </c>
      <c r="G202">
        <f t="shared" si="83"/>
        <v>8.5669156648406446</v>
      </c>
      <c r="H202">
        <f t="shared" si="83"/>
        <v>8.3072996707804325</v>
      </c>
      <c r="I202">
        <f t="shared" si="66"/>
        <v>2.9009663840841133</v>
      </c>
      <c r="J202">
        <f t="shared" si="81"/>
        <v>7.8159712824457337</v>
      </c>
      <c r="K202">
        <f t="shared" si="63"/>
        <v>8.5108682850640687</v>
      </c>
      <c r="L202">
        <f t="shared" si="63"/>
        <v>8.3193558036964177</v>
      </c>
      <c r="M202">
        <f t="shared" si="63"/>
        <v>7.5422971547383737</v>
      </c>
      <c r="N202">
        <f t="shared" si="67"/>
        <v>2.1359638680420545</v>
      </c>
      <c r="O202">
        <f t="shared" si="82"/>
        <v>7.3340436832958504</v>
      </c>
      <c r="P202">
        <f t="shared" si="64"/>
        <v>8.3604347267570827</v>
      </c>
      <c r="Q202">
        <f t="shared" si="84"/>
        <v>8.0489516912260797</v>
      </c>
      <c r="R202">
        <f t="shared" si="65"/>
        <v>8.3062567567481995</v>
      </c>
      <c r="S202">
        <f t="shared" si="65"/>
        <v>7.3027118302185059</v>
      </c>
      <c r="T202">
        <f t="shared" si="68"/>
        <v>1.8963785435221867</v>
      </c>
      <c r="U202">
        <f t="shared" si="69"/>
        <v>-1.8963785435221867</v>
      </c>
      <c r="V202">
        <f t="shared" si="76"/>
        <v>7.4057912595077475</v>
      </c>
      <c r="W202">
        <f t="shared" si="70"/>
        <v>-1.9994579728114283</v>
      </c>
      <c r="X202">
        <f t="shared" si="77"/>
        <v>7.758975806426351</v>
      </c>
      <c r="Y202">
        <f t="shared" si="71"/>
        <v>-2.3526425197300318</v>
      </c>
      <c r="Z202">
        <f t="shared" si="78"/>
        <v>7.7117175814600936</v>
      </c>
      <c r="AA202">
        <f t="shared" si="72"/>
        <v>-2.3053842947637744</v>
      </c>
      <c r="AB202">
        <f t="shared" si="73"/>
        <v>-1.2146667133036813</v>
      </c>
      <c r="AC202">
        <f t="shared" si="74"/>
        <v>7.8275384069558651</v>
      </c>
      <c r="AD202">
        <f t="shared" si="75"/>
        <v>-2.4212051202595459</v>
      </c>
    </row>
    <row r="203" spans="1:30">
      <c r="A203">
        <v>201</v>
      </c>
      <c r="B203">
        <v>6.9432063629720746</v>
      </c>
      <c r="C203">
        <f t="shared" si="79"/>
        <v>5.7486655940740992</v>
      </c>
      <c r="D203">
        <f t="shared" si="79"/>
        <v>8.0421402258475219</v>
      </c>
      <c r="E203">
        <f t="shared" si="80"/>
        <v>6.6825812571646166</v>
      </c>
      <c r="F203">
        <f t="shared" si="83"/>
        <v>8.1843502534532249</v>
      </c>
      <c r="G203">
        <f t="shared" si="83"/>
        <v>8.4543829108717858</v>
      </c>
      <c r="H203">
        <f t="shared" si="83"/>
        <v>8.4941666493955861</v>
      </c>
      <c r="I203">
        <f t="shared" si="66"/>
        <v>1.5509602864235115</v>
      </c>
      <c r="J203">
        <f t="shared" si="81"/>
        <v>7.2561204016851892</v>
      </c>
      <c r="K203">
        <f t="shared" ref="K203:M266" si="85">AVERAGE(J199:J202)</f>
        <v>8.2563311656895735</v>
      </c>
      <c r="L203">
        <f t="shared" si="85"/>
        <v>8.4678620778605094</v>
      </c>
      <c r="M203">
        <f t="shared" si="85"/>
        <v>7.8839003814867272</v>
      </c>
      <c r="N203">
        <f t="shared" si="67"/>
        <v>0.94069401851465262</v>
      </c>
      <c r="O203">
        <f t="shared" si="82"/>
        <v>7.1935375939425672</v>
      </c>
      <c r="P203">
        <f t="shared" si="64"/>
        <v>8.1643198442914926</v>
      </c>
      <c r="Q203">
        <f t="shared" si="84"/>
        <v>7.4859767506995611</v>
      </c>
      <c r="R203">
        <f t="shared" si="65"/>
        <v>8.3570404860319325</v>
      </c>
      <c r="S203">
        <f t="shared" si="65"/>
        <v>7.6121026361105448</v>
      </c>
      <c r="T203">
        <f t="shared" si="68"/>
        <v>0.66889627313847022</v>
      </c>
      <c r="U203">
        <f t="shared" si="69"/>
        <v>-0.66889627313847022</v>
      </c>
      <c r="V203">
        <f t="shared" si="76"/>
        <v>7.2058454622266046</v>
      </c>
      <c r="W203">
        <f t="shared" si="70"/>
        <v>-0.26263909925453</v>
      </c>
      <c r="X203">
        <f t="shared" si="77"/>
        <v>7.2884473024803444</v>
      </c>
      <c r="Y203">
        <f t="shared" si="71"/>
        <v>-0.34524093950826984</v>
      </c>
      <c r="Z203">
        <f t="shared" si="78"/>
        <v>7.0201022930309609</v>
      </c>
      <c r="AA203">
        <f t="shared" si="72"/>
        <v>-7.6895930058886286E-2</v>
      </c>
      <c r="AB203">
        <f t="shared" si="73"/>
        <v>0.31664636297207416</v>
      </c>
      <c r="AC203">
        <f t="shared" si="74"/>
        <v>7.8797242641886376</v>
      </c>
      <c r="AD203">
        <f t="shared" si="75"/>
        <v>-0.93651790121656298</v>
      </c>
    </row>
    <row r="204" spans="1:30">
      <c r="A204">
        <v>202</v>
      </c>
      <c r="B204">
        <v>7.3767031108093102</v>
      </c>
      <c r="C204">
        <f t="shared" si="79"/>
        <v>6.1747698248341969</v>
      </c>
      <c r="D204">
        <f t="shared" si="79"/>
        <v>6.5346854182364318</v>
      </c>
      <c r="E204">
        <f t="shared" si="80"/>
        <v>6.146845850373424</v>
      </c>
      <c r="F204">
        <f t="shared" si="83"/>
        <v>7.6487532577632606</v>
      </c>
      <c r="G204">
        <f t="shared" si="83"/>
        <v>8.2977868282349938</v>
      </c>
      <c r="H204">
        <f t="shared" si="83"/>
        <v>8.5329526732071788</v>
      </c>
      <c r="I204">
        <f t="shared" si="66"/>
        <v>1.1562495623978686</v>
      </c>
      <c r="J204">
        <f t="shared" si="81"/>
        <v>6.7477375336164807</v>
      </c>
      <c r="K204">
        <f t="shared" si="85"/>
        <v>7.9599497321957386</v>
      </c>
      <c r="L204">
        <f t="shared" si="85"/>
        <v>8.4405834914179447</v>
      </c>
      <c r="M204">
        <f t="shared" si="85"/>
        <v>8.1648044144999634</v>
      </c>
      <c r="N204">
        <f t="shared" si="67"/>
        <v>0.78810130369065323</v>
      </c>
      <c r="O204">
        <f t="shared" si="82"/>
        <v>6.8735306490550467</v>
      </c>
      <c r="P204">
        <f t="shared" si="64"/>
        <v>7.8837387290994716</v>
      </c>
      <c r="Q204">
        <f t="shared" si="84"/>
        <v>7.2689041299085551</v>
      </c>
      <c r="R204">
        <f t="shared" si="65"/>
        <v>8.2255483398187597</v>
      </c>
      <c r="S204">
        <f t="shared" si="65"/>
        <v>7.8815844088539651</v>
      </c>
      <c r="T204">
        <f t="shared" si="68"/>
        <v>0.50488129804465487</v>
      </c>
      <c r="U204">
        <f t="shared" si="69"/>
        <v>-0.50488129804465487</v>
      </c>
      <c r="V204">
        <f t="shared" si="76"/>
        <v>7.1795815523011512</v>
      </c>
      <c r="W204">
        <f t="shared" si="70"/>
        <v>0.19712155850815893</v>
      </c>
      <c r="X204">
        <f t="shared" si="77"/>
        <v>7.2193991145786907</v>
      </c>
      <c r="Y204">
        <f t="shared" si="71"/>
        <v>0.15730399623061952</v>
      </c>
      <c r="Z204">
        <f t="shared" si="78"/>
        <v>6.9970335140132951</v>
      </c>
      <c r="AA204">
        <f t="shared" si="72"/>
        <v>0.37966959679601509</v>
      </c>
      <c r="AB204">
        <f t="shared" si="73"/>
        <v>0.74458311080930972</v>
      </c>
      <c r="AC204">
        <f t="shared" si="74"/>
        <v>7.9317934646040049</v>
      </c>
      <c r="AD204">
        <f t="shared" si="75"/>
        <v>-0.55509035379469474</v>
      </c>
    </row>
    <row r="205" spans="1:30">
      <c r="A205">
        <v>203</v>
      </c>
      <c r="B205">
        <v>7.8608346730959004</v>
      </c>
      <c r="C205">
        <f t="shared" si="79"/>
        <v>7.1599547368906924</v>
      </c>
      <c r="D205">
        <f t="shared" si="79"/>
        <v>5.961717709454148</v>
      </c>
      <c r="E205">
        <f t="shared" si="80"/>
        <v>6.5754142534925677</v>
      </c>
      <c r="F205">
        <f t="shared" si="83"/>
        <v>6.9007144047398397</v>
      </c>
      <c r="G205">
        <f t="shared" si="83"/>
        <v>8.0449813847887039</v>
      </c>
      <c r="H205">
        <f t="shared" si="83"/>
        <v>8.4396951346491402</v>
      </c>
      <c r="I205">
        <f t="shared" si="66"/>
        <v>0.57886046155323978</v>
      </c>
      <c r="J205">
        <f t="shared" si="81"/>
        <v>6.4543101654823953</v>
      </c>
      <c r="K205">
        <f t="shared" si="85"/>
        <v>7.5436153866899236</v>
      </c>
      <c r="L205">
        <f t="shared" si="85"/>
        <v>8.308081227540109</v>
      </c>
      <c r="M205">
        <f t="shared" si="85"/>
        <v>8.3329510137430383</v>
      </c>
      <c r="N205">
        <f t="shared" si="67"/>
        <v>0.47211634064713781</v>
      </c>
      <c r="O205">
        <f t="shared" si="82"/>
        <v>6.7356150670050967</v>
      </c>
      <c r="P205">
        <f t="shared" ref="P205:P268" si="86">AVERAGE(O200:O204)</f>
        <v>7.5487119637949194</v>
      </c>
      <c r="Q205">
        <f t="shared" si="84"/>
        <v>7.2240651800870239</v>
      </c>
      <c r="R205">
        <f t="shared" si="65"/>
        <v>8.035958649023824</v>
      </c>
      <c r="S205">
        <f t="shared" si="65"/>
        <v>8.059572171386387</v>
      </c>
      <c r="T205">
        <f t="shared" si="68"/>
        <v>0.19873749829048659</v>
      </c>
      <c r="U205">
        <f t="shared" si="69"/>
        <v>-0.19873749829048659</v>
      </c>
      <c r="V205">
        <f t="shared" si="76"/>
        <v>7.1992937081519672</v>
      </c>
      <c r="W205">
        <f t="shared" si="70"/>
        <v>0.66154096494393322</v>
      </c>
      <c r="X205">
        <f t="shared" si="77"/>
        <v>7.2508599138248142</v>
      </c>
      <c r="Y205">
        <f t="shared" si="71"/>
        <v>0.60997475927108624</v>
      </c>
      <c r="Z205">
        <f t="shared" si="78"/>
        <v>7.1109343930520996</v>
      </c>
      <c r="AA205">
        <f t="shared" si="72"/>
        <v>0.74990028004380083</v>
      </c>
      <c r="AB205">
        <f t="shared" si="73"/>
        <v>1.2231546730959</v>
      </c>
      <c r="AC205">
        <f t="shared" si="74"/>
        <v>7.9837317531985024</v>
      </c>
      <c r="AD205">
        <f t="shared" si="75"/>
        <v>-0.12289708010260192</v>
      </c>
    </row>
    <row r="206" spans="1:30">
      <c r="A206">
        <v>204</v>
      </c>
      <c r="B206">
        <v>7.007742076704579</v>
      </c>
      <c r="C206">
        <f t="shared" si="79"/>
        <v>7.6187688919526053</v>
      </c>
      <c r="D206">
        <f t="shared" si="79"/>
        <v>6.6673622808624451</v>
      </c>
      <c r="E206">
        <f t="shared" si="80"/>
        <v>7.3935813822924281</v>
      </c>
      <c r="F206">
        <f t="shared" si="83"/>
        <v>6.4682804536768694</v>
      </c>
      <c r="G206">
        <f t="shared" si="83"/>
        <v>7.5779393053187754</v>
      </c>
      <c r="H206">
        <f t="shared" si="83"/>
        <v>8.2657170412984939</v>
      </c>
      <c r="I206">
        <f t="shared" si="66"/>
        <v>1.2579749645939149</v>
      </c>
      <c r="J206">
        <f t="shared" si="81"/>
        <v>6.8967693583934011</v>
      </c>
      <c r="K206">
        <f t="shared" si="85"/>
        <v>7.0685348458074504</v>
      </c>
      <c r="L206">
        <f t="shared" si="85"/>
        <v>8.0676911424098261</v>
      </c>
      <c r="M206">
        <f t="shared" si="85"/>
        <v>8.3839706501287452</v>
      </c>
      <c r="N206">
        <f t="shared" si="67"/>
        <v>1.3762285734241662</v>
      </c>
      <c r="O206">
        <f t="shared" si="82"/>
        <v>6.918963902055637</v>
      </c>
      <c r="P206">
        <f t="shared" si="86"/>
        <v>7.2077264873597553</v>
      </c>
      <c r="Q206">
        <f t="shared" si="84"/>
        <v>7.0380813197285228</v>
      </c>
      <c r="R206">
        <f t="shared" si="65"/>
        <v>7.8727798654867298</v>
      </c>
      <c r="S206">
        <f t="shared" si="65"/>
        <v>8.1396463590031249</v>
      </c>
      <c r="T206">
        <f t="shared" si="68"/>
        <v>1.1319042822985459</v>
      </c>
      <c r="U206">
        <f t="shared" si="69"/>
        <v>-1.1319042822985459</v>
      </c>
      <c r="V206">
        <f t="shared" si="76"/>
        <v>7.2654478046463602</v>
      </c>
      <c r="W206">
        <f t="shared" si="70"/>
        <v>-0.25770572794178115</v>
      </c>
      <c r="X206">
        <f t="shared" si="77"/>
        <v>7.3728548656790318</v>
      </c>
      <c r="Y206">
        <f t="shared" si="71"/>
        <v>-0.36511278897445276</v>
      </c>
      <c r="Z206">
        <f t="shared" si="78"/>
        <v>7.33590447706524</v>
      </c>
      <c r="AA206">
        <f t="shared" si="72"/>
        <v>-0.32816240036066091</v>
      </c>
      <c r="AB206">
        <f t="shared" si="73"/>
        <v>0.36450207670457857</v>
      </c>
      <c r="AC206">
        <f t="shared" si="74"/>
        <v>8.0355249113322138</v>
      </c>
      <c r="AD206">
        <f t="shared" si="75"/>
        <v>-1.0277828346276348</v>
      </c>
    </row>
    <row r="207" spans="1:30">
      <c r="A207">
        <v>205</v>
      </c>
      <c r="B207">
        <v>5.4310660497525056</v>
      </c>
      <c r="C207">
        <f t="shared" si="79"/>
        <v>7.4342883749002393</v>
      </c>
      <c r="D207">
        <f t="shared" si="79"/>
        <v>7.3893618144216493</v>
      </c>
      <c r="E207">
        <f t="shared" si="80"/>
        <v>7.4150932868699302</v>
      </c>
      <c r="F207">
        <f t="shared" si="83"/>
        <v>6.7052804953861402</v>
      </c>
      <c r="G207">
        <f t="shared" si="83"/>
        <v>7.0059160387266566</v>
      </c>
      <c r="H207">
        <f t="shared" si="83"/>
        <v>7.9735691727808238</v>
      </c>
      <c r="I207">
        <f t="shared" si="66"/>
        <v>2.5425031230283182</v>
      </c>
      <c r="J207">
        <f t="shared" si="81"/>
        <v>7.2971215558954654</v>
      </c>
      <c r="K207">
        <f t="shared" si="85"/>
        <v>6.8387343647943659</v>
      </c>
      <c r="L207">
        <f t="shared" si="85"/>
        <v>7.7071077825956706</v>
      </c>
      <c r="M207">
        <f t="shared" si="85"/>
        <v>8.3210544848070978</v>
      </c>
      <c r="N207">
        <f t="shared" si="67"/>
        <v>2.8899884350545921</v>
      </c>
      <c r="O207">
        <f t="shared" si="82"/>
        <v>6.9239104546668724</v>
      </c>
      <c r="P207">
        <f t="shared" si="86"/>
        <v>7.0111381790708407</v>
      </c>
      <c r="Q207">
        <f t="shared" si="84"/>
        <v>6.7809695686216775</v>
      </c>
      <c r="R207">
        <f t="shared" ref="R207:S270" si="87">AVERAGE(Q201:Q206)</f>
        <v>7.6024891497536986</v>
      </c>
      <c r="S207">
        <f t="shared" si="87"/>
        <v>8.1521062395618777</v>
      </c>
      <c r="T207">
        <f t="shared" si="68"/>
        <v>2.7210401898093721</v>
      </c>
      <c r="U207">
        <f t="shared" si="69"/>
        <v>-2.7210401898093721</v>
      </c>
      <c r="V207">
        <f t="shared" si="76"/>
        <v>7.2396772318521823</v>
      </c>
      <c r="W207">
        <f t="shared" si="70"/>
        <v>-1.8086111820996766</v>
      </c>
      <c r="X207">
        <f t="shared" si="77"/>
        <v>7.2998323078841416</v>
      </c>
      <c r="Y207">
        <f t="shared" si="71"/>
        <v>-1.868766258131636</v>
      </c>
      <c r="Z207">
        <f t="shared" si="78"/>
        <v>7.2374557569570417</v>
      </c>
      <c r="AA207">
        <f t="shared" si="72"/>
        <v>-1.8063897072045361</v>
      </c>
      <c r="AB207">
        <f t="shared" si="73"/>
        <v>-1.2177339502474949</v>
      </c>
      <c r="AC207">
        <f t="shared" si="74"/>
        <v>8.087158760678312</v>
      </c>
      <c r="AD207">
        <f t="shared" si="75"/>
        <v>-2.6560927109258063</v>
      </c>
    </row>
    <row r="208" spans="1:30">
      <c r="A208">
        <v>206</v>
      </c>
      <c r="B208">
        <v>7.015637154476499</v>
      </c>
      <c r="C208">
        <f t="shared" si="79"/>
        <v>6.2194040632285423</v>
      </c>
      <c r="D208">
        <f t="shared" si="79"/>
        <v>7.5265286334264223</v>
      </c>
      <c r="E208">
        <f t="shared" si="80"/>
        <v>6.7665475998509947</v>
      </c>
      <c r="F208">
        <f t="shared" si="83"/>
        <v>7.128029640884975</v>
      </c>
      <c r="G208">
        <f t="shared" si="83"/>
        <v>6.6914251179342834</v>
      </c>
      <c r="H208">
        <f t="shared" si="83"/>
        <v>7.5429455762780462</v>
      </c>
      <c r="I208">
        <f t="shared" si="66"/>
        <v>0.52730842180154713</v>
      </c>
      <c r="J208">
        <f t="shared" si="81"/>
        <v>6.9190864775905743</v>
      </c>
      <c r="K208">
        <f t="shared" si="85"/>
        <v>6.8489846533469354</v>
      </c>
      <c r="L208">
        <f t="shared" si="85"/>
        <v>7.3527085823718696</v>
      </c>
      <c r="M208">
        <f t="shared" si="85"/>
        <v>8.1308659109908881</v>
      </c>
      <c r="N208">
        <f t="shared" si="67"/>
        <v>1.115228756514389</v>
      </c>
      <c r="O208">
        <f t="shared" si="82"/>
        <v>6.9383966129677592</v>
      </c>
      <c r="P208">
        <f t="shared" si="86"/>
        <v>6.9291115333450435</v>
      </c>
      <c r="Q208">
        <f t="shared" si="84"/>
        <v>6.6709809266717812</v>
      </c>
      <c r="R208">
        <f t="shared" si="87"/>
        <v>7.3078247733785702</v>
      </c>
      <c r="S208">
        <f t="shared" si="87"/>
        <v>8.0666788744771907</v>
      </c>
      <c r="T208">
        <f t="shared" si="68"/>
        <v>1.0510417200006916</v>
      </c>
      <c r="U208">
        <f t="shared" si="69"/>
        <v>-1.0510417200006916</v>
      </c>
      <c r="V208">
        <f t="shared" si="76"/>
        <v>7.058816113642215</v>
      </c>
      <c r="W208">
        <f t="shared" si="70"/>
        <v>-4.3178959165715902E-2</v>
      </c>
      <c r="X208">
        <f t="shared" si="77"/>
        <v>6.9260790562578141</v>
      </c>
      <c r="Y208">
        <f t="shared" si="71"/>
        <v>8.9558098218684989E-2</v>
      </c>
      <c r="Z208">
        <f t="shared" si="78"/>
        <v>6.6955388447956805</v>
      </c>
      <c r="AA208">
        <f t="shared" si="72"/>
        <v>0.32009830968081854</v>
      </c>
      <c r="AB208">
        <f t="shared" si="73"/>
        <v>0.36127715447649855</v>
      </c>
      <c r="AC208">
        <f t="shared" si="74"/>
        <v>8.1386191671613801</v>
      </c>
      <c r="AD208">
        <f t="shared" si="75"/>
        <v>-1.1229820126848811</v>
      </c>
    </row>
    <row r="209" spans="1:30">
      <c r="A209">
        <v>207</v>
      </c>
      <c r="B209">
        <v>6.2614528588062308</v>
      </c>
      <c r="C209">
        <f t="shared" si="79"/>
        <v>6.2233516021145023</v>
      </c>
      <c r="D209">
        <f t="shared" si="79"/>
        <v>6.8268462190643913</v>
      </c>
      <c r="E209">
        <f t="shared" si="80"/>
        <v>6.4848150936445279</v>
      </c>
      <c r="F209">
        <f t="shared" si="83"/>
        <v>7.1917407563377838</v>
      </c>
      <c r="G209">
        <f t="shared" si="83"/>
        <v>6.7671968633159949</v>
      </c>
      <c r="H209">
        <f t="shared" si="83"/>
        <v>7.0917601539932384</v>
      </c>
      <c r="I209">
        <f t="shared" si="66"/>
        <v>0.83030729518700763</v>
      </c>
      <c r="J209">
        <f t="shared" si="81"/>
        <v>6.8288199885073713</v>
      </c>
      <c r="K209">
        <f t="shared" si="85"/>
        <v>6.8918218893404593</v>
      </c>
      <c r="L209">
        <f t="shared" si="85"/>
        <v>7.0749673126596688</v>
      </c>
      <c r="M209">
        <f t="shared" si="85"/>
        <v>7.8588971837293684</v>
      </c>
      <c r="N209">
        <f t="shared" si="67"/>
        <v>1.5974443249231376</v>
      </c>
      <c r="O209">
        <f t="shared" si="82"/>
        <v>6.7153465625671434</v>
      </c>
      <c r="P209">
        <f t="shared" si="86"/>
        <v>6.8780833371500822</v>
      </c>
      <c r="Q209">
        <f t="shared" si="84"/>
        <v>6.9391982379684771</v>
      </c>
      <c r="R209">
        <f t="shared" si="87"/>
        <v>7.0781629792861871</v>
      </c>
      <c r="S209">
        <f t="shared" si="87"/>
        <v>7.9002735439155858</v>
      </c>
      <c r="T209">
        <f t="shared" si="68"/>
        <v>1.638820685109355</v>
      </c>
      <c r="U209">
        <f t="shared" si="69"/>
        <v>-1.638820685109355</v>
      </c>
      <c r="V209">
        <f t="shared" si="76"/>
        <v>7.0544982177256434</v>
      </c>
      <c r="W209">
        <f t="shared" si="70"/>
        <v>-0.79304535891941264</v>
      </c>
      <c r="X209">
        <f t="shared" si="77"/>
        <v>6.9439906759015511</v>
      </c>
      <c r="Y209">
        <f t="shared" si="71"/>
        <v>-0.68253781709532024</v>
      </c>
      <c r="Z209">
        <f t="shared" si="78"/>
        <v>6.7915683376999265</v>
      </c>
      <c r="AA209">
        <f t="shared" si="72"/>
        <v>-0.5301154788936957</v>
      </c>
      <c r="AB209">
        <f t="shared" si="73"/>
        <v>-0.39846714119376969</v>
      </c>
      <c r="AC209">
        <f t="shared" si="74"/>
        <v>8.1898920448834645</v>
      </c>
      <c r="AD209">
        <f t="shared" si="75"/>
        <v>-1.9284391860772336</v>
      </c>
    </row>
    <row r="210" spans="1:30">
      <c r="A210">
        <v>208</v>
      </c>
      <c r="B210">
        <v>9.3771273098647647</v>
      </c>
      <c r="C210">
        <f t="shared" si="79"/>
        <v>6.6385450066413654</v>
      </c>
      <c r="D210">
        <f t="shared" si="79"/>
        <v>6.2213778326715223</v>
      </c>
      <c r="E210">
        <f t="shared" si="80"/>
        <v>6.2360520210117452</v>
      </c>
      <c r="F210">
        <f t="shared" si="83"/>
        <v>6.8888186601218173</v>
      </c>
      <c r="G210">
        <f t="shared" si="83"/>
        <v>7.0083502975362997</v>
      </c>
      <c r="H210">
        <f t="shared" si="83"/>
        <v>6.8215126733256453</v>
      </c>
      <c r="I210">
        <f t="shared" si="66"/>
        <v>-2.5556146365391195</v>
      </c>
      <c r="J210">
        <f t="shared" si="81"/>
        <v>6.4289745349349534</v>
      </c>
      <c r="K210">
        <f t="shared" si="85"/>
        <v>6.9854493450967023</v>
      </c>
      <c r="L210">
        <f t="shared" si="85"/>
        <v>6.9120189383223023</v>
      </c>
      <c r="M210">
        <f t="shared" si="85"/>
        <v>7.550618705009259</v>
      </c>
      <c r="N210">
        <f t="shared" si="67"/>
        <v>-1.8265086048555057</v>
      </c>
      <c r="O210">
        <f t="shared" si="82"/>
        <v>7.018605089920916</v>
      </c>
      <c r="P210">
        <f t="shared" si="86"/>
        <v>6.8464465198525009</v>
      </c>
      <c r="Q210">
        <f t="shared" si="84"/>
        <v>6.8255726539408377</v>
      </c>
      <c r="R210">
        <f t="shared" si="87"/>
        <v>6.9870332271643401</v>
      </c>
      <c r="S210">
        <f t="shared" si="87"/>
        <v>7.6871272927912955</v>
      </c>
      <c r="T210">
        <f t="shared" si="68"/>
        <v>-1.6900000170734693</v>
      </c>
      <c r="U210">
        <f t="shared" si="69"/>
        <v>1.6900000170734693</v>
      </c>
      <c r="V210">
        <f t="shared" si="76"/>
        <v>6.9751936818337024</v>
      </c>
      <c r="W210">
        <f t="shared" si="70"/>
        <v>2.4019336280310624</v>
      </c>
      <c r="X210">
        <f t="shared" si="77"/>
        <v>6.8074831124824868</v>
      </c>
      <c r="Y210">
        <f t="shared" si="71"/>
        <v>2.5696441973822779</v>
      </c>
      <c r="Z210">
        <f t="shared" si="78"/>
        <v>6.6325336940318174</v>
      </c>
      <c r="AA210">
        <f t="shared" si="72"/>
        <v>2.7445936158329474</v>
      </c>
      <c r="AB210">
        <f t="shared" si="73"/>
        <v>2.7116473098647642</v>
      </c>
      <c r="AC210">
        <f t="shared" si="74"/>
        <v>8.2409633600367211</v>
      </c>
      <c r="AD210">
        <f t="shared" si="75"/>
        <v>1.1361639498280436</v>
      </c>
    </row>
    <row r="211" spans="1:30">
      <c r="A211">
        <v>209</v>
      </c>
      <c r="B211">
        <v>7.4807464129481289</v>
      </c>
      <c r="C211">
        <f t="shared" si="79"/>
        <v>7.8192900843354973</v>
      </c>
      <c r="D211">
        <f t="shared" si="79"/>
        <v>6.4309483043779334</v>
      </c>
      <c r="E211">
        <f t="shared" si="80"/>
        <v>7.5514057743824985</v>
      </c>
      <c r="F211">
        <f t="shared" si="83"/>
        <v>6.4958049048357553</v>
      </c>
      <c r="G211">
        <f t="shared" si="83"/>
        <v>7.0695296857815251</v>
      </c>
      <c r="H211">
        <f t="shared" si="83"/>
        <v>6.8223240929288593</v>
      </c>
      <c r="I211">
        <f t="shared" si="66"/>
        <v>-0.65842232001926959</v>
      </c>
      <c r="J211">
        <f t="shared" si="81"/>
        <v>7.0213208432250003</v>
      </c>
      <c r="K211">
        <f t="shared" si="85"/>
        <v>6.8685006392320904</v>
      </c>
      <c r="L211">
        <f t="shared" si="85"/>
        <v>6.8912475631446153</v>
      </c>
      <c r="M211">
        <f t="shared" si="85"/>
        <v>7.2617006539873774</v>
      </c>
      <c r="N211">
        <f t="shared" si="67"/>
        <v>-0.21904575896075151</v>
      </c>
      <c r="O211">
        <f t="shared" si="82"/>
        <v>7.113205957169626</v>
      </c>
      <c r="P211">
        <f t="shared" si="86"/>
        <v>6.903044524435666</v>
      </c>
      <c r="Q211">
        <f t="shared" si="84"/>
        <v>7.1589766871167457</v>
      </c>
      <c r="R211">
        <f t="shared" si="87"/>
        <v>6.9131446478363872</v>
      </c>
      <c r="S211">
        <f t="shared" si="87"/>
        <v>7.4807081073488915</v>
      </c>
      <c r="T211">
        <f t="shared" si="68"/>
        <v>-3.8305599237453691E-5</v>
      </c>
      <c r="U211">
        <f t="shared" si="69"/>
        <v>3.8305599237453691E-5</v>
      </c>
      <c r="V211">
        <f t="shared" si="76"/>
        <v>7.2153870446368087</v>
      </c>
      <c r="W211">
        <f t="shared" si="70"/>
        <v>0.26535936831132023</v>
      </c>
      <c r="X211">
        <f t="shared" si="77"/>
        <v>7.3214119519589422</v>
      </c>
      <c r="Y211">
        <f t="shared" si="71"/>
        <v>0.15933446098918669</v>
      </c>
      <c r="Z211">
        <f t="shared" si="78"/>
        <v>7.4559117787817017</v>
      </c>
      <c r="AA211">
        <f t="shared" si="72"/>
        <v>2.4834634166427172E-2</v>
      </c>
      <c r="AB211">
        <f t="shared" si="73"/>
        <v>0.8097064129481284</v>
      </c>
      <c r="AC211">
        <f t="shared" si="74"/>
        <v>8.2918191348016208</v>
      </c>
      <c r="AD211">
        <f t="shared" si="75"/>
        <v>-0.81107272185349188</v>
      </c>
    </row>
    <row r="212" spans="1:30">
      <c r="A212">
        <v>210</v>
      </c>
      <c r="B212">
        <v>6.5848379458449946</v>
      </c>
      <c r="C212">
        <f t="shared" si="79"/>
        <v>8.4289368614064468</v>
      </c>
      <c r="D212">
        <f t="shared" si="79"/>
        <v>7.2289175454884314</v>
      </c>
      <c r="E212">
        <f t="shared" si="80"/>
        <v>7.7064421938730412</v>
      </c>
      <c r="F212">
        <f t="shared" si="83"/>
        <v>6.7574242963462572</v>
      </c>
      <c r="G212">
        <f t="shared" si="83"/>
        <v>6.8587881070984515</v>
      </c>
      <c r="H212">
        <f t="shared" si="83"/>
        <v>6.9483589488779396</v>
      </c>
      <c r="I212">
        <f t="shared" si="66"/>
        <v>0.36352100303294499</v>
      </c>
      <c r="J212">
        <f t="shared" si="81"/>
        <v>7.5337409340239061</v>
      </c>
      <c r="K212">
        <f t="shared" si="85"/>
        <v>6.7995504610644737</v>
      </c>
      <c r="L212">
        <f t="shared" si="85"/>
        <v>6.8986891317540469</v>
      </c>
      <c r="M212">
        <f t="shared" si="85"/>
        <v>7.057735599124614</v>
      </c>
      <c r="N212">
        <f t="shared" si="67"/>
        <v>0.47289765327961941</v>
      </c>
      <c r="O212">
        <f t="shared" si="82"/>
        <v>7.3439603363881236</v>
      </c>
      <c r="P212">
        <f t="shared" si="86"/>
        <v>6.9418929354584638</v>
      </c>
      <c r="Q212">
        <f t="shared" si="84"/>
        <v>7.0956286437587854</v>
      </c>
      <c r="R212">
        <f t="shared" si="87"/>
        <v>6.902296565674674</v>
      </c>
      <c r="S212">
        <f t="shared" si="87"/>
        <v>7.2935724404843194</v>
      </c>
      <c r="T212">
        <f t="shared" si="68"/>
        <v>0.70873449463932481</v>
      </c>
      <c r="U212">
        <f t="shared" si="69"/>
        <v>-0.70873449463932481</v>
      </c>
      <c r="V212">
        <f t="shared" si="76"/>
        <v>7.2419229814679404</v>
      </c>
      <c r="W212">
        <f t="shared" si="70"/>
        <v>-0.65708503562294585</v>
      </c>
      <c r="X212">
        <f t="shared" si="77"/>
        <v>7.3532788441567796</v>
      </c>
      <c r="Y212">
        <f t="shared" si="71"/>
        <v>-0.76844089831178497</v>
      </c>
      <c r="Z212">
        <f t="shared" si="78"/>
        <v>7.4633621690316296</v>
      </c>
      <c r="AA212">
        <f t="shared" si="72"/>
        <v>-0.87852422318663503</v>
      </c>
      <c r="AB212">
        <f t="shared" si="73"/>
        <v>-9.1762054155005934E-2</v>
      </c>
      <c r="AC212">
        <f t="shared" si="74"/>
        <v>8.3424454512295743</v>
      </c>
      <c r="AD212">
        <f t="shared" si="75"/>
        <v>-1.7576075053845797</v>
      </c>
    </row>
    <row r="213" spans="1:30">
      <c r="A213">
        <v>211</v>
      </c>
      <c r="B213">
        <v>9.2714936460021864</v>
      </c>
      <c r="C213">
        <f t="shared" si="79"/>
        <v>7.0327921793965622</v>
      </c>
      <c r="D213">
        <f t="shared" si="79"/>
        <v>8.1241134728709721</v>
      </c>
      <c r="E213">
        <f t="shared" si="80"/>
        <v>7.8142372228859633</v>
      </c>
      <c r="F213">
        <f t="shared" si="83"/>
        <v>7.1646333297557616</v>
      </c>
      <c r="G213">
        <f t="shared" si="83"/>
        <v>6.7140159537679436</v>
      </c>
      <c r="H213">
        <f t="shared" si="83"/>
        <v>6.9788893634720921</v>
      </c>
      <c r="I213">
        <f t="shared" si="66"/>
        <v>-2.2926042825300943</v>
      </c>
      <c r="J213">
        <f t="shared" si="81"/>
        <v>7.4260411318660298</v>
      </c>
      <c r="K213">
        <f t="shared" si="85"/>
        <v>6.9532140751728084</v>
      </c>
      <c r="L213">
        <f t="shared" si="85"/>
        <v>6.8863305836834314</v>
      </c>
      <c r="M213">
        <f t="shared" si="85"/>
        <v>6.9442307364701588</v>
      </c>
      <c r="N213">
        <f t="shared" si="67"/>
        <v>-2.3272629095320276</v>
      </c>
      <c r="O213">
        <f t="shared" si="82"/>
        <v>7.7951316346932611</v>
      </c>
      <c r="P213">
        <f t="shared" si="86"/>
        <v>7.0259029118027128</v>
      </c>
      <c r="Q213">
        <f t="shared" si="84"/>
        <v>7.0251446219488543</v>
      </c>
      <c r="R213">
        <f t="shared" si="87"/>
        <v>6.9118877863463846</v>
      </c>
      <c r="S213">
        <f t="shared" si="87"/>
        <v>7.1318252238489768</v>
      </c>
      <c r="T213">
        <f t="shared" si="68"/>
        <v>-2.1396684221532096</v>
      </c>
      <c r="U213">
        <f t="shared" si="69"/>
        <v>2.1396684221532096</v>
      </c>
      <c r="V213">
        <f t="shared" si="76"/>
        <v>7.1762144779056456</v>
      </c>
      <c r="W213">
        <f t="shared" si="70"/>
        <v>2.0952791680965408</v>
      </c>
      <c r="X213">
        <f t="shared" si="77"/>
        <v>7.1995906644944228</v>
      </c>
      <c r="Y213">
        <f t="shared" si="71"/>
        <v>2.0719029815077636</v>
      </c>
      <c r="Z213">
        <f t="shared" si="78"/>
        <v>7.1998049020756394</v>
      </c>
      <c r="AA213">
        <f t="shared" si="72"/>
        <v>2.071688743926547</v>
      </c>
      <c r="AB213">
        <f t="shared" si="73"/>
        <v>2.5893336460021859</v>
      </c>
      <c r="AC213">
        <f t="shared" si="74"/>
        <v>8.392828455108944</v>
      </c>
      <c r="AD213">
        <f t="shared" si="75"/>
        <v>0.87866519089324235</v>
      </c>
    </row>
    <row r="214" spans="1:30">
      <c r="A214">
        <v>212</v>
      </c>
      <c r="B214">
        <v>8.7805487551597476</v>
      </c>
      <c r="C214">
        <f t="shared" si="79"/>
        <v>7.9281657959235901</v>
      </c>
      <c r="D214">
        <f t="shared" si="79"/>
        <v>7.7308645204015045</v>
      </c>
      <c r="E214">
        <f t="shared" si="80"/>
        <v>7.779026001598436</v>
      </c>
      <c r="F214">
        <f t="shared" si="83"/>
        <v>7.6906950637138349</v>
      </c>
      <c r="G214">
        <f t="shared" si="83"/>
        <v>6.8059541769792586</v>
      </c>
      <c r="H214">
        <f t="shared" si="83"/>
        <v>6.8807779155493067</v>
      </c>
      <c r="I214">
        <f t="shared" si="66"/>
        <v>-1.8997708396104409</v>
      </c>
      <c r="J214">
        <f t="shared" si="81"/>
        <v>8.1785513286650193</v>
      </c>
      <c r="K214">
        <f t="shared" si="85"/>
        <v>7.1025193610124724</v>
      </c>
      <c r="L214">
        <f t="shared" si="85"/>
        <v>6.9016786301415189</v>
      </c>
      <c r="M214">
        <f t="shared" si="85"/>
        <v>6.8970715542260992</v>
      </c>
      <c r="N214">
        <f t="shared" si="67"/>
        <v>-1.8834772009336485</v>
      </c>
      <c r="O214">
        <f t="shared" si="82"/>
        <v>8.2989508139639661</v>
      </c>
      <c r="P214">
        <f t="shared" si="86"/>
        <v>7.1972499161478138</v>
      </c>
      <c r="Q214">
        <f t="shared" si="84"/>
        <v>7.6652158879904668</v>
      </c>
      <c r="R214">
        <f t="shared" si="87"/>
        <v>6.9525836285675799</v>
      </c>
      <c r="S214">
        <f t="shared" si="87"/>
        <v>7.0167249966144238</v>
      </c>
      <c r="T214">
        <f t="shared" si="68"/>
        <v>-1.7638237585453238</v>
      </c>
      <c r="U214">
        <f t="shared" si="69"/>
        <v>1.7638237585453238</v>
      </c>
      <c r="V214">
        <f t="shared" si="76"/>
        <v>7.3857423947153</v>
      </c>
      <c r="W214">
        <f t="shared" si="70"/>
        <v>1.3948063604444476</v>
      </c>
      <c r="X214">
        <f t="shared" si="77"/>
        <v>7.6139712607959753</v>
      </c>
      <c r="Y214">
        <f t="shared" si="71"/>
        <v>1.1665774943637723</v>
      </c>
      <c r="Z214">
        <f t="shared" si="78"/>
        <v>7.8213115252536038</v>
      </c>
      <c r="AA214">
        <f t="shared" si="72"/>
        <v>0.9592372299061438</v>
      </c>
      <c r="AB214">
        <f t="shared" si="73"/>
        <v>2.0928287551597471</v>
      </c>
      <c r="AC214">
        <f t="shared" si="74"/>
        <v>8.4429543598133456</v>
      </c>
      <c r="AD214">
        <f t="shared" si="75"/>
        <v>0.33759439534640201</v>
      </c>
    </row>
    <row r="215" spans="1:30">
      <c r="A215">
        <v>213</v>
      </c>
      <c r="B215">
        <v>9.3156261257364683</v>
      </c>
      <c r="C215">
        <f t="shared" si="79"/>
        <v>9.026021200580967</v>
      </c>
      <c r="D215">
        <f t="shared" si="79"/>
        <v>7.4804789876600761</v>
      </c>
      <c r="E215">
        <f t="shared" si="80"/>
        <v>8.2122934490023098</v>
      </c>
      <c r="F215">
        <f t="shared" si="83"/>
        <v>7.7665684727858135</v>
      </c>
      <c r="G215">
        <f t="shared" si="83"/>
        <v>7.2042508966052843</v>
      </c>
      <c r="H215">
        <f t="shared" si="83"/>
        <v>6.7929194126152188</v>
      </c>
      <c r="I215">
        <f t="shared" si="66"/>
        <v>-2.5227067131212495</v>
      </c>
      <c r="J215">
        <f t="shared" si="81"/>
        <v>8.0294066899887646</v>
      </c>
      <c r="K215">
        <f t="shared" si="85"/>
        <v>7.5399135594449884</v>
      </c>
      <c r="L215">
        <f t="shared" si="85"/>
        <v>6.930946134120461</v>
      </c>
      <c r="M215">
        <f t="shared" si="85"/>
        <v>6.8944864771809033</v>
      </c>
      <c r="N215">
        <f t="shared" si="67"/>
        <v>-2.421139648555565</v>
      </c>
      <c r="O215">
        <f t="shared" si="82"/>
        <v>8.2866505771383068</v>
      </c>
      <c r="P215">
        <f t="shared" si="86"/>
        <v>7.5139707664271782</v>
      </c>
      <c r="Q215">
        <f t="shared" si="84"/>
        <v>7.9593678214376764</v>
      </c>
      <c r="R215">
        <f t="shared" si="87"/>
        <v>7.1182894554540281</v>
      </c>
      <c r="S215">
        <f t="shared" si="87"/>
        <v>6.9575181391459253</v>
      </c>
      <c r="T215">
        <f t="shared" si="68"/>
        <v>-2.358107986590543</v>
      </c>
      <c r="U215">
        <f t="shared" si="69"/>
        <v>2.358107986590543</v>
      </c>
      <c r="V215">
        <f t="shared" si="76"/>
        <v>7.5252230307597445</v>
      </c>
      <c r="W215">
        <f t="shared" si="70"/>
        <v>1.7904030949767238</v>
      </c>
      <c r="X215">
        <f t="shared" si="77"/>
        <v>7.8472867596687301</v>
      </c>
      <c r="Y215">
        <f t="shared" si="71"/>
        <v>1.4683393660677382</v>
      </c>
      <c r="Z215">
        <f t="shared" si="78"/>
        <v>8.1090826942254477</v>
      </c>
      <c r="AA215">
        <f t="shared" si="72"/>
        <v>1.2065434315110206</v>
      </c>
      <c r="AB215">
        <f t="shared" si="73"/>
        <v>2.6223461257364677</v>
      </c>
      <c r="AC215">
        <f t="shared" si="74"/>
        <v>8.4928094501311833</v>
      </c>
      <c r="AD215">
        <f t="shared" si="75"/>
        <v>0.82281667560528504</v>
      </c>
    </row>
    <row r="216" spans="1:30">
      <c r="A216">
        <v>214</v>
      </c>
      <c r="B216">
        <v>6.6301162139120251</v>
      </c>
      <c r="C216">
        <f t="shared" si="79"/>
        <v>9.0480874404481071</v>
      </c>
      <c r="D216">
        <f t="shared" si="79"/>
        <v>8.4770934982522785</v>
      </c>
      <c r="E216">
        <f t="shared" si="80"/>
        <v>9.1225561756328002</v>
      </c>
      <c r="F216">
        <f t="shared" si="83"/>
        <v>7.9351855578289028</v>
      </c>
      <c r="G216">
        <f t="shared" si="83"/>
        <v>7.5406322887518042</v>
      </c>
      <c r="H216">
        <f t="shared" si="83"/>
        <v>6.9080736757841619</v>
      </c>
      <c r="I216">
        <f t="shared" si="66"/>
        <v>0.27795746187213677</v>
      </c>
      <c r="J216">
        <f t="shared" si="81"/>
        <v>8.4881266181858486</v>
      </c>
      <c r="K216">
        <f t="shared" si="85"/>
        <v>7.79193502113593</v>
      </c>
      <c r="L216">
        <f t="shared" si="85"/>
        <v>7.0987993641736864</v>
      </c>
      <c r="M216">
        <f t="shared" si="85"/>
        <v>6.9044111199248643</v>
      </c>
      <c r="N216">
        <f t="shared" si="67"/>
        <v>0.27429490601283923</v>
      </c>
      <c r="O216">
        <f t="shared" si="82"/>
        <v>8.1165245373310846</v>
      </c>
      <c r="P216">
        <f t="shared" si="86"/>
        <v>7.7675798638706564</v>
      </c>
      <c r="Q216">
        <f t="shared" si="84"/>
        <v>8.4683966992593813</v>
      </c>
      <c r="R216">
        <f t="shared" si="87"/>
        <v>7.2883177193655611</v>
      </c>
      <c r="S216">
        <f t="shared" si="87"/>
        <v>6.9642058851738975</v>
      </c>
      <c r="T216">
        <f t="shared" si="68"/>
        <v>0.33408967126187239</v>
      </c>
      <c r="U216">
        <f t="shared" si="69"/>
        <v>-0.33408967126187239</v>
      </c>
      <c r="V216">
        <f t="shared" si="76"/>
        <v>7.704263340257417</v>
      </c>
      <c r="W216">
        <f t="shared" si="70"/>
        <v>-1.0741471263453919</v>
      </c>
      <c r="X216">
        <f t="shared" si="77"/>
        <v>8.1409546328822771</v>
      </c>
      <c r="Y216">
        <f t="shared" si="71"/>
        <v>-1.510838418970252</v>
      </c>
      <c r="Z216">
        <f t="shared" si="78"/>
        <v>8.4710457236787544</v>
      </c>
      <c r="AA216">
        <f t="shared" si="72"/>
        <v>-1.8409295097667293</v>
      </c>
      <c r="AB216">
        <f t="shared" si="73"/>
        <v>-6.8723786087975469E-2</v>
      </c>
      <c r="AC216">
        <f t="shared" si="74"/>
        <v>8.5423800860753349</v>
      </c>
      <c r="AD216">
        <f t="shared" si="75"/>
        <v>-1.9122638721633098</v>
      </c>
    </row>
    <row r="217" spans="1:30">
      <c r="A217">
        <v>215</v>
      </c>
      <c r="B217">
        <v>8.4228018559744608</v>
      </c>
      <c r="C217">
        <f t="shared" si="79"/>
        <v>7.9728711698242467</v>
      </c>
      <c r="D217">
        <f t="shared" si="79"/>
        <v>9.0370543205145371</v>
      </c>
      <c r="E217">
        <f t="shared" si="80"/>
        <v>8.2420970316027464</v>
      </c>
      <c r="F217">
        <f t="shared" si="83"/>
        <v>8.3712918754111811</v>
      </c>
      <c r="G217">
        <f t="shared" si="83"/>
        <v>7.7974830314428507</v>
      </c>
      <c r="H217">
        <f t="shared" si="83"/>
        <v>7.183612454112116</v>
      </c>
      <c r="I217">
        <f t="shared" si="66"/>
        <v>-1.2391894018623448</v>
      </c>
      <c r="J217">
        <f t="shared" si="81"/>
        <v>8.4994461852026078</v>
      </c>
      <c r="K217">
        <f t="shared" si="85"/>
        <v>8.0305314421764145</v>
      </c>
      <c r="L217">
        <f t="shared" si="85"/>
        <v>7.3468955041915498</v>
      </c>
      <c r="M217">
        <f t="shared" si="85"/>
        <v>6.9544386780297742</v>
      </c>
      <c r="N217">
        <f t="shared" si="67"/>
        <v>-1.4683631779446866</v>
      </c>
      <c r="O217">
        <f t="shared" si="82"/>
        <v>8.4841173193569794</v>
      </c>
      <c r="P217">
        <f t="shared" si="86"/>
        <v>7.968243579902949</v>
      </c>
      <c r="Q217">
        <f t="shared" si="84"/>
        <v>8.0105615166005926</v>
      </c>
      <c r="R217">
        <f t="shared" si="87"/>
        <v>7.5621217269186509</v>
      </c>
      <c r="S217">
        <f t="shared" si="87"/>
        <v>7.0144199672074352</v>
      </c>
      <c r="T217">
        <f t="shared" si="68"/>
        <v>-1.4083818887670256</v>
      </c>
      <c r="U217">
        <f t="shared" si="69"/>
        <v>1.4083818887670256</v>
      </c>
      <c r="V217">
        <f t="shared" si="76"/>
        <v>7.5968486276228777</v>
      </c>
      <c r="W217">
        <f t="shared" si="70"/>
        <v>0.82595322835158314</v>
      </c>
      <c r="X217">
        <f t="shared" si="77"/>
        <v>7.8387869490882265</v>
      </c>
      <c r="Y217">
        <f t="shared" si="71"/>
        <v>0.58401490688623436</v>
      </c>
      <c r="Z217">
        <f t="shared" si="78"/>
        <v>7.918766870748736</v>
      </c>
      <c r="AA217">
        <f t="shared" si="72"/>
        <v>0.50403498522572487</v>
      </c>
      <c r="AB217">
        <f t="shared" si="73"/>
        <v>1.7184018559744603</v>
      </c>
      <c r="AC217">
        <f t="shared" si="74"/>
        <v>8.5916527066719546</v>
      </c>
      <c r="AD217">
        <f t="shared" si="75"/>
        <v>-0.16885085069749373</v>
      </c>
    </row>
    <row r="218" spans="1:30">
      <c r="A218">
        <v>216</v>
      </c>
      <c r="B218">
        <v>9.9510876476390564</v>
      </c>
      <c r="C218">
        <f t="shared" si="79"/>
        <v>7.526459034943243</v>
      </c>
      <c r="D218">
        <f t="shared" si="79"/>
        <v>8.510479305136176</v>
      </c>
      <c r="E218">
        <f t="shared" si="80"/>
        <v>8.1228480652076502</v>
      </c>
      <c r="F218">
        <f t="shared" si="83"/>
        <v>8.52564888541262</v>
      </c>
      <c r="G218">
        <f t="shared" si="83"/>
        <v>8.0243486353419655</v>
      </c>
      <c r="H218">
        <f t="shared" si="83"/>
        <v>7.5141220722666473</v>
      </c>
      <c r="I218">
        <f t="shared" si="66"/>
        <v>-2.4369655753724091</v>
      </c>
      <c r="J218">
        <f t="shared" si="81"/>
        <v>8.2872732376956755</v>
      </c>
      <c r="K218">
        <f t="shared" si="85"/>
        <v>8.298882705510561</v>
      </c>
      <c r="L218">
        <f t="shared" si="85"/>
        <v>7.6162248459424511</v>
      </c>
      <c r="M218">
        <f t="shared" si="85"/>
        <v>7.069579908156804</v>
      </c>
      <c r="N218">
        <f t="shared" si="67"/>
        <v>-2.8815077394822524</v>
      </c>
      <c r="O218">
        <f t="shared" si="82"/>
        <v>8.620036119684352</v>
      </c>
      <c r="P218">
        <f t="shared" si="86"/>
        <v>8.1962749764967189</v>
      </c>
      <c r="Q218">
        <f t="shared" si="84"/>
        <v>8.1675707571049809</v>
      </c>
      <c r="R218">
        <f t="shared" si="87"/>
        <v>7.7040525318326258</v>
      </c>
      <c r="S218">
        <f t="shared" si="87"/>
        <v>7.1225828137211478</v>
      </c>
      <c r="T218">
        <f t="shared" si="68"/>
        <v>-2.8285048339179086</v>
      </c>
      <c r="U218">
        <f t="shared" si="69"/>
        <v>2.8285048339179086</v>
      </c>
      <c r="V218">
        <f t="shared" si="76"/>
        <v>7.6794439504580359</v>
      </c>
      <c r="W218">
        <f t="shared" si="70"/>
        <v>2.2716436971810205</v>
      </c>
      <c r="X218">
        <f t="shared" si="77"/>
        <v>7.9555899304654734</v>
      </c>
      <c r="Y218">
        <f t="shared" si="71"/>
        <v>1.995497717173583</v>
      </c>
      <c r="Z218">
        <f t="shared" si="78"/>
        <v>8.0699773663164542</v>
      </c>
      <c r="AA218">
        <f t="shared" si="72"/>
        <v>1.8811102813226022</v>
      </c>
      <c r="AB218">
        <f t="shared" si="73"/>
        <v>3.2411276476390558</v>
      </c>
      <c r="AC218">
        <f t="shared" si="74"/>
        <v>8.6406138337273166</v>
      </c>
      <c r="AD218">
        <f t="shared" si="75"/>
        <v>1.3104738139117398</v>
      </c>
    </row>
    <row r="219" spans="1:30">
      <c r="A219">
        <v>217</v>
      </c>
      <c r="B219">
        <v>9.4379921850699695</v>
      </c>
      <c r="C219">
        <f t="shared" si="79"/>
        <v>9.1869447518067595</v>
      </c>
      <c r="D219">
        <f t="shared" si="79"/>
        <v>7.7496651023837444</v>
      </c>
      <c r="E219">
        <f t="shared" si="80"/>
        <v>8.3346685725085141</v>
      </c>
      <c r="F219">
        <f t="shared" si="83"/>
        <v>8.4958337574810656</v>
      </c>
      <c r="G219">
        <f t="shared" si="83"/>
        <v>8.2773754395509016</v>
      </c>
      <c r="H219">
        <f t="shared" si="83"/>
        <v>7.7874879851788732</v>
      </c>
      <c r="I219">
        <f t="shared" si="66"/>
        <v>-1.6505041998910963</v>
      </c>
      <c r="J219">
        <f t="shared" si="81"/>
        <v>8.5799079608155022</v>
      </c>
      <c r="K219">
        <f t="shared" si="85"/>
        <v>8.3260631827682232</v>
      </c>
      <c r="L219">
        <f t="shared" si="85"/>
        <v>7.9153156820669732</v>
      </c>
      <c r="M219">
        <f t="shared" si="85"/>
        <v>7.2482164621070373</v>
      </c>
      <c r="N219">
        <f t="shared" si="67"/>
        <v>-2.1897757229629322</v>
      </c>
      <c r="O219">
        <f t="shared" si="82"/>
        <v>8.7515248056663957</v>
      </c>
      <c r="P219">
        <f t="shared" si="86"/>
        <v>8.3612558734949367</v>
      </c>
      <c r="Q219">
        <f t="shared" si="84"/>
        <v>8.7286123740706589</v>
      </c>
      <c r="R219">
        <f t="shared" si="87"/>
        <v>7.882709550723658</v>
      </c>
      <c r="S219">
        <f t="shared" si="87"/>
        <v>7.2562088080808058</v>
      </c>
      <c r="T219">
        <f t="shared" si="68"/>
        <v>-2.1817833769891637</v>
      </c>
      <c r="U219">
        <f t="shared" si="69"/>
        <v>2.1817833769891637</v>
      </c>
      <c r="V219">
        <f t="shared" si="76"/>
        <v>7.9066083201761383</v>
      </c>
      <c r="W219">
        <f t="shared" si="70"/>
        <v>1.5313838648938312</v>
      </c>
      <c r="X219">
        <f t="shared" si="77"/>
        <v>8.3546894739001907</v>
      </c>
      <c r="Y219">
        <f t="shared" si="71"/>
        <v>1.0833027111697788</v>
      </c>
      <c r="Z219">
        <f t="shared" si="78"/>
        <v>8.6343104507132349</v>
      </c>
      <c r="AA219">
        <f t="shared" si="72"/>
        <v>0.80368173435673462</v>
      </c>
      <c r="AB219">
        <f t="shared" si="73"/>
        <v>2.7224721850699689</v>
      </c>
      <c r="AC219">
        <f t="shared" si="74"/>
        <v>8.6892500755716853</v>
      </c>
      <c r="AD219">
        <f t="shared" si="75"/>
        <v>0.74874210949828424</v>
      </c>
    </row>
    <row r="220" spans="1:30">
      <c r="A220">
        <v>218</v>
      </c>
      <c r="B220">
        <v>7.137653076871465</v>
      </c>
      <c r="C220">
        <f t="shared" si="79"/>
        <v>9.694539916354513</v>
      </c>
      <c r="D220">
        <f t="shared" si="79"/>
        <v>8.3567018933750017</v>
      </c>
      <c r="E220">
        <f t="shared" si="80"/>
        <v>9.2706272295611623</v>
      </c>
      <c r="F220">
        <f t="shared" si="83"/>
        <v>8.2332045564396363</v>
      </c>
      <c r="G220">
        <f t="shared" si="83"/>
        <v>8.4642581727682895</v>
      </c>
      <c r="H220">
        <f t="shared" si="83"/>
        <v>8.033069035445239</v>
      </c>
      <c r="I220">
        <f t="shared" si="66"/>
        <v>0.89541595857377398</v>
      </c>
      <c r="J220">
        <f t="shared" si="81"/>
        <v>8.6104994756488793</v>
      </c>
      <c r="K220">
        <f t="shared" si="85"/>
        <v>8.4636885004749089</v>
      </c>
      <c r="L220">
        <f t="shared" si="85"/>
        <v>8.1118530878977815</v>
      </c>
      <c r="M220">
        <f t="shared" si="85"/>
        <v>7.4943088490936649</v>
      </c>
      <c r="N220">
        <f t="shared" si="67"/>
        <v>0.35665577222219991</v>
      </c>
      <c r="O220">
        <f t="shared" si="82"/>
        <v>8.3159301958933973</v>
      </c>
      <c r="P220">
        <f t="shared" si="86"/>
        <v>8.4517706718354244</v>
      </c>
      <c r="Q220">
        <f t="shared" si="84"/>
        <v>8.7563621305819552</v>
      </c>
      <c r="R220">
        <f t="shared" si="87"/>
        <v>8.1666208427439582</v>
      </c>
      <c r="S220">
        <f t="shared" si="87"/>
        <v>7.4180124354770172</v>
      </c>
      <c r="T220">
        <f t="shared" si="68"/>
        <v>0.28035935860555217</v>
      </c>
      <c r="U220">
        <f t="shared" si="69"/>
        <v>-0.28035935860555217</v>
      </c>
      <c r="V220">
        <f t="shared" si="76"/>
        <v>8.0597467066655213</v>
      </c>
      <c r="W220">
        <f t="shared" si="70"/>
        <v>-0.92209362979405629</v>
      </c>
      <c r="X220">
        <f t="shared" si="77"/>
        <v>8.5713500161341472</v>
      </c>
      <c r="Y220">
        <f t="shared" si="71"/>
        <v>-1.4336969392626822</v>
      </c>
      <c r="Z220">
        <f t="shared" si="78"/>
        <v>8.8754149710202555</v>
      </c>
      <c r="AA220">
        <f t="shared" si="72"/>
        <v>-1.7377618941487905</v>
      </c>
      <c r="AB220">
        <f t="shared" si="73"/>
        <v>0.41657307687146439</v>
      </c>
      <c r="AC220">
        <f t="shared" si="74"/>
        <v>8.7375481307791194</v>
      </c>
      <c r="AD220">
        <f t="shared" si="75"/>
        <v>-1.5998950539076544</v>
      </c>
    </row>
    <row r="221" spans="1:30">
      <c r="A221">
        <v>219</v>
      </c>
      <c r="B221">
        <v>9.2077367492931987</v>
      </c>
      <c r="C221">
        <f t="shared" si="79"/>
        <v>8.2878226309707177</v>
      </c>
      <c r="D221">
        <f t="shared" si="79"/>
        <v>9.4407423340806353</v>
      </c>
      <c r="E221">
        <f t="shared" si="80"/>
        <v>8.8422443031934979</v>
      </c>
      <c r="F221">
        <f t="shared" si="83"/>
        <v>8.5760479557591083</v>
      </c>
      <c r="G221">
        <f t="shared" si="83"/>
        <v>8.4182290664444412</v>
      </c>
      <c r="H221">
        <f t="shared" si="83"/>
        <v>8.2553274158870522</v>
      </c>
      <c r="I221">
        <f t="shared" si="66"/>
        <v>-0.95240933340614653</v>
      </c>
      <c r="J221">
        <f t="shared" si="81"/>
        <v>8.7373836913887377</v>
      </c>
      <c r="K221">
        <f t="shared" si="85"/>
        <v>8.4942817148406657</v>
      </c>
      <c r="L221">
        <f t="shared" si="85"/>
        <v>8.2797914577325269</v>
      </c>
      <c r="M221">
        <f t="shared" si="85"/>
        <v>7.7475722800246887</v>
      </c>
      <c r="N221">
        <f t="shared" si="67"/>
        <v>-1.4601644692685101</v>
      </c>
      <c r="O221">
        <f t="shared" si="82"/>
        <v>8.8314543029696289</v>
      </c>
      <c r="P221">
        <f t="shared" si="86"/>
        <v>8.4576265955864418</v>
      </c>
      <c r="Q221">
        <f t="shared" si="84"/>
        <v>8.482546184200574</v>
      </c>
      <c r="R221">
        <f t="shared" si="87"/>
        <v>8.3484785498425413</v>
      </c>
      <c r="S221">
        <f t="shared" si="87"/>
        <v>7.6203519711730801</v>
      </c>
      <c r="T221">
        <f t="shared" si="68"/>
        <v>-1.5873847781201187</v>
      </c>
      <c r="U221">
        <f t="shared" si="69"/>
        <v>1.5873847781201187</v>
      </c>
      <c r="V221">
        <f t="shared" si="76"/>
        <v>7.9675373436861161</v>
      </c>
      <c r="W221">
        <f t="shared" si="70"/>
        <v>1.2401994056070826</v>
      </c>
      <c r="X221">
        <f t="shared" si="77"/>
        <v>8.2846106282816105</v>
      </c>
      <c r="Y221">
        <f t="shared" si="71"/>
        <v>0.9231261210115882</v>
      </c>
      <c r="Z221">
        <f t="shared" si="78"/>
        <v>8.3540864027756179</v>
      </c>
      <c r="AA221">
        <f t="shared" si="72"/>
        <v>0.85365034651758087</v>
      </c>
      <c r="AB221">
        <f t="shared" si="73"/>
        <v>2.4810967492931981</v>
      </c>
      <c r="AC221">
        <f t="shared" si="74"/>
        <v>8.7854947918622415</v>
      </c>
      <c r="AD221">
        <f t="shared" si="75"/>
        <v>0.42224195743095727</v>
      </c>
    </row>
    <row r="222" spans="1:30">
      <c r="A222">
        <v>220</v>
      </c>
      <c r="B222">
        <v>10.770469931221513</v>
      </c>
      <c r="C222">
        <f t="shared" si="79"/>
        <v>8.1726949130823314</v>
      </c>
      <c r="D222">
        <f t="shared" si="79"/>
        <v>8.9911812736626153</v>
      </c>
      <c r="E222">
        <f t="shared" si="80"/>
        <v>8.5944606704115447</v>
      </c>
      <c r="F222">
        <f t="shared" si="83"/>
        <v>8.8158467017543902</v>
      </c>
      <c r="G222">
        <f t="shared" si="83"/>
        <v>8.4350287565599373</v>
      </c>
      <c r="H222">
        <f t="shared" si="83"/>
        <v>8.3866208929212096</v>
      </c>
      <c r="I222">
        <f t="shared" si="66"/>
        <v>-2.383849038300303</v>
      </c>
      <c r="J222">
        <f t="shared" si="81"/>
        <v>8.9336174147184231</v>
      </c>
      <c r="K222">
        <f t="shared" si="85"/>
        <v>8.5537660913871978</v>
      </c>
      <c r="L222">
        <f t="shared" si="85"/>
        <v>8.3957290258985893</v>
      </c>
      <c r="M222">
        <f t="shared" si="85"/>
        <v>7.9807962684099341</v>
      </c>
      <c r="N222">
        <f t="shared" si="67"/>
        <v>-2.7896736628115786</v>
      </c>
      <c r="O222">
        <f t="shared" si="82"/>
        <v>9.3009879180190413</v>
      </c>
      <c r="P222">
        <f t="shared" si="86"/>
        <v>8.6006125487141496</v>
      </c>
      <c r="Q222">
        <f t="shared" si="84"/>
        <v>8.4645646214600294</v>
      </c>
      <c r="R222">
        <f t="shared" si="87"/>
        <v>8.4356749436363572</v>
      </c>
      <c r="S222">
        <f t="shared" si="87"/>
        <v>7.8253834869044994</v>
      </c>
      <c r="T222">
        <f t="shared" si="68"/>
        <v>-2.9450864443170133</v>
      </c>
      <c r="U222">
        <f t="shared" si="69"/>
        <v>2.9450864443170133</v>
      </c>
      <c r="V222">
        <f t="shared" si="76"/>
        <v>8.0915572842468251</v>
      </c>
      <c r="W222">
        <f t="shared" si="70"/>
        <v>2.6789126469746876</v>
      </c>
      <c r="X222">
        <f t="shared" si="77"/>
        <v>8.4692358524839282</v>
      </c>
      <c r="Y222">
        <f t="shared" si="71"/>
        <v>2.3012340787375845</v>
      </c>
      <c r="Z222">
        <f t="shared" si="78"/>
        <v>8.6101815067308927</v>
      </c>
      <c r="AA222">
        <f t="shared" si="72"/>
        <v>2.16028842449062</v>
      </c>
      <c r="AB222">
        <f t="shared" si="73"/>
        <v>4.038269931221512</v>
      </c>
      <c r="AC222">
        <f t="shared" si="74"/>
        <v>8.8330769489408887</v>
      </c>
      <c r="AD222">
        <f t="shared" si="75"/>
        <v>1.937392982280624</v>
      </c>
    </row>
    <row r="223" spans="1:30">
      <c r="A223">
        <v>221</v>
      </c>
      <c r="B223">
        <v>10.683800778049719</v>
      </c>
      <c r="C223">
        <f t="shared" si="79"/>
        <v>9.9891033402573548</v>
      </c>
      <c r="D223">
        <f t="shared" si="79"/>
        <v>8.2302587720265237</v>
      </c>
      <c r="E223">
        <f t="shared" si="80"/>
        <v>9.0386199191287258</v>
      </c>
      <c r="F223">
        <f t="shared" si="83"/>
        <v>8.9024440677220671</v>
      </c>
      <c r="G223">
        <f t="shared" si="83"/>
        <v>8.5416997379843789</v>
      </c>
      <c r="H223">
        <f t="shared" si="83"/>
        <v>8.4391719985908882</v>
      </c>
      <c r="I223">
        <f t="shared" si="66"/>
        <v>-2.2446287794588304</v>
      </c>
      <c r="J223">
        <f t="shared" si="81"/>
        <v>9.1384629856140371</v>
      </c>
      <c r="K223">
        <f t="shared" si="85"/>
        <v>8.7153521356428847</v>
      </c>
      <c r="L223">
        <f t="shared" si="85"/>
        <v>8.4594498723677489</v>
      </c>
      <c r="M223">
        <f t="shared" si="85"/>
        <v>8.1756723133989677</v>
      </c>
      <c r="N223">
        <f t="shared" si="67"/>
        <v>-2.5081284646507509</v>
      </c>
      <c r="O223">
        <f t="shared" si="82"/>
        <v>9.4475305441011734</v>
      </c>
      <c r="P223">
        <f t="shared" si="86"/>
        <v>8.763986668446563</v>
      </c>
      <c r="Q223">
        <f t="shared" si="84"/>
        <v>9.154623574344944</v>
      </c>
      <c r="R223">
        <f t="shared" si="87"/>
        <v>8.4350362640031307</v>
      </c>
      <c r="S223">
        <f t="shared" si="87"/>
        <v>8.0166096909496307</v>
      </c>
      <c r="T223">
        <f t="shared" si="68"/>
        <v>-2.6671910871000879</v>
      </c>
      <c r="U223">
        <f t="shared" si="69"/>
        <v>2.6671910871000879</v>
      </c>
      <c r="V223">
        <f t="shared" si="76"/>
        <v>8.3594485489442931</v>
      </c>
      <c r="W223">
        <f t="shared" si="70"/>
        <v>2.3243522291054255</v>
      </c>
      <c r="X223">
        <f t="shared" si="77"/>
        <v>8.9294826682314454</v>
      </c>
      <c r="Y223">
        <f t="shared" si="71"/>
        <v>1.7543181098182732</v>
      </c>
      <c r="Z223">
        <f t="shared" si="78"/>
        <v>9.2582680340780783</v>
      </c>
      <c r="AA223">
        <f t="shared" si="72"/>
        <v>1.4255327439716403</v>
      </c>
      <c r="AB223">
        <f t="shared" si="73"/>
        <v>3.946040778049718</v>
      </c>
      <c r="AC223">
        <f t="shared" si="74"/>
        <v>8.8802815933836694</v>
      </c>
      <c r="AD223">
        <f t="shared" si="75"/>
        <v>1.8035191846660492</v>
      </c>
    </row>
    <row r="224" spans="1:30">
      <c r="A224">
        <v>222</v>
      </c>
      <c r="B224">
        <v>8.2562843554948167</v>
      </c>
      <c r="C224">
        <f t="shared" si="79"/>
        <v>10.727135354635616</v>
      </c>
      <c r="D224">
        <f t="shared" si="79"/>
        <v>9.0808991266698431</v>
      </c>
      <c r="E224">
        <f t="shared" si="80"/>
        <v>10.220669152854809</v>
      </c>
      <c r="F224">
        <f t="shared" si="83"/>
        <v>8.8251082975779216</v>
      </c>
      <c r="G224">
        <f t="shared" si="83"/>
        <v>8.7647795750785207</v>
      </c>
      <c r="H224">
        <f t="shared" si="83"/>
        <v>8.4649858536629186</v>
      </c>
      <c r="I224">
        <f t="shared" si="66"/>
        <v>0.20870149816810191</v>
      </c>
      <c r="J224">
        <f t="shared" si="81"/>
        <v>9.4499151338589726</v>
      </c>
      <c r="K224">
        <f t="shared" si="85"/>
        <v>8.8549908918425189</v>
      </c>
      <c r="L224">
        <f t="shared" si="85"/>
        <v>8.5567721105864152</v>
      </c>
      <c r="M224">
        <f t="shared" si="85"/>
        <v>8.3117058609741612</v>
      </c>
      <c r="N224">
        <f t="shared" si="67"/>
        <v>5.5421505479344546E-2</v>
      </c>
      <c r="O224">
        <f t="shared" si="82"/>
        <v>9.21118897818614</v>
      </c>
      <c r="P224">
        <f t="shared" si="86"/>
        <v>8.9294855533299291</v>
      </c>
      <c r="Q224">
        <f t="shared" si="84"/>
        <v>9.5314567280241533</v>
      </c>
      <c r="R224">
        <f t="shared" si="87"/>
        <v>8.6257132736271895</v>
      </c>
      <c r="S224">
        <f t="shared" si="87"/>
        <v>8.1620954471303779</v>
      </c>
      <c r="T224">
        <f t="shared" si="68"/>
        <v>-9.4188908364438717E-2</v>
      </c>
      <c r="U224">
        <f t="shared" si="69"/>
        <v>9.4188908364438717E-2</v>
      </c>
      <c r="V224">
        <f t="shared" si="76"/>
        <v>8.5918837718548353</v>
      </c>
      <c r="W224">
        <f t="shared" si="70"/>
        <v>-0.33559941636001867</v>
      </c>
      <c r="X224">
        <f t="shared" si="77"/>
        <v>9.2803462901950997</v>
      </c>
      <c r="Y224">
        <f t="shared" si="71"/>
        <v>-1.0240619347002831</v>
      </c>
      <c r="Z224">
        <f t="shared" si="78"/>
        <v>9.6859278572695704</v>
      </c>
      <c r="AA224">
        <f t="shared" si="72"/>
        <v>-1.4296435017747537</v>
      </c>
      <c r="AB224">
        <f t="shared" si="73"/>
        <v>1.512964355494816</v>
      </c>
      <c r="AC224">
        <f t="shared" si="74"/>
        <v>8.9270958214213874</v>
      </c>
      <c r="AD224">
        <f t="shared" si="75"/>
        <v>-0.6708114659265707</v>
      </c>
    </row>
    <row r="225" spans="1:30">
      <c r="A225">
        <v>223</v>
      </c>
      <c r="B225">
        <v>7.7819018559831399</v>
      </c>
      <c r="C225">
        <f t="shared" si="79"/>
        <v>9.4700425667722676</v>
      </c>
      <c r="D225">
        <f t="shared" si="79"/>
        <v>10.358119347446486</v>
      </c>
      <c r="E225">
        <f t="shared" si="80"/>
        <v>9.9035183549220154</v>
      </c>
      <c r="F225">
        <f t="shared" si="83"/>
        <v>9.2845832474650276</v>
      </c>
      <c r="G225">
        <f t="shared" si="83"/>
        <v>8.8477996890181263</v>
      </c>
      <c r="H225">
        <f t="shared" si="83"/>
        <v>8.5805026898742796</v>
      </c>
      <c r="I225">
        <f t="shared" si="66"/>
        <v>0.79860083389113967</v>
      </c>
      <c r="J225">
        <f t="shared" si="81"/>
        <v>9.7295729535148112</v>
      </c>
      <c r="K225">
        <f t="shared" si="85"/>
        <v>9.064844806395044</v>
      </c>
      <c r="L225">
        <f t="shared" si="85"/>
        <v>8.6545977084283159</v>
      </c>
      <c r="M225">
        <f t="shared" si="85"/>
        <v>8.4229356166463205</v>
      </c>
      <c r="N225">
        <f t="shared" si="67"/>
        <v>0.64103376066318063</v>
      </c>
      <c r="O225">
        <f t="shared" si="82"/>
        <v>9.340038734008477</v>
      </c>
      <c r="P225">
        <f t="shared" si="86"/>
        <v>9.0214183878338758</v>
      </c>
      <c r="Q225">
        <f t="shared" si="84"/>
        <v>9.24898951266678</v>
      </c>
      <c r="R225">
        <f t="shared" si="87"/>
        <v>8.853027602113718</v>
      </c>
      <c r="S225">
        <f t="shared" si="87"/>
        <v>8.3157055707628071</v>
      </c>
      <c r="T225">
        <f t="shared" si="68"/>
        <v>0.53380371477966726</v>
      </c>
      <c r="U225">
        <f t="shared" si="69"/>
        <v>-0.53380371477966726</v>
      </c>
      <c r="V225">
        <f t="shared" si="76"/>
        <v>8.5583238302188338</v>
      </c>
      <c r="W225">
        <f t="shared" si="70"/>
        <v>-0.77642197423569392</v>
      </c>
      <c r="X225">
        <f t="shared" si="77"/>
        <v>9.0755339032550424</v>
      </c>
      <c r="Y225">
        <f t="shared" si="71"/>
        <v>-1.2936320472719025</v>
      </c>
      <c r="Z225">
        <f t="shared" si="78"/>
        <v>9.2570348067371437</v>
      </c>
      <c r="AA225">
        <f t="shared" si="72"/>
        <v>-1.4751329507540039</v>
      </c>
      <c r="AB225">
        <f t="shared" si="73"/>
        <v>1.0330218559831401</v>
      </c>
      <c r="AC225">
        <f t="shared" si="74"/>
        <v>8.9735068377313336</v>
      </c>
      <c r="AD225">
        <f t="shared" si="75"/>
        <v>-1.1916049817481937</v>
      </c>
    </row>
    <row r="226" spans="1:30">
      <c r="A226">
        <v>224</v>
      </c>
      <c r="B226">
        <v>10.083002743870408</v>
      </c>
      <c r="C226">
        <f t="shared" si="79"/>
        <v>8.0190931057389783</v>
      </c>
      <c r="D226">
        <f t="shared" si="79"/>
        <v>10.098588960703943</v>
      </c>
      <c r="E226">
        <f t="shared" si="80"/>
        <v>8.907328996509225</v>
      </c>
      <c r="F226">
        <f t="shared" si="83"/>
        <v>9.7209358089685178</v>
      </c>
      <c r="G226">
        <f t="shared" si="83"/>
        <v>9.0040452042550054</v>
      </c>
      <c r="H226">
        <f t="shared" si="83"/>
        <v>8.7180930006936759</v>
      </c>
      <c r="I226">
        <f t="shared" si="66"/>
        <v>-1.3649097431767316</v>
      </c>
      <c r="J226">
        <f t="shared" si="81"/>
        <v>9.3731142301872978</v>
      </c>
      <c r="K226">
        <f t="shared" si="85"/>
        <v>9.312892121926561</v>
      </c>
      <c r="L226">
        <f t="shared" si="85"/>
        <v>8.7972384813169118</v>
      </c>
      <c r="M226">
        <f t="shared" si="85"/>
        <v>8.5166371793202664</v>
      </c>
      <c r="N226">
        <f t="shared" si="67"/>
        <v>-1.5663655645501411</v>
      </c>
      <c r="O226">
        <f t="shared" si="82"/>
        <v>9.5150919329239194</v>
      </c>
      <c r="P226">
        <f t="shared" si="86"/>
        <v>9.2262400954568928</v>
      </c>
      <c r="Q226">
        <f t="shared" si="84"/>
        <v>8.9729744578189727</v>
      </c>
      <c r="R226">
        <f t="shared" si="87"/>
        <v>8.9397571252130721</v>
      </c>
      <c r="S226">
        <f t="shared" si="87"/>
        <v>8.4774252459944837</v>
      </c>
      <c r="T226">
        <f t="shared" si="68"/>
        <v>-1.6055774978759239</v>
      </c>
      <c r="U226">
        <f t="shared" si="69"/>
        <v>1.6055774978759239</v>
      </c>
      <c r="V226">
        <f t="shared" si="76"/>
        <v>8.4806816327952639</v>
      </c>
      <c r="W226">
        <f t="shared" si="70"/>
        <v>1.6023211110751436</v>
      </c>
      <c r="X226">
        <f t="shared" si="77"/>
        <v>8.8168074938006615</v>
      </c>
      <c r="Y226">
        <f t="shared" si="71"/>
        <v>1.266195250069746</v>
      </c>
      <c r="Z226">
        <f t="shared" si="78"/>
        <v>8.814494921510942</v>
      </c>
      <c r="AA226">
        <f t="shared" si="72"/>
        <v>1.2685078223594655</v>
      </c>
      <c r="AB226">
        <f t="shared" si="73"/>
        <v>3.3285627438704068</v>
      </c>
      <c r="AC226">
        <f t="shared" si="74"/>
        <v>9.0195019589914658</v>
      </c>
      <c r="AD226">
        <f t="shared" si="75"/>
        <v>1.0635007848789417</v>
      </c>
    </row>
    <row r="227" spans="1:30">
      <c r="A227">
        <v>225</v>
      </c>
      <c r="B227">
        <v>9.7327796304268333</v>
      </c>
      <c r="C227">
        <f t="shared" si="79"/>
        <v>8.9324522999267728</v>
      </c>
      <c r="D227">
        <f t="shared" si="79"/>
        <v>8.744567836255623</v>
      </c>
      <c r="E227">
        <f t="shared" si="80"/>
        <v>8.7070629851161225</v>
      </c>
      <c r="F227">
        <f t="shared" si="83"/>
        <v>9.6771721680953497</v>
      </c>
      <c r="G227">
        <f t="shared" si="83"/>
        <v>9.276875784670489</v>
      </c>
      <c r="H227">
        <f t="shared" si="83"/>
        <v>8.8722081561172175</v>
      </c>
      <c r="I227">
        <f t="shared" si="66"/>
        <v>-0.86057147430961578</v>
      </c>
      <c r="J227">
        <f t="shared" si="81"/>
        <v>9.2012474333495202</v>
      </c>
      <c r="K227">
        <f t="shared" si="85"/>
        <v>9.4227663257937806</v>
      </c>
      <c r="L227">
        <f t="shared" si="85"/>
        <v>8.9870199889517526</v>
      </c>
      <c r="M227">
        <f t="shared" si="85"/>
        <v>8.6170145431748484</v>
      </c>
      <c r="N227">
        <f t="shared" si="67"/>
        <v>-1.1157650872519849</v>
      </c>
      <c r="O227">
        <f t="shared" si="82"/>
        <v>9.3075538727649825</v>
      </c>
      <c r="P227">
        <f t="shared" si="86"/>
        <v>9.3629676214477513</v>
      </c>
      <c r="Q227">
        <f t="shared" si="84"/>
        <v>9.4638660689854657</v>
      </c>
      <c r="R227">
        <f t="shared" si="87"/>
        <v>8.9758591797525753</v>
      </c>
      <c r="S227">
        <f t="shared" si="87"/>
        <v>8.6062812930726675</v>
      </c>
      <c r="T227">
        <f t="shared" si="68"/>
        <v>-1.1264983373541657</v>
      </c>
      <c r="U227">
        <f t="shared" si="69"/>
        <v>1.1264983373541657</v>
      </c>
      <c r="V227">
        <f t="shared" si="76"/>
        <v>8.6409137439027788</v>
      </c>
      <c r="W227">
        <f t="shared" si="70"/>
        <v>1.0918658865240545</v>
      </c>
      <c r="X227">
        <f t="shared" si="77"/>
        <v>9.0700465438146107</v>
      </c>
      <c r="Y227">
        <f t="shared" si="71"/>
        <v>0.66273308661222252</v>
      </c>
      <c r="Z227">
        <f t="shared" si="78"/>
        <v>9.1950472682187812</v>
      </c>
      <c r="AA227">
        <f t="shared" si="72"/>
        <v>0.53773236220805209</v>
      </c>
      <c r="AB227">
        <f t="shared" si="73"/>
        <v>2.9727796304268335</v>
      </c>
      <c r="AC227">
        <f t="shared" si="74"/>
        <v>9.0650686174034689</v>
      </c>
      <c r="AD227">
        <f t="shared" si="75"/>
        <v>0.66771101302336433</v>
      </c>
    </row>
    <row r="228" spans="1:30">
      <c r="A228">
        <v>226</v>
      </c>
      <c r="B228">
        <v>8.2638154595866524</v>
      </c>
      <c r="C228">
        <f t="shared" si="79"/>
        <v>9.9078911871486213</v>
      </c>
      <c r="D228">
        <f t="shared" si="79"/>
        <v>8.4757727028328755</v>
      </c>
      <c r="E228">
        <f t="shared" si="80"/>
        <v>9.1992280767601269</v>
      </c>
      <c r="F228">
        <f t="shared" si="83"/>
        <v>9.1726367788491228</v>
      </c>
      <c r="G228">
        <f t="shared" si="83"/>
        <v>9.5608970748429645</v>
      </c>
      <c r="H228">
        <f t="shared" si="83"/>
        <v>9.0429068926478724</v>
      </c>
      <c r="I228">
        <f t="shared" si="66"/>
        <v>0.77909143306121997</v>
      </c>
      <c r="J228">
        <f t="shared" si="81"/>
        <v>8.9634921464437998</v>
      </c>
      <c r="K228">
        <f t="shared" si="85"/>
        <v>9.4384624377276509</v>
      </c>
      <c r="L228">
        <f t="shared" si="85"/>
        <v>9.1638735364894757</v>
      </c>
      <c r="M228">
        <f t="shared" si="85"/>
        <v>8.7489070723208489</v>
      </c>
      <c r="N228">
        <f t="shared" si="67"/>
        <v>0.48509161273419643</v>
      </c>
      <c r="O228">
        <f t="shared" si="82"/>
        <v>8.8235568090723699</v>
      </c>
      <c r="P228">
        <f t="shared" si="86"/>
        <v>9.3642808123969381</v>
      </c>
      <c r="Q228">
        <f t="shared" si="84"/>
        <v>9.5513732158410729</v>
      </c>
      <c r="R228">
        <f t="shared" si="87"/>
        <v>9.1394124938833912</v>
      </c>
      <c r="S228">
        <f t="shared" si="87"/>
        <v>8.710844731391008</v>
      </c>
      <c r="T228">
        <f t="shared" si="68"/>
        <v>0.44702927180435559</v>
      </c>
      <c r="U228">
        <f t="shared" si="69"/>
        <v>-0.44702927180435559</v>
      </c>
      <c r="V228">
        <f t="shared" si="76"/>
        <v>8.7501003325551849</v>
      </c>
      <c r="W228">
        <f t="shared" si="70"/>
        <v>-0.48628487296853251</v>
      </c>
      <c r="X228">
        <f t="shared" si="77"/>
        <v>9.2025931611370559</v>
      </c>
      <c r="Y228">
        <f t="shared" si="71"/>
        <v>-0.93877770155040352</v>
      </c>
      <c r="Z228">
        <f t="shared" si="78"/>
        <v>9.3563669768811977</v>
      </c>
      <c r="AA228">
        <f t="shared" si="72"/>
        <v>-1.0925515172945452</v>
      </c>
      <c r="AB228">
        <f t="shared" si="73"/>
        <v>1.4982554595866517</v>
      </c>
      <c r="AC228">
        <f t="shared" si="74"/>
        <v>9.1101943641837355</v>
      </c>
      <c r="AD228">
        <f t="shared" si="75"/>
        <v>-0.84637890459708309</v>
      </c>
    </row>
    <row r="229" spans="1:30">
      <c r="A229">
        <v>227</v>
      </c>
      <c r="B229">
        <v>9.8693538117424779</v>
      </c>
      <c r="C229">
        <f t="shared" si="79"/>
        <v>8.9982975450067428</v>
      </c>
      <c r="D229">
        <f t="shared" si="79"/>
        <v>9.420171743537697</v>
      </c>
      <c r="E229">
        <f t="shared" si="80"/>
        <v>9.3598659446279644</v>
      </c>
      <c r="F229">
        <f t="shared" si="83"/>
        <v>8.9378733527951582</v>
      </c>
      <c r="G229">
        <f t="shared" si="83"/>
        <v>9.5235815853043295</v>
      </c>
      <c r="H229">
        <f t="shared" si="83"/>
        <v>9.280606021256153</v>
      </c>
      <c r="I229">
        <f t="shared" si="66"/>
        <v>-0.58874779048632497</v>
      </c>
      <c r="J229">
        <f t="shared" si="81"/>
        <v>8.9653749224667578</v>
      </c>
      <c r="K229">
        <f t="shared" si="85"/>
        <v>9.3168566908738573</v>
      </c>
      <c r="L229">
        <f t="shared" si="85"/>
        <v>9.3097414229607587</v>
      </c>
      <c r="M229">
        <f t="shared" si="85"/>
        <v>8.900682428796614</v>
      </c>
      <c r="N229">
        <f t="shared" si="67"/>
        <v>-0.96867138294586397</v>
      </c>
      <c r="O229">
        <f t="shared" si="82"/>
        <v>9.1461707003219015</v>
      </c>
      <c r="P229">
        <f t="shared" si="86"/>
        <v>9.2394860653911781</v>
      </c>
      <c r="Q229">
        <f t="shared" si="84"/>
        <v>9.1335974705685938</v>
      </c>
      <c r="R229">
        <f t="shared" si="87"/>
        <v>9.3205472596135657</v>
      </c>
      <c r="S229">
        <f t="shared" si="87"/>
        <v>8.8281343230988458</v>
      </c>
      <c r="T229">
        <f t="shared" si="68"/>
        <v>-1.0412194886436321</v>
      </c>
      <c r="U229">
        <f t="shared" si="69"/>
        <v>1.0412194886436321</v>
      </c>
      <c r="V229">
        <f t="shared" si="76"/>
        <v>8.7014718452583324</v>
      </c>
      <c r="W229">
        <f t="shared" si="70"/>
        <v>1.1678819664841456</v>
      </c>
      <c r="X229">
        <f t="shared" si="77"/>
        <v>9.0148376208269756</v>
      </c>
      <c r="Y229">
        <f t="shared" si="71"/>
        <v>0.85451619091550235</v>
      </c>
      <c r="Z229">
        <f t="shared" si="78"/>
        <v>9.0286015216928348</v>
      </c>
      <c r="AA229">
        <f t="shared" si="72"/>
        <v>0.84075229004964314</v>
      </c>
      <c r="AB229">
        <f t="shared" si="73"/>
        <v>3.0982338117424781</v>
      </c>
      <c r="AC229">
        <f t="shared" si="74"/>
        <v>9.1548668730212714</v>
      </c>
      <c r="AD229">
        <f t="shared" si="75"/>
        <v>0.7144869387212065</v>
      </c>
    </row>
    <row r="230" spans="1:30">
      <c r="A230">
        <v>228</v>
      </c>
      <c r="B230">
        <v>7.9124025578814088</v>
      </c>
      <c r="C230">
        <f t="shared" si="79"/>
        <v>9.0665846356645652</v>
      </c>
      <c r="D230">
        <f t="shared" si="79"/>
        <v>9.4530943660776821</v>
      </c>
      <c r="E230">
        <f t="shared" si="80"/>
        <v>9.2886496339186539</v>
      </c>
      <c r="F230">
        <f t="shared" si="83"/>
        <v>9.0887190021680713</v>
      </c>
      <c r="G230">
        <f t="shared" si="83"/>
        <v>9.2625607665798757</v>
      </c>
      <c r="H230">
        <f t="shared" si="83"/>
        <v>9.4537848149392616</v>
      </c>
      <c r="I230">
        <f t="shared" si="66"/>
        <v>1.5413822570578528</v>
      </c>
      <c r="J230">
        <f t="shared" si="81"/>
        <v>9.4872379114065932</v>
      </c>
      <c r="K230">
        <f t="shared" si="85"/>
        <v>9.1258071831118439</v>
      </c>
      <c r="L230">
        <f t="shared" si="85"/>
        <v>9.3727443940804616</v>
      </c>
      <c r="M230">
        <f t="shared" si="85"/>
        <v>9.0644683574297247</v>
      </c>
      <c r="N230">
        <f t="shared" si="67"/>
        <v>1.1520657995483159</v>
      </c>
      <c r="O230">
        <f t="shared" si="82"/>
        <v>9.1722708407015556</v>
      </c>
      <c r="P230">
        <f t="shared" si="86"/>
        <v>9.2264824098183311</v>
      </c>
      <c r="Q230">
        <f t="shared" si="84"/>
        <v>8.9978563095173882</v>
      </c>
      <c r="R230">
        <f t="shared" si="87"/>
        <v>9.317042908984174</v>
      </c>
      <c r="S230">
        <f t="shared" si="87"/>
        <v>8.9757194890339189</v>
      </c>
      <c r="T230">
        <f t="shared" si="68"/>
        <v>1.0633169311525101</v>
      </c>
      <c r="U230">
        <f t="shared" si="69"/>
        <v>-1.0633169311525101</v>
      </c>
      <c r="V230">
        <f t="shared" si="76"/>
        <v>8.8182600419067469</v>
      </c>
      <c r="W230">
        <f t="shared" si="70"/>
        <v>-0.90585748402533817</v>
      </c>
      <c r="X230">
        <f t="shared" si="77"/>
        <v>9.1857408590100764</v>
      </c>
      <c r="Y230">
        <f t="shared" si="71"/>
        <v>-1.2733383011286676</v>
      </c>
      <c r="Z230">
        <f t="shared" si="78"/>
        <v>9.280827208707727</v>
      </c>
      <c r="AA230">
        <f t="shared" si="72"/>
        <v>-1.3684246508263183</v>
      </c>
      <c r="AB230">
        <f t="shared" si="73"/>
        <v>1.1357225578814081</v>
      </c>
      <c r="AC230">
        <f t="shared" si="74"/>
        <v>9.1990739435015989</v>
      </c>
      <c r="AD230">
        <f t="shared" si="75"/>
        <v>-1.2866713856201901</v>
      </c>
    </row>
    <row r="231" spans="1:30">
      <c r="A231">
        <v>229</v>
      </c>
      <c r="B231">
        <v>8.7603469196047925</v>
      </c>
      <c r="C231">
        <f t="shared" si="79"/>
        <v>8.8908781848119425</v>
      </c>
      <c r="D231">
        <f t="shared" si="79"/>
        <v>9.032441090335654</v>
      </c>
      <c r="E231">
        <f t="shared" si="80"/>
        <v>8.6818572764035125</v>
      </c>
      <c r="F231">
        <f t="shared" si="83"/>
        <v>9.2825812184355811</v>
      </c>
      <c r="G231">
        <f t="shared" si="83"/>
        <v>9.0664097112707847</v>
      </c>
      <c r="H231">
        <f t="shared" si="83"/>
        <v>9.4490131422423911</v>
      </c>
      <c r="I231">
        <f t="shared" si="66"/>
        <v>0.68866622263759858</v>
      </c>
      <c r="J231">
        <f t="shared" si="81"/>
        <v>8.9445878649093427</v>
      </c>
      <c r="K231">
        <f t="shared" si="85"/>
        <v>9.1543381034166682</v>
      </c>
      <c r="L231">
        <f t="shared" si="85"/>
        <v>9.3259731593767832</v>
      </c>
      <c r="M231">
        <f t="shared" si="85"/>
        <v>9.2083448356206112</v>
      </c>
      <c r="N231">
        <f t="shared" si="67"/>
        <v>0.44799791601581873</v>
      </c>
      <c r="O231">
        <f t="shared" si="82"/>
        <v>8.9077396758484326</v>
      </c>
      <c r="P231">
        <f t="shared" si="86"/>
        <v>9.1929288311569461</v>
      </c>
      <c r="Q231">
        <f t="shared" si="84"/>
        <v>8.9405426765818188</v>
      </c>
      <c r="R231">
        <f t="shared" si="87"/>
        <v>9.2281095058997131</v>
      </c>
      <c r="S231">
        <f t="shared" si="87"/>
        <v>9.09094109492675</v>
      </c>
      <c r="T231">
        <f t="shared" si="68"/>
        <v>0.33059417532195745</v>
      </c>
      <c r="U231">
        <f t="shared" si="69"/>
        <v>-0.33059417532195745</v>
      </c>
      <c r="V231">
        <f t="shared" si="76"/>
        <v>8.7276742935042133</v>
      </c>
      <c r="W231">
        <f t="shared" si="70"/>
        <v>3.2672626100579194E-2</v>
      </c>
      <c r="X231">
        <f t="shared" si="77"/>
        <v>8.9310731987843432</v>
      </c>
      <c r="Y231">
        <f t="shared" si="71"/>
        <v>-0.17072627917955074</v>
      </c>
      <c r="Z231">
        <f t="shared" si="78"/>
        <v>8.8702998134598321</v>
      </c>
      <c r="AA231">
        <f t="shared" si="72"/>
        <v>-0.10995289385503959</v>
      </c>
      <c r="AB231">
        <f t="shared" si="73"/>
        <v>1.9781069196047927</v>
      </c>
      <c r="AC231">
        <f t="shared" si="74"/>
        <v>9.2428035044956776</v>
      </c>
      <c r="AD231">
        <f t="shared" si="75"/>
        <v>-0.48245658489088505</v>
      </c>
    </row>
    <row r="232" spans="1:30">
      <c r="A232">
        <v>230</v>
      </c>
      <c r="B232">
        <v>7.0110737308126359</v>
      </c>
      <c r="C232">
        <f t="shared" si="79"/>
        <v>8.3363747387430998</v>
      </c>
      <c r="D232">
        <f t="shared" si="79"/>
        <v>8.9787314102382538</v>
      </c>
      <c r="E232">
        <f t="shared" si="80"/>
        <v>8.8473677630762264</v>
      </c>
      <c r="F232">
        <f t="shared" si="83"/>
        <v>9.1101242849833763</v>
      </c>
      <c r="G232">
        <f t="shared" si="83"/>
        <v>9.1030578577996035</v>
      </c>
      <c r="H232">
        <f t="shared" si="83"/>
        <v>9.2841840210516633</v>
      </c>
      <c r="I232">
        <f t="shared" si="66"/>
        <v>2.2731102902390274</v>
      </c>
      <c r="J232">
        <f t="shared" si="81"/>
        <v>8.7014796872038325</v>
      </c>
      <c r="K232">
        <f t="shared" si="85"/>
        <v>9.0901732113066238</v>
      </c>
      <c r="L232">
        <f t="shared" si="85"/>
        <v>9.2588661037825055</v>
      </c>
      <c r="M232">
        <f t="shared" si="85"/>
        <v>9.2930831282268684</v>
      </c>
      <c r="N232">
        <f t="shared" si="67"/>
        <v>2.2820093974142326</v>
      </c>
      <c r="O232">
        <f t="shared" si="82"/>
        <v>8.3633984959255923</v>
      </c>
      <c r="P232">
        <f t="shared" si="86"/>
        <v>9.0714583797418484</v>
      </c>
      <c r="Q232">
        <f t="shared" si="84"/>
        <v>9.1036168538520954</v>
      </c>
      <c r="R232">
        <f t="shared" si="87"/>
        <v>9.1767016998855535</v>
      </c>
      <c r="S232">
        <f t="shared" si="87"/>
        <v>9.1534547455577471</v>
      </c>
      <c r="T232">
        <f t="shared" si="68"/>
        <v>2.1423810147451112</v>
      </c>
      <c r="U232">
        <f t="shared" si="69"/>
        <v>-2.1423810147451112</v>
      </c>
      <c r="V232">
        <f t="shared" si="76"/>
        <v>8.7309415561142707</v>
      </c>
      <c r="W232">
        <f t="shared" si="70"/>
        <v>-1.7198678253016348</v>
      </c>
      <c r="X232">
        <f t="shared" si="77"/>
        <v>8.8969279429484338</v>
      </c>
      <c r="Y232">
        <f t="shared" si="71"/>
        <v>-1.885854212135798</v>
      </c>
      <c r="Z232">
        <f t="shared" si="78"/>
        <v>8.83731394530332</v>
      </c>
      <c r="AA232">
        <f t="shared" si="72"/>
        <v>-1.8262402144906842</v>
      </c>
      <c r="AB232">
        <f t="shared" si="73"/>
        <v>0.22327373081263513</v>
      </c>
      <c r="AC232">
        <f t="shared" si="74"/>
        <v>9.2860436175129237</v>
      </c>
      <c r="AD232">
        <f t="shared" si="75"/>
        <v>-2.2749698867002879</v>
      </c>
    </row>
    <row r="233" spans="1:30">
      <c r="A233">
        <v>231</v>
      </c>
      <c r="B233">
        <v>9.6234253979331328</v>
      </c>
      <c r="C233">
        <f t="shared" si="79"/>
        <v>7.8857103252087146</v>
      </c>
      <c r="D233">
        <f t="shared" si="79"/>
        <v>8.6136264617775211</v>
      </c>
      <c r="E233">
        <f t="shared" si="80"/>
        <v>7.8946077360996121</v>
      </c>
      <c r="F233">
        <f t="shared" si="83"/>
        <v>8.9392915577994643</v>
      </c>
      <c r="G233">
        <f t="shared" si="83"/>
        <v>9.1604748351956768</v>
      </c>
      <c r="H233">
        <f t="shared" si="83"/>
        <v>9.1440094452167546</v>
      </c>
      <c r="I233">
        <f t="shared" si="66"/>
        <v>-0.47941595271637816</v>
      </c>
      <c r="J233">
        <f t="shared" si="81"/>
        <v>8.3882942550103277</v>
      </c>
      <c r="K233">
        <f t="shared" si="85"/>
        <v>9.0246700964966315</v>
      </c>
      <c r="L233">
        <f t="shared" si="85"/>
        <v>9.1717937971772479</v>
      </c>
      <c r="M233">
        <f t="shared" si="85"/>
        <v>9.3168312700501268</v>
      </c>
      <c r="N233">
        <f t="shared" si="67"/>
        <v>-0.306594127883006</v>
      </c>
      <c r="O233">
        <f t="shared" si="82"/>
        <v>8.6353204835948887</v>
      </c>
      <c r="P233">
        <f t="shared" si="86"/>
        <v>8.8826273043739707</v>
      </c>
      <c r="Q233">
        <f t="shared" si="84"/>
        <v>8.5916286850091321</v>
      </c>
      <c r="R233">
        <f t="shared" si="87"/>
        <v>9.1984754325577391</v>
      </c>
      <c r="S233">
        <f t="shared" si="87"/>
        <v>9.192945508003163</v>
      </c>
      <c r="T233">
        <f t="shared" si="68"/>
        <v>-0.43047988992996977</v>
      </c>
      <c r="U233">
        <f t="shared" si="69"/>
        <v>0.43047988992996977</v>
      </c>
      <c r="V233">
        <f t="shared" si="76"/>
        <v>8.5589547735841069</v>
      </c>
      <c r="W233">
        <f t="shared" si="70"/>
        <v>1.0644706243490258</v>
      </c>
      <c r="X233">
        <f t="shared" si="77"/>
        <v>8.5197571005212751</v>
      </c>
      <c r="Y233">
        <f t="shared" si="71"/>
        <v>1.1036682974118577</v>
      </c>
      <c r="Z233">
        <f t="shared" si="78"/>
        <v>8.2894418809561152</v>
      </c>
      <c r="AA233">
        <f t="shared" si="72"/>
        <v>1.3339835169770176</v>
      </c>
      <c r="AB233">
        <f t="shared" si="73"/>
        <v>2.8300653979331329</v>
      </c>
      <c r="AC233">
        <f t="shared" si="74"/>
        <v>9.3287824800173773</v>
      </c>
      <c r="AD233">
        <f t="shared" si="75"/>
        <v>0.29464291791575548</v>
      </c>
    </row>
    <row r="234" spans="1:30">
      <c r="A234">
        <v>232</v>
      </c>
      <c r="B234">
        <v>9.343609514802159</v>
      </c>
      <c r="C234">
        <f t="shared" si="79"/>
        <v>8.3172495643728848</v>
      </c>
      <c r="D234">
        <f t="shared" si="79"/>
        <v>8.1110425319759081</v>
      </c>
      <c r="E234">
        <f t="shared" si="80"/>
        <v>8.4649486827835201</v>
      </c>
      <c r="F234">
        <f t="shared" si="83"/>
        <v>8.474610925193117</v>
      </c>
      <c r="G234">
        <f t="shared" si="83"/>
        <v>9.1106656870728084</v>
      </c>
      <c r="H234">
        <f t="shared" si="83"/>
        <v>9.1099808014220205</v>
      </c>
      <c r="I234">
        <f t="shared" si="66"/>
        <v>-0.23362871338013846</v>
      </c>
      <c r="J234">
        <f t="shared" si="81"/>
        <v>8.3268121515579914</v>
      </c>
      <c r="K234">
        <f t="shared" si="85"/>
        <v>8.8803999296325244</v>
      </c>
      <c r="L234">
        <f t="shared" si="85"/>
        <v>9.098747148582941</v>
      </c>
      <c r="M234">
        <f t="shared" si="85"/>
        <v>9.2823443636042491</v>
      </c>
      <c r="N234">
        <f t="shared" si="67"/>
        <v>-6.1265151197909873E-2</v>
      </c>
      <c r="O234">
        <f t="shared" si="82"/>
        <v>8.530171624206826</v>
      </c>
      <c r="P234">
        <f t="shared" si="86"/>
        <v>8.8449800392784734</v>
      </c>
      <c r="Q234">
        <f t="shared" si="84"/>
        <v>8.5734029795935154</v>
      </c>
      <c r="R234">
        <f t="shared" si="87"/>
        <v>9.0531025352283496</v>
      </c>
      <c r="S234">
        <f t="shared" si="87"/>
        <v>9.2300482168040237</v>
      </c>
      <c r="T234">
        <f t="shared" si="68"/>
        <v>-0.1135612979981353</v>
      </c>
      <c r="U234">
        <f t="shared" si="69"/>
        <v>0.1135612979981353</v>
      </c>
      <c r="V234">
        <f t="shared" si="76"/>
        <v>8.6654018360190097</v>
      </c>
      <c r="W234">
        <f t="shared" si="70"/>
        <v>0.67820767878314925</v>
      </c>
      <c r="X234">
        <f t="shared" si="77"/>
        <v>8.740490760003647</v>
      </c>
      <c r="Y234">
        <f t="shared" si="71"/>
        <v>0.60311875479851196</v>
      </c>
      <c r="Z234">
        <f t="shared" si="78"/>
        <v>8.6896369360492205</v>
      </c>
      <c r="AA234">
        <f t="shared" si="72"/>
        <v>0.65397257875293846</v>
      </c>
      <c r="AB234">
        <f t="shared" si="73"/>
        <v>2.5446895148021582</v>
      </c>
      <c r="AC234">
        <f t="shared" si="74"/>
        <v>9.3710084287061051</v>
      </c>
      <c r="AD234">
        <f t="shared" si="75"/>
        <v>-2.7398913903946109E-2</v>
      </c>
    </row>
    <row r="235" spans="1:30">
      <c r="A235">
        <v>233</v>
      </c>
      <c r="B235">
        <v>10.199632049924773</v>
      </c>
      <c r="C235">
        <f t="shared" si="79"/>
        <v>9.4835174563676468</v>
      </c>
      <c r="D235">
        <f t="shared" si="79"/>
        <v>8.1014799447907997</v>
      </c>
      <c r="E235">
        <f t="shared" si="80"/>
        <v>8.6593695478493089</v>
      </c>
      <c r="F235">
        <f t="shared" si="83"/>
        <v>8.4023080606531195</v>
      </c>
      <c r="G235">
        <f t="shared" si="83"/>
        <v>8.8413422559919876</v>
      </c>
      <c r="H235">
        <f t="shared" si="83"/>
        <v>9.1247327933560296</v>
      </c>
      <c r="I235">
        <f t="shared" si="66"/>
        <v>-1.0748992565687434</v>
      </c>
      <c r="J235">
        <f t="shared" si="81"/>
        <v>8.6846138907881798</v>
      </c>
      <c r="K235">
        <f t="shared" si="85"/>
        <v>8.5902934896703727</v>
      </c>
      <c r="L235">
        <f t="shared" si="85"/>
        <v>9.0373953352131124</v>
      </c>
      <c r="M235">
        <f t="shared" si="85"/>
        <v>9.2138450522298694</v>
      </c>
      <c r="N235">
        <f t="shared" si="67"/>
        <v>-0.98578699769490363</v>
      </c>
      <c r="O235">
        <f t="shared" si="82"/>
        <v>8.9876175226154977</v>
      </c>
      <c r="P235">
        <f t="shared" si="86"/>
        <v>8.7217802240554594</v>
      </c>
      <c r="Q235">
        <f t="shared" si="84"/>
        <v>8.7533686554627668</v>
      </c>
      <c r="R235">
        <f t="shared" si="87"/>
        <v>8.8901074958537585</v>
      </c>
      <c r="S235">
        <f t="shared" si="87"/>
        <v>9.2156632236948486</v>
      </c>
      <c r="T235">
        <f t="shared" si="68"/>
        <v>-0.98396882622992443</v>
      </c>
      <c r="U235">
        <f t="shared" si="69"/>
        <v>0.98396882622992443</v>
      </c>
      <c r="V235">
        <f t="shared" si="76"/>
        <v>8.7332226038973246</v>
      </c>
      <c r="W235">
        <f t="shared" si="70"/>
        <v>1.4664094460274484</v>
      </c>
      <c r="X235">
        <f t="shared" si="77"/>
        <v>8.8611145109633487</v>
      </c>
      <c r="Y235">
        <f t="shared" si="71"/>
        <v>1.3385175389614243</v>
      </c>
      <c r="Z235">
        <f t="shared" si="78"/>
        <v>8.8858287096751027</v>
      </c>
      <c r="AA235">
        <f t="shared" si="72"/>
        <v>1.3138033402496703</v>
      </c>
      <c r="AB235">
        <f t="shared" si="73"/>
        <v>3.3951520499247732</v>
      </c>
      <c r="AC235">
        <f t="shared" si="74"/>
        <v>9.4127099427489416</v>
      </c>
      <c r="AD235">
        <f t="shared" si="75"/>
        <v>0.78692210717583144</v>
      </c>
    </row>
    <row r="236" spans="1:30">
      <c r="A236">
        <v>234</v>
      </c>
      <c r="B236">
        <v>9.6282121249491368</v>
      </c>
      <c r="C236">
        <f t="shared" si="79"/>
        <v>9.7716207823634669</v>
      </c>
      <c r="D236">
        <f t="shared" si="79"/>
        <v>8.9003835103702649</v>
      </c>
      <c r="E236">
        <f t="shared" si="80"/>
        <v>9.7222223208866883</v>
      </c>
      <c r="F236">
        <f t="shared" si="83"/>
        <v>8.3396419889108131</v>
      </c>
      <c r="G236">
        <f t="shared" si="83"/>
        <v>8.6054035145485681</v>
      </c>
      <c r="H236">
        <f t="shared" si="83"/>
        <v>9.0374942594201571</v>
      </c>
      <c r="I236">
        <f t="shared" si="66"/>
        <v>-0.59071786552897976</v>
      </c>
      <c r="J236">
        <f t="shared" si="81"/>
        <v>9.0444351733681749</v>
      </c>
      <c r="K236">
        <f t="shared" si="85"/>
        <v>8.5252999961400828</v>
      </c>
      <c r="L236">
        <f t="shared" si="85"/>
        <v>8.8963841817765381</v>
      </c>
      <c r="M236">
        <f t="shared" si="85"/>
        <v>9.1417005961889508</v>
      </c>
      <c r="N236">
        <f t="shared" si="67"/>
        <v>-0.486511528760186</v>
      </c>
      <c r="O236">
        <f t="shared" si="82"/>
        <v>9.161190563684368</v>
      </c>
      <c r="P236">
        <f t="shared" si="86"/>
        <v>8.6848495604382467</v>
      </c>
      <c r="Q236">
        <f t="shared" si="84"/>
        <v>8.8084150284931493</v>
      </c>
      <c r="R236">
        <f t="shared" si="87"/>
        <v>8.8267360266694528</v>
      </c>
      <c r="S236">
        <f t="shared" si="87"/>
        <v>9.1439232630682152</v>
      </c>
      <c r="T236">
        <f t="shared" si="68"/>
        <v>-0.48428886188092157</v>
      </c>
      <c r="U236">
        <f t="shared" si="69"/>
        <v>0.48428886188092157</v>
      </c>
      <c r="V236">
        <f t="shared" si="76"/>
        <v>8.8798635485000688</v>
      </c>
      <c r="W236">
        <f t="shared" si="70"/>
        <v>0.74834857644906805</v>
      </c>
      <c r="X236">
        <f t="shared" si="77"/>
        <v>9.1288180187556343</v>
      </c>
      <c r="Y236">
        <f t="shared" si="71"/>
        <v>0.49939410619350255</v>
      </c>
      <c r="Z236">
        <f t="shared" si="78"/>
        <v>9.2799697117500042</v>
      </c>
      <c r="AA236">
        <f t="shared" si="72"/>
        <v>0.34824241319913263</v>
      </c>
      <c r="AB236">
        <f t="shared" si="73"/>
        <v>2.818172124949136</v>
      </c>
      <c r="AC236">
        <f t="shared" si="74"/>
        <v>9.4538756469886351</v>
      </c>
      <c r="AD236">
        <f t="shared" si="75"/>
        <v>0.17433647796050167</v>
      </c>
    </row>
    <row r="237" spans="1:30">
      <c r="A237">
        <v>235</v>
      </c>
      <c r="B237">
        <v>9.4030477266634698</v>
      </c>
      <c r="C237">
        <f t="shared" si="79"/>
        <v>9.9139220874369549</v>
      </c>
      <c r="D237">
        <f t="shared" si="79"/>
        <v>9.6275691193655568</v>
      </c>
      <c r="E237">
        <f t="shared" si="80"/>
        <v>9.7238178965586908</v>
      </c>
      <c r="F237">
        <f t="shared" si="83"/>
        <v>8.9488468505065057</v>
      </c>
      <c r="G237">
        <f t="shared" si="83"/>
        <v>8.4055203249190171</v>
      </c>
      <c r="H237">
        <f t="shared" si="83"/>
        <v>8.8524704858711214</v>
      </c>
      <c r="I237">
        <f t="shared" si="66"/>
        <v>-0.55057724079234838</v>
      </c>
      <c r="J237">
        <f t="shared" si="81"/>
        <v>9.6987197719023008</v>
      </c>
      <c r="K237">
        <f t="shared" si="85"/>
        <v>8.6110388676811667</v>
      </c>
      <c r="L237">
        <f t="shared" si="85"/>
        <v>8.7551658779849024</v>
      </c>
      <c r="M237">
        <f t="shared" si="85"/>
        <v>9.0510801156874603</v>
      </c>
      <c r="N237">
        <f t="shared" si="67"/>
        <v>-0.35196761097600948</v>
      </c>
      <c r="O237">
        <f t="shared" si="82"/>
        <v>9.639585362854536</v>
      </c>
      <c r="P237">
        <f t="shared" si="86"/>
        <v>8.7355397380054338</v>
      </c>
      <c r="Q237">
        <f t="shared" si="84"/>
        <v>9.0943832896711054</v>
      </c>
      <c r="R237">
        <f t="shared" si="87"/>
        <v>8.7951624798320811</v>
      </c>
      <c r="S237">
        <f t="shared" si="87"/>
        <v>9.0622054493490936</v>
      </c>
      <c r="T237">
        <f t="shared" si="68"/>
        <v>-0.34084227731437622</v>
      </c>
      <c r="U237">
        <f t="shared" si="69"/>
        <v>0.34084227731437622</v>
      </c>
      <c r="V237">
        <f t="shared" si="76"/>
        <v>8.9546984061449759</v>
      </c>
      <c r="W237">
        <f t="shared" si="70"/>
        <v>0.44834932051849385</v>
      </c>
      <c r="X237">
        <f t="shared" si="77"/>
        <v>9.2286968399943348</v>
      </c>
      <c r="Y237">
        <f t="shared" si="71"/>
        <v>0.17435088666913501</v>
      </c>
      <c r="Z237">
        <f t="shared" si="78"/>
        <v>9.3844424357097438</v>
      </c>
      <c r="AA237">
        <f t="shared" si="72"/>
        <v>1.8605290953725984E-2</v>
      </c>
      <c r="AB237">
        <f t="shared" si="73"/>
        <v>2.5874477266634699</v>
      </c>
      <c r="AC237">
        <f t="shared" si="74"/>
        <v>9.4944943151005479</v>
      </c>
      <c r="AD237">
        <f t="shared" si="75"/>
        <v>-9.1446588437078091E-2</v>
      </c>
    </row>
    <row r="238" spans="1:30">
      <c r="A238">
        <v>236</v>
      </c>
      <c r="B238">
        <v>10.284073238650322</v>
      </c>
      <c r="C238">
        <f t="shared" si="79"/>
        <v>9.5156299258063033</v>
      </c>
      <c r="D238">
        <f t="shared" si="79"/>
        <v>9.8427714349002109</v>
      </c>
      <c r="E238">
        <f t="shared" si="80"/>
        <v>9.7436306338457932</v>
      </c>
      <c r="F238">
        <f t="shared" si="83"/>
        <v>9.3684699217648966</v>
      </c>
      <c r="G238">
        <f t="shared" si="83"/>
        <v>8.5635989666901455</v>
      </c>
      <c r="H238">
        <f t="shared" si="83"/>
        <v>8.6174220318198582</v>
      </c>
      <c r="I238">
        <f t="shared" si="66"/>
        <v>-1.6666512068304637</v>
      </c>
      <c r="J238">
        <f t="shared" si="81"/>
        <v>9.643625354084886</v>
      </c>
      <c r="K238">
        <f t="shared" si="85"/>
        <v>8.9386452469041622</v>
      </c>
      <c r="L238">
        <f t="shared" si="85"/>
        <v>8.6517580707810371</v>
      </c>
      <c r="M238">
        <f t="shared" si="85"/>
        <v>8.9469231358893726</v>
      </c>
      <c r="N238">
        <f t="shared" si="67"/>
        <v>-1.3371501027609494</v>
      </c>
      <c r="O238">
        <f t="shared" si="82"/>
        <v>9.7717149309979732</v>
      </c>
      <c r="P238">
        <f t="shared" si="86"/>
        <v>8.9907771113912212</v>
      </c>
      <c r="Q238">
        <f t="shared" si="84"/>
        <v>9.201500090847551</v>
      </c>
      <c r="R238">
        <f t="shared" si="87"/>
        <v>8.8208025820136289</v>
      </c>
      <c r="S238">
        <f t="shared" si="87"/>
        <v>8.9900476116711552</v>
      </c>
      <c r="T238">
        <f t="shared" si="68"/>
        <v>-1.2940256269791668</v>
      </c>
      <c r="U238">
        <f t="shared" si="69"/>
        <v>1.2940256269791668</v>
      </c>
      <c r="V238">
        <f t="shared" si="76"/>
        <v>8.9995333381968248</v>
      </c>
      <c r="W238">
        <f t="shared" si="70"/>
        <v>1.2845399004534972</v>
      </c>
      <c r="X238">
        <f t="shared" si="77"/>
        <v>9.2635670173281621</v>
      </c>
      <c r="Y238">
        <f t="shared" si="71"/>
        <v>1.0205062213221598</v>
      </c>
      <c r="Z238">
        <f t="shared" si="78"/>
        <v>9.3900240229958616</v>
      </c>
      <c r="AA238">
        <f t="shared" si="72"/>
        <v>0.89404921565446038</v>
      </c>
      <c r="AB238">
        <f t="shared" si="73"/>
        <v>3.4629132386503212</v>
      </c>
      <c r="AC238">
        <f t="shared" si="74"/>
        <v>9.5345548727110057</v>
      </c>
      <c r="AD238">
        <f t="shared" si="75"/>
        <v>0.74951836593931631</v>
      </c>
    </row>
    <row r="239" spans="1:30">
      <c r="A239">
        <v>237</v>
      </c>
      <c r="B239">
        <v>9.9443257359448953</v>
      </c>
      <c r="C239">
        <f t="shared" si="79"/>
        <v>9.8435604826568959</v>
      </c>
      <c r="D239">
        <f t="shared" si="79"/>
        <v>9.71477600662163</v>
      </c>
      <c r="E239">
        <f t="shared" si="80"/>
        <v>9.7717776967543095</v>
      </c>
      <c r="F239">
        <f t="shared" si="83"/>
        <v>9.7298902837637247</v>
      </c>
      <c r="G239">
        <f t="shared" si="83"/>
        <v>8.8856529203940724</v>
      </c>
      <c r="H239">
        <f t="shared" si="83"/>
        <v>8.5248409353859103</v>
      </c>
      <c r="I239">
        <f t="shared" si="66"/>
        <v>-1.4194848005589851</v>
      </c>
      <c r="J239">
        <f t="shared" si="81"/>
        <v>9.8787412850469245</v>
      </c>
      <c r="K239">
        <f t="shared" si="85"/>
        <v>9.2678485475358858</v>
      </c>
      <c r="L239">
        <f t="shared" si="85"/>
        <v>8.6663194000989456</v>
      </c>
      <c r="M239">
        <f t="shared" si="85"/>
        <v>8.8351758664388971</v>
      </c>
      <c r="N239">
        <f t="shared" si="67"/>
        <v>-1.1091498695059983</v>
      </c>
      <c r="O239">
        <f t="shared" si="82"/>
        <v>9.8918581752265187</v>
      </c>
      <c r="P239">
        <f t="shared" si="86"/>
        <v>9.2180560008718402</v>
      </c>
      <c r="Q239">
        <f t="shared" si="84"/>
        <v>9.7470000088204998</v>
      </c>
      <c r="R239">
        <f t="shared" si="87"/>
        <v>8.8371164548462051</v>
      </c>
      <c r="S239">
        <f t="shared" si="87"/>
        <v>8.9307310920258356</v>
      </c>
      <c r="T239">
        <f t="shared" si="68"/>
        <v>-1.0135946439190597</v>
      </c>
      <c r="U239">
        <f t="shared" si="69"/>
        <v>1.0135946439190597</v>
      </c>
      <c r="V239">
        <f t="shared" si="76"/>
        <v>9.127987328242174</v>
      </c>
      <c r="W239">
        <f t="shared" si="70"/>
        <v>0.81633840770272137</v>
      </c>
      <c r="X239">
        <f t="shared" si="77"/>
        <v>9.4676682615925944</v>
      </c>
      <c r="Y239">
        <f t="shared" si="71"/>
        <v>0.47665747435230088</v>
      </c>
      <c r="Z239">
        <f t="shared" si="78"/>
        <v>9.6582387876922002</v>
      </c>
      <c r="AA239">
        <f t="shared" si="72"/>
        <v>0.28608694825269509</v>
      </c>
      <c r="AB239">
        <f t="shared" si="73"/>
        <v>3.1176057359448954</v>
      </c>
      <c r="AC239">
        <f t="shared" si="74"/>
        <v>9.5740464004734349</v>
      </c>
      <c r="AD239">
        <f t="shared" si="75"/>
        <v>0.37027933547146041</v>
      </c>
    </row>
    <row r="240" spans="1:30">
      <c r="A240">
        <v>238</v>
      </c>
      <c r="B240">
        <v>7.7412816392802455</v>
      </c>
      <c r="C240">
        <f t="shared" si="79"/>
        <v>10.114199487297608</v>
      </c>
      <c r="D240">
        <f t="shared" si="79"/>
        <v>9.6795952042315996</v>
      </c>
      <c r="E240">
        <f t="shared" si="80"/>
        <v>9.8771489004195629</v>
      </c>
      <c r="F240">
        <f t="shared" si="83"/>
        <v>9.7464087423862633</v>
      </c>
      <c r="G240">
        <f t="shared" si="83"/>
        <v>9.3490690186783763</v>
      </c>
      <c r="H240">
        <f t="shared" si="83"/>
        <v>8.6182574040010778</v>
      </c>
      <c r="I240">
        <f t="shared" si="66"/>
        <v>0.87697576472083227</v>
      </c>
      <c r="J240">
        <f t="shared" si="81"/>
        <v>9.8149147065519564</v>
      </c>
      <c r="K240">
        <f t="shared" si="85"/>
        <v>9.5663803961005716</v>
      </c>
      <c r="L240">
        <f t="shared" si="85"/>
        <v>8.8357081645653253</v>
      </c>
      <c r="M240">
        <f t="shared" si="85"/>
        <v>8.7424068826603545</v>
      </c>
      <c r="N240">
        <f t="shared" si="67"/>
        <v>1.001125243380109</v>
      </c>
      <c r="O240">
        <f t="shared" si="82"/>
        <v>9.4001880930976149</v>
      </c>
      <c r="P240">
        <f t="shared" si="86"/>
        <v>9.4903933110757777</v>
      </c>
      <c r="Q240">
        <f t="shared" si="84"/>
        <v>9.800483398489126</v>
      </c>
      <c r="R240">
        <f t="shared" si="87"/>
        <v>9.0296783421480988</v>
      </c>
      <c r="S240">
        <f t="shared" si="87"/>
        <v>8.870504595740579</v>
      </c>
      <c r="T240">
        <f t="shared" si="68"/>
        <v>1.1292229564603335</v>
      </c>
      <c r="U240">
        <f t="shared" si="69"/>
        <v>-1.1292229564603335</v>
      </c>
      <c r="V240">
        <f t="shared" si="76"/>
        <v>9.209621169012447</v>
      </c>
      <c r="W240">
        <f t="shared" si="70"/>
        <v>-1.4683395297322015</v>
      </c>
      <c r="X240">
        <f t="shared" si="77"/>
        <v>9.5629997564630553</v>
      </c>
      <c r="Y240">
        <f t="shared" si="71"/>
        <v>-1.8217181171828098</v>
      </c>
      <c r="Z240">
        <f t="shared" si="78"/>
        <v>9.7440648721680088</v>
      </c>
      <c r="AA240">
        <f t="shared" si="72"/>
        <v>-2.0027832328877633</v>
      </c>
      <c r="AB240">
        <f t="shared" si="73"/>
        <v>0.90900163928024469</v>
      </c>
      <c r="AC240">
        <f t="shared" si="74"/>
        <v>9.6129581371014527</v>
      </c>
      <c r="AD240">
        <f t="shared" si="75"/>
        <v>-1.8716764978212073</v>
      </c>
    </row>
    <row r="241" spans="1:30">
      <c r="A241">
        <v>239</v>
      </c>
      <c r="B241">
        <v>8.666449624515856</v>
      </c>
      <c r="C241">
        <f t="shared" si="79"/>
        <v>8.8428036876125695</v>
      </c>
      <c r="D241">
        <f t="shared" si="79"/>
        <v>9.9788799849772509</v>
      </c>
      <c r="E241">
        <f t="shared" si="80"/>
        <v>9.3232268712918209</v>
      </c>
      <c r="F241">
        <f t="shared" si="83"/>
        <v>9.7975190770065552</v>
      </c>
      <c r="G241">
        <f t="shared" si="83"/>
        <v>9.614922982638296</v>
      </c>
      <c r="H241">
        <f t="shared" si="83"/>
        <v>8.9327736352541987</v>
      </c>
      <c r="I241">
        <f t="shared" si="66"/>
        <v>0.26632401073834266</v>
      </c>
      <c r="J241">
        <f t="shared" si="81"/>
        <v>9.3431820851347336</v>
      </c>
      <c r="K241">
        <f t="shared" si="85"/>
        <v>9.7590002793965169</v>
      </c>
      <c r="L241">
        <f t="shared" si="85"/>
        <v>9.0959782645554466</v>
      </c>
      <c r="M241">
        <f t="shared" si="85"/>
        <v>8.7272378783575526</v>
      </c>
      <c r="N241">
        <f t="shared" si="67"/>
        <v>6.0788253841696616E-2</v>
      </c>
      <c r="O241">
        <f t="shared" si="82"/>
        <v>9.2078355930109588</v>
      </c>
      <c r="P241">
        <f t="shared" si="86"/>
        <v>9.5729074251722004</v>
      </c>
      <c r="Q241">
        <f t="shared" si="84"/>
        <v>9.5334287525688062</v>
      </c>
      <c r="R241">
        <f t="shared" si="87"/>
        <v>9.2341917452973679</v>
      </c>
      <c r="S241">
        <f t="shared" si="87"/>
        <v>8.8666005635605369</v>
      </c>
      <c r="T241">
        <f t="shared" si="68"/>
        <v>0.20015093904468095</v>
      </c>
      <c r="U241">
        <f t="shared" si="69"/>
        <v>-0.20015093904468095</v>
      </c>
      <c r="V241">
        <f t="shared" si="76"/>
        <v>9.0627872160392275</v>
      </c>
      <c r="W241">
        <f t="shared" si="70"/>
        <v>-0.39633759152337156</v>
      </c>
      <c r="X241">
        <f t="shared" si="77"/>
        <v>9.1986561330264927</v>
      </c>
      <c r="Y241">
        <f t="shared" si="71"/>
        <v>-0.53220650851063667</v>
      </c>
      <c r="Z241">
        <f t="shared" si="78"/>
        <v>9.1432299023016803</v>
      </c>
      <c r="AA241">
        <f t="shared" si="72"/>
        <v>-0.47678027778582432</v>
      </c>
      <c r="AB241">
        <f t="shared" si="73"/>
        <v>1.8286096245158561</v>
      </c>
      <c r="AC241">
        <f t="shared" si="74"/>
        <v>9.6512794823580457</v>
      </c>
      <c r="AD241">
        <f t="shared" si="75"/>
        <v>-0.98482985784218968</v>
      </c>
    </row>
    <row r="242" spans="1:30">
      <c r="A242">
        <v>240</v>
      </c>
      <c r="B242">
        <v>9.6412902543062078</v>
      </c>
      <c r="C242">
        <f t="shared" si="79"/>
        <v>8.2038656318980507</v>
      </c>
      <c r="D242">
        <f t="shared" si="79"/>
        <v>9.4785015874550886</v>
      </c>
      <c r="E242">
        <f t="shared" si="80"/>
        <v>8.7840189999136644</v>
      </c>
      <c r="F242">
        <f t="shared" si="83"/>
        <v>9.6573844894885639</v>
      </c>
      <c r="G242">
        <f t="shared" si="83"/>
        <v>9.7579393677188477</v>
      </c>
      <c r="H242">
        <f t="shared" si="83"/>
        <v>9.2832149739035827</v>
      </c>
      <c r="I242">
        <f t="shared" si="66"/>
        <v>-0.35807528040262504</v>
      </c>
      <c r="J242">
        <f t="shared" si="81"/>
        <v>9.1590325595978292</v>
      </c>
      <c r="K242">
        <f t="shared" si="85"/>
        <v>9.6701158577046247</v>
      </c>
      <c r="L242">
        <f t="shared" si="85"/>
        <v>9.3829686174842841</v>
      </c>
      <c r="M242">
        <f t="shared" si="85"/>
        <v>8.8124409750001895</v>
      </c>
      <c r="N242">
        <f t="shared" si="67"/>
        <v>-0.82884927930601826</v>
      </c>
      <c r="O242">
        <f t="shared" si="82"/>
        <v>9.2554840985395046</v>
      </c>
      <c r="P242">
        <f t="shared" si="86"/>
        <v>9.5822364310375203</v>
      </c>
      <c r="Q242">
        <f t="shared" si="84"/>
        <v>9.2778983483339879</v>
      </c>
      <c r="R242">
        <f t="shared" si="87"/>
        <v>9.3642017614817075</v>
      </c>
      <c r="S242">
        <f t="shared" si="87"/>
        <v>8.9239479384678049</v>
      </c>
      <c r="T242">
        <f t="shared" si="68"/>
        <v>-0.71734231583840291</v>
      </c>
      <c r="U242">
        <f t="shared" si="69"/>
        <v>0.71734231583840291</v>
      </c>
      <c r="V242">
        <f t="shared" si="76"/>
        <v>9.0231534568868899</v>
      </c>
      <c r="W242">
        <f t="shared" si="70"/>
        <v>0.61813679741931793</v>
      </c>
      <c r="X242">
        <f t="shared" si="77"/>
        <v>9.092214831324366</v>
      </c>
      <c r="Y242">
        <f t="shared" si="71"/>
        <v>0.54907542298184175</v>
      </c>
      <c r="Z242">
        <f t="shared" si="78"/>
        <v>9.000195818965933</v>
      </c>
      <c r="AA242">
        <f t="shared" si="72"/>
        <v>0.64109443534027477</v>
      </c>
      <c r="AB242">
        <f t="shared" si="73"/>
        <v>2.797890254306207</v>
      </c>
      <c r="AC242">
        <f t="shared" si="74"/>
        <v>9.6890000000000001</v>
      </c>
      <c r="AD242">
        <f t="shared" si="75"/>
        <v>-4.7709745693792271E-2</v>
      </c>
    </row>
    <row r="243" spans="1:30">
      <c r="A243">
        <v>241</v>
      </c>
      <c r="B243">
        <v>7.7191128204581165</v>
      </c>
      <c r="C243">
        <f t="shared" si="79"/>
        <v>9.153869939411031</v>
      </c>
      <c r="D243">
        <f t="shared" si="79"/>
        <v>8.5233346597553101</v>
      </c>
      <c r="E243">
        <f t="shared" si="80"/>
        <v>8.6830071727007692</v>
      </c>
      <c r="F243">
        <f t="shared" si="83"/>
        <v>9.3281315905416822</v>
      </c>
      <c r="G243">
        <f t="shared" si="83"/>
        <v>9.7337707696271281</v>
      </c>
      <c r="H243">
        <f t="shared" si="83"/>
        <v>9.57397712301184</v>
      </c>
      <c r="I243">
        <f t="shared" si="66"/>
        <v>1.8548643025537235</v>
      </c>
      <c r="J243">
        <f t="shared" si="81"/>
        <v>8.9983368135118003</v>
      </c>
      <c r="K243">
        <f t="shared" si="85"/>
        <v>9.5489676590828623</v>
      </c>
      <c r="L243">
        <f t="shared" si="85"/>
        <v>9.5658362701844002</v>
      </c>
      <c r="M243">
        <f t="shared" si="85"/>
        <v>8.9952436116759991</v>
      </c>
      <c r="N243">
        <f t="shared" si="67"/>
        <v>1.2761307912178825</v>
      </c>
      <c r="O243">
        <f t="shared" si="82"/>
        <v>8.7424920149010639</v>
      </c>
      <c r="P243">
        <f t="shared" si="86"/>
        <v>9.5054161781745137</v>
      </c>
      <c r="Q243">
        <f t="shared" si="84"/>
        <v>9.2800780365601661</v>
      </c>
      <c r="R243">
        <f t="shared" si="87"/>
        <v>9.4424489814551791</v>
      </c>
      <c r="S243">
        <f t="shared" si="87"/>
        <v>9.0135255609365146</v>
      </c>
      <c r="T243">
        <f t="shared" si="68"/>
        <v>1.294412740478398</v>
      </c>
      <c r="U243">
        <f t="shared" si="69"/>
        <v>-1.294412740478398</v>
      </c>
      <c r="V243">
        <f t="shared" si="76"/>
        <v>9.0849671366288209</v>
      </c>
      <c r="W243">
        <f t="shared" si="70"/>
        <v>-1.3658543161707044</v>
      </c>
      <c r="X243">
        <f t="shared" si="77"/>
        <v>9.2020299159207344</v>
      </c>
      <c r="Y243">
        <f t="shared" si="71"/>
        <v>-1.4829170954626179</v>
      </c>
      <c r="Z243">
        <f t="shared" si="78"/>
        <v>9.1925241495680154</v>
      </c>
      <c r="AA243">
        <f t="shared" si="72"/>
        <v>-1.4734113291098989</v>
      </c>
      <c r="AB243">
        <f t="shared" si="73"/>
        <v>0.87015282045811659</v>
      </c>
      <c r="AC243">
        <f t="shared" si="74"/>
        <v>9.7261094206768046</v>
      </c>
      <c r="AD243">
        <f t="shared" si="75"/>
        <v>-2.0069966002186881</v>
      </c>
    </row>
    <row r="244" spans="1:30">
      <c r="A244">
        <v>242</v>
      </c>
      <c r="B244">
        <v>9.7375102151975081</v>
      </c>
      <c r="C244">
        <f t="shared" si="79"/>
        <v>8.6802015373821622</v>
      </c>
      <c r="D244">
        <f t="shared" si="79"/>
        <v>8.6788677856545409</v>
      </c>
      <c r="E244">
        <f t="shared" si="80"/>
        <v>8.675617566426725</v>
      </c>
      <c r="F244">
        <f t="shared" si="83"/>
        <v>8.9300843479687515</v>
      </c>
      <c r="G244">
        <f t="shared" si="83"/>
        <v>9.5943450523456004</v>
      </c>
      <c r="H244">
        <f t="shared" si="83"/>
        <v>9.7022110399947579</v>
      </c>
      <c r="I244">
        <f t="shared" si="66"/>
        <v>-3.5299175202750277E-2</v>
      </c>
      <c r="J244">
        <f t="shared" si="81"/>
        <v>8.4420335846401056</v>
      </c>
      <c r="K244">
        <f t="shared" si="85"/>
        <v>9.3288665411990799</v>
      </c>
      <c r="L244">
        <f t="shared" si="85"/>
        <v>9.636116048071143</v>
      </c>
      <c r="M244">
        <f t="shared" si="85"/>
        <v>9.2201228291973649</v>
      </c>
      <c r="N244">
        <f t="shared" si="67"/>
        <v>-0.51738738600014322</v>
      </c>
      <c r="O244">
        <f t="shared" si="82"/>
        <v>8.7011289107515868</v>
      </c>
      <c r="P244">
        <f t="shared" si="86"/>
        <v>9.2995715949551307</v>
      </c>
      <c r="Q244">
        <f t="shared" si="84"/>
        <v>8.999422218859273</v>
      </c>
      <c r="R244">
        <f t="shared" si="87"/>
        <v>9.4733981059366901</v>
      </c>
      <c r="S244">
        <f t="shared" si="87"/>
        <v>9.1214066445403645</v>
      </c>
      <c r="T244">
        <f t="shared" si="68"/>
        <v>-0.61610357065714361</v>
      </c>
      <c r="U244">
        <f t="shared" si="69"/>
        <v>0.61610357065714361</v>
      </c>
      <c r="V244">
        <f t="shared" si="76"/>
        <v>8.9483817050117498</v>
      </c>
      <c r="W244">
        <f t="shared" si="70"/>
        <v>0.78912851018575836</v>
      </c>
      <c r="X244">
        <f t="shared" si="77"/>
        <v>8.9054464968282101</v>
      </c>
      <c r="Y244">
        <f t="shared" si="71"/>
        <v>0.83206371836929804</v>
      </c>
      <c r="Z244">
        <f t="shared" si="78"/>
        <v>8.7505007508350463</v>
      </c>
      <c r="AA244">
        <f t="shared" si="72"/>
        <v>0.98700946436246184</v>
      </c>
      <c r="AB244">
        <f t="shared" si="73"/>
        <v>2.8829902151975073</v>
      </c>
      <c r="AC244">
        <f t="shared" si="74"/>
        <v>9.7625976447831686</v>
      </c>
      <c r="AD244">
        <f t="shared" si="75"/>
        <v>-2.5087429585660459E-2</v>
      </c>
    </row>
    <row r="245" spans="1:30">
      <c r="A245">
        <v>243</v>
      </c>
      <c r="B245">
        <v>11.677020732069243</v>
      </c>
      <c r="C245">
        <f t="shared" si="79"/>
        <v>8.7283115178278123</v>
      </c>
      <c r="D245">
        <f t="shared" si="79"/>
        <v>8.9170357383965957</v>
      </c>
      <c r="E245">
        <f t="shared" si="80"/>
        <v>9.0326377633206096</v>
      </c>
      <c r="F245">
        <f t="shared" si="83"/>
        <v>8.7142145796803856</v>
      </c>
      <c r="G245">
        <f t="shared" si="83"/>
        <v>9.3052001426663313</v>
      </c>
      <c r="H245">
        <f t="shared" si="83"/>
        <v>9.6953517298971921</v>
      </c>
      <c r="I245">
        <f t="shared" si="66"/>
        <v>-1.9816690021720511</v>
      </c>
      <c r="J245">
        <f t="shared" si="81"/>
        <v>8.9410907286194217</v>
      </c>
      <c r="K245">
        <f t="shared" si="85"/>
        <v>8.9856462607211167</v>
      </c>
      <c r="L245">
        <f t="shared" si="85"/>
        <v>9.5767375843457714</v>
      </c>
      <c r="M245">
        <f t="shared" si="85"/>
        <v>9.420224800073818</v>
      </c>
      <c r="N245">
        <f t="shared" si="67"/>
        <v>-2.2567959319954252</v>
      </c>
      <c r="O245">
        <f t="shared" si="82"/>
        <v>9.488276729309387</v>
      </c>
      <c r="P245">
        <f t="shared" si="86"/>
        <v>9.0614257420601447</v>
      </c>
      <c r="Q245">
        <f t="shared" si="84"/>
        <v>8.908328381617137</v>
      </c>
      <c r="R245">
        <f t="shared" si="87"/>
        <v>9.4397184606053095</v>
      </c>
      <c r="S245">
        <f t="shared" si="87"/>
        <v>9.2301725651942075</v>
      </c>
      <c r="T245">
        <f t="shared" si="68"/>
        <v>-2.4468481668750357</v>
      </c>
      <c r="U245">
        <f t="shared" si="69"/>
        <v>2.4468481668750357</v>
      </c>
      <c r="V245">
        <f t="shared" si="76"/>
        <v>9.0272945560303253</v>
      </c>
      <c r="W245">
        <f t="shared" si="70"/>
        <v>2.6497261760389179</v>
      </c>
      <c r="X245">
        <f t="shared" si="77"/>
        <v>9.0718592405020697</v>
      </c>
      <c r="Y245">
        <f t="shared" si="71"/>
        <v>2.6051614915671735</v>
      </c>
      <c r="Z245">
        <f t="shared" si="78"/>
        <v>9.0466035901437856</v>
      </c>
      <c r="AA245">
        <f t="shared" si="72"/>
        <v>2.6304171419254576</v>
      </c>
      <c r="AB245">
        <f t="shared" si="73"/>
        <v>4.8169407320692432</v>
      </c>
      <c r="AC245">
        <f t="shared" si="74"/>
        <v>9.7984547452644186</v>
      </c>
      <c r="AD245">
        <f t="shared" si="75"/>
        <v>1.8785659868048246</v>
      </c>
    </row>
    <row r="246" spans="1:30">
      <c r="A246">
        <v>244</v>
      </c>
      <c r="B246">
        <v>10.068652692725223</v>
      </c>
      <c r="C246">
        <f t="shared" si="79"/>
        <v>10.707265473633376</v>
      </c>
      <c r="D246">
        <f t="shared" si="79"/>
        <v>8.7042565276049864</v>
      </c>
      <c r="E246">
        <f t="shared" si="80"/>
        <v>9.7112145892416226</v>
      </c>
      <c r="F246">
        <f t="shared" si="83"/>
        <v>8.7970875008160334</v>
      </c>
      <c r="G246">
        <f t="shared" si="83"/>
        <v>8.9908101727302725</v>
      </c>
      <c r="H246">
        <f t="shared" si="83"/>
        <v>9.544438654879686</v>
      </c>
      <c r="I246">
        <f t="shared" si="66"/>
        <v>-0.52421403784553711</v>
      </c>
      <c r="J246">
        <f t="shared" si="81"/>
        <v>9.6937335055077689</v>
      </c>
      <c r="K246">
        <f t="shared" si="85"/>
        <v>8.8851234215922901</v>
      </c>
      <c r="L246">
        <f t="shared" si="85"/>
        <v>9.38339907967692</v>
      </c>
      <c r="M246">
        <f t="shared" si="85"/>
        <v>9.5404146300214006</v>
      </c>
      <c r="N246">
        <f t="shared" si="67"/>
        <v>-0.52823806270382256</v>
      </c>
      <c r="O246">
        <f t="shared" si="82"/>
        <v>9.768717342951259</v>
      </c>
      <c r="P246">
        <f t="shared" si="86"/>
        <v>9.0790434693024995</v>
      </c>
      <c r="Q246">
        <f t="shared" si="84"/>
        <v>9.1971108809711968</v>
      </c>
      <c r="R246">
        <f t="shared" si="87"/>
        <v>9.2999398560714166</v>
      </c>
      <c r="S246">
        <f t="shared" si="87"/>
        <v>9.3306062328207258</v>
      </c>
      <c r="T246">
        <f t="shared" si="68"/>
        <v>-0.73804645990449735</v>
      </c>
      <c r="U246">
        <f t="shared" si="69"/>
        <v>0.73804645990449735</v>
      </c>
      <c r="V246">
        <f t="shared" si="76"/>
        <v>9.2922671736342171</v>
      </c>
      <c r="W246">
        <f t="shared" si="70"/>
        <v>0.77638551909100606</v>
      </c>
      <c r="X246">
        <f t="shared" si="77"/>
        <v>9.592891538815504</v>
      </c>
      <c r="Y246">
        <f t="shared" si="71"/>
        <v>0.47576115390971907</v>
      </c>
      <c r="Z246">
        <f t="shared" si="78"/>
        <v>9.8357287327214227</v>
      </c>
      <c r="AA246">
        <f t="shared" si="72"/>
        <v>0.23292396000380045</v>
      </c>
      <c r="AB246">
        <f t="shared" si="73"/>
        <v>3.2030126927252223</v>
      </c>
      <c r="AC246">
        <f t="shared" si="74"/>
        <v>9.8336709703739338</v>
      </c>
      <c r="AD246">
        <f t="shared" si="75"/>
        <v>0.23498172235128933</v>
      </c>
    </row>
    <row r="247" spans="1:30">
      <c r="A247">
        <v>245</v>
      </c>
      <c r="B247">
        <v>10.021272644294829</v>
      </c>
      <c r="C247">
        <f t="shared" si="79"/>
        <v>10.872836712397234</v>
      </c>
      <c r="D247">
        <f t="shared" si="79"/>
        <v>9.7177884957305949</v>
      </c>
      <c r="E247">
        <f t="shared" si="80"/>
        <v>10.494394546663992</v>
      </c>
      <c r="F247">
        <f t="shared" si="83"/>
        <v>9.139823306329653</v>
      </c>
      <c r="G247">
        <f t="shared" si="83"/>
        <v>8.8137954761550574</v>
      </c>
      <c r="H247">
        <f t="shared" si="83"/>
        <v>9.2967851225807348</v>
      </c>
      <c r="I247">
        <f t="shared" si="66"/>
        <v>-0.72448752171409403</v>
      </c>
      <c r="J247">
        <f t="shared" si="81"/>
        <v>9.8005741151125232</v>
      </c>
      <c r="K247">
        <f t="shared" si="85"/>
        <v>9.0187986580697732</v>
      </c>
      <c r="L247">
        <f t="shared" si="85"/>
        <v>9.1871509706488368</v>
      </c>
      <c r="M247">
        <f t="shared" si="85"/>
        <v>9.5405222455695586</v>
      </c>
      <c r="N247">
        <f t="shared" si="67"/>
        <v>-0.48075039872527014</v>
      </c>
      <c r="O247">
        <f t="shared" si="82"/>
        <v>9.8447138209489857</v>
      </c>
      <c r="P247">
        <f t="shared" si="86"/>
        <v>9.191219819290561</v>
      </c>
      <c r="Q247">
        <f t="shared" si="84"/>
        <v>9.5850060565453585</v>
      </c>
      <c r="R247">
        <f t="shared" si="87"/>
        <v>9.1993777698184278</v>
      </c>
      <c r="S247">
        <f t="shared" si="87"/>
        <v>9.3756498184746118</v>
      </c>
      <c r="T247">
        <f t="shared" si="68"/>
        <v>-0.64562282582021702</v>
      </c>
      <c r="U247">
        <f t="shared" si="69"/>
        <v>0.64562282582021702</v>
      </c>
      <c r="V247">
        <f t="shared" si="76"/>
        <v>9.3699057255433171</v>
      </c>
      <c r="W247">
        <f t="shared" si="70"/>
        <v>0.65136691875151165</v>
      </c>
      <c r="X247">
        <f t="shared" si="77"/>
        <v>9.6880437695974475</v>
      </c>
      <c r="Y247">
        <f t="shared" si="71"/>
        <v>0.33322887469738127</v>
      </c>
      <c r="Z247">
        <f t="shared" si="78"/>
        <v>9.9056059207225626</v>
      </c>
      <c r="AA247">
        <f t="shared" si="72"/>
        <v>0.11566672357226615</v>
      </c>
      <c r="AB247">
        <f t="shared" si="73"/>
        <v>3.1500726442948288</v>
      </c>
      <c r="AC247">
        <f t="shared" si="74"/>
        <v>9.8682367463819141</v>
      </c>
      <c r="AD247">
        <f t="shared" si="75"/>
        <v>0.15303589791291472</v>
      </c>
    </row>
    <row r="248" spans="1:30">
      <c r="A248">
        <v>246</v>
      </c>
      <c r="B248">
        <v>10.692395024870699</v>
      </c>
      <c r="C248">
        <f t="shared" si="79"/>
        <v>10.044962668510026</v>
      </c>
      <c r="D248">
        <f t="shared" si="79"/>
        <v>10.790051093015304</v>
      </c>
      <c r="E248">
        <f t="shared" si="80"/>
        <v>10.588982023029766</v>
      </c>
      <c r="F248">
        <f t="shared" si="83"/>
        <v>9.746082299742076</v>
      </c>
      <c r="G248">
        <f t="shared" si="83"/>
        <v>8.8837084622753579</v>
      </c>
      <c r="H248">
        <f t="shared" si="83"/>
        <v>9.0366019305172198</v>
      </c>
      <c r="I248">
        <f t="shared" si="66"/>
        <v>-1.6557930943534789</v>
      </c>
      <c r="J248">
        <f t="shared" si="81"/>
        <v>10.376114071071701</v>
      </c>
      <c r="K248">
        <f t="shared" si="85"/>
        <v>9.2193579834699548</v>
      </c>
      <c r="L248">
        <f t="shared" si="85"/>
        <v>9.0546087203955636</v>
      </c>
      <c r="M248">
        <f t="shared" si="85"/>
        <v>9.4458509206856682</v>
      </c>
      <c r="N248">
        <f t="shared" si="67"/>
        <v>-1.2465441041850305</v>
      </c>
      <c r="O248">
        <f t="shared" si="82"/>
        <v>10.439370261831501</v>
      </c>
      <c r="P248">
        <f t="shared" si="86"/>
        <v>9.3090657637724572</v>
      </c>
      <c r="Q248">
        <f t="shared" si="84"/>
        <v>9.8108098931751879</v>
      </c>
      <c r="R248">
        <f t="shared" si="87"/>
        <v>9.2079739871478541</v>
      </c>
      <c r="S248">
        <f t="shared" si="87"/>
        <v>9.3698474892281212</v>
      </c>
      <c r="T248">
        <f t="shared" si="68"/>
        <v>-1.3225475356425775</v>
      </c>
      <c r="U248">
        <f t="shared" si="69"/>
        <v>1.3225475356425775</v>
      </c>
      <c r="V248">
        <f t="shared" si="76"/>
        <v>9.4350424174184688</v>
      </c>
      <c r="W248">
        <f t="shared" si="70"/>
        <v>1.2573526074522299</v>
      </c>
      <c r="X248">
        <f t="shared" si="77"/>
        <v>9.7546895445369231</v>
      </c>
      <c r="Y248">
        <f t="shared" si="71"/>
        <v>0.93770548033377565</v>
      </c>
      <c r="Z248">
        <f t="shared" si="78"/>
        <v>9.9403059377942427</v>
      </c>
      <c r="AA248">
        <f t="shared" si="72"/>
        <v>0.75208908707645605</v>
      </c>
      <c r="AB248">
        <f t="shared" si="73"/>
        <v>3.8156350248706987</v>
      </c>
      <c r="AC248">
        <f t="shared" si="74"/>
        <v>9.9021426802346788</v>
      </c>
      <c r="AD248">
        <f t="shared" si="75"/>
        <v>0.7902523446360199</v>
      </c>
    </row>
    <row r="249" spans="1:30">
      <c r="A249">
        <v>247</v>
      </c>
      <c r="B249">
        <v>10.18630730133394</v>
      </c>
      <c r="C249">
        <f t="shared" si="79"/>
        <v>10.356833834582764</v>
      </c>
      <c r="D249">
        <f t="shared" si="79"/>
        <v>10.458899690453631</v>
      </c>
      <c r="E249">
        <f t="shared" si="80"/>
        <v>10.260773453963584</v>
      </c>
      <c r="F249">
        <f t="shared" si="83"/>
        <v>10.264863719645128</v>
      </c>
      <c r="G249">
        <f t="shared" si="83"/>
        <v>9.2276643689625875</v>
      </c>
      <c r="H249">
        <f t="shared" si="83"/>
        <v>8.8961047037202281</v>
      </c>
      <c r="I249">
        <f t="shared" si="66"/>
        <v>-1.2902025976137121</v>
      </c>
      <c r="J249">
        <f t="shared" si="81"/>
        <v>10.614835273489998</v>
      </c>
      <c r="K249">
        <f t="shared" si="85"/>
        <v>9.7028781050778541</v>
      </c>
      <c r="L249">
        <f t="shared" si="85"/>
        <v>9.027231580963285</v>
      </c>
      <c r="M249">
        <f t="shared" si="85"/>
        <v>9.300474088766773</v>
      </c>
      <c r="N249">
        <f t="shared" si="67"/>
        <v>-0.88583321256716729</v>
      </c>
      <c r="O249">
        <f t="shared" si="82"/>
        <v>10.529129679058787</v>
      </c>
      <c r="P249">
        <f t="shared" si="86"/>
        <v>9.6484414131585439</v>
      </c>
      <c r="Q249">
        <f t="shared" si="84"/>
        <v>9.985994021602604</v>
      </c>
      <c r="R249">
        <f t="shared" si="87"/>
        <v>9.2967925779547205</v>
      </c>
      <c r="S249">
        <f t="shared" si="87"/>
        <v>9.343809526839145</v>
      </c>
      <c r="T249">
        <f t="shared" si="68"/>
        <v>-0.84249777449479524</v>
      </c>
      <c r="U249">
        <f t="shared" si="69"/>
        <v>0.84249777449479524</v>
      </c>
      <c r="V249">
        <f t="shared" si="76"/>
        <v>9.5607776781636922</v>
      </c>
      <c r="W249">
        <f t="shared" si="70"/>
        <v>0.62552962317024807</v>
      </c>
      <c r="X249">
        <f t="shared" si="77"/>
        <v>9.9422306406036789</v>
      </c>
      <c r="Y249">
        <f t="shared" si="71"/>
        <v>0.24407666073026135</v>
      </c>
      <c r="Z249">
        <f t="shared" si="78"/>
        <v>10.165932663917179</v>
      </c>
      <c r="AA249">
        <f t="shared" si="72"/>
        <v>2.0374637416761487E-2</v>
      </c>
      <c r="AB249">
        <f t="shared" si="73"/>
        <v>3.3039873013339403</v>
      </c>
      <c r="AC249">
        <f t="shared" si="74"/>
        <v>9.9353795621637957</v>
      </c>
      <c r="AD249">
        <f t="shared" si="75"/>
        <v>0.25092773917014455</v>
      </c>
    </row>
    <row r="250" spans="1:30">
      <c r="A250">
        <v>248</v>
      </c>
      <c r="B250">
        <v>11.869813367631616</v>
      </c>
      <c r="C250">
        <f t="shared" si="79"/>
        <v>10.439351163102319</v>
      </c>
      <c r="D250">
        <f t="shared" si="79"/>
        <v>10.200898251546395</v>
      </c>
      <c r="E250">
        <f t="shared" si="80"/>
        <v>10.299991656833155</v>
      </c>
      <c r="F250">
        <f t="shared" si="83"/>
        <v>10.448050007885781</v>
      </c>
      <c r="G250">
        <f t="shared" si="83"/>
        <v>9.7169231085722867</v>
      </c>
      <c r="H250">
        <f t="shared" si="83"/>
        <v>8.9750561024643343</v>
      </c>
      <c r="I250">
        <f t="shared" si="66"/>
        <v>-2.8947572651672822</v>
      </c>
      <c r="J250">
        <f t="shared" si="81"/>
        <v>10.242156915806174</v>
      </c>
      <c r="K250">
        <f t="shared" si="85"/>
        <v>10.121314241295497</v>
      </c>
      <c r="L250">
        <f t="shared" si="85"/>
        <v>9.2065395420524681</v>
      </c>
      <c r="M250">
        <f t="shared" si="85"/>
        <v>9.1630975879211505</v>
      </c>
      <c r="N250">
        <f t="shared" si="67"/>
        <v>-2.706715779710466</v>
      </c>
      <c r="O250">
        <f t="shared" si="82"/>
        <v>10.567688206171262</v>
      </c>
      <c r="P250">
        <f t="shared" si="86"/>
        <v>10.014041566819984</v>
      </c>
      <c r="Q250">
        <f t="shared" si="84"/>
        <v>10.397193101748574</v>
      </c>
      <c r="R250">
        <f t="shared" si="87"/>
        <v>9.4144452421284601</v>
      </c>
      <c r="S250">
        <f t="shared" si="87"/>
        <v>9.3195334595890689</v>
      </c>
      <c r="T250">
        <f t="shared" si="68"/>
        <v>-2.5502799080425476</v>
      </c>
      <c r="U250">
        <f t="shared" si="69"/>
        <v>2.5502799080425476</v>
      </c>
      <c r="V250">
        <f t="shared" si="76"/>
        <v>9.6233306404807166</v>
      </c>
      <c r="W250">
        <f t="shared" si="70"/>
        <v>2.2464827271508998</v>
      </c>
      <c r="X250">
        <f t="shared" si="77"/>
        <v>9.9910459727497312</v>
      </c>
      <c r="Y250">
        <f t="shared" si="71"/>
        <v>1.8787673948818853</v>
      </c>
      <c r="Z250">
        <f t="shared" si="78"/>
        <v>10.172045055142208</v>
      </c>
      <c r="AA250">
        <f t="shared" si="72"/>
        <v>1.6977683124894085</v>
      </c>
      <c r="AB250">
        <f t="shared" si="73"/>
        <v>4.9819333676316164</v>
      </c>
      <c r="AC250">
        <f t="shared" si="74"/>
        <v>9.9679383682442868</v>
      </c>
      <c r="AD250">
        <f t="shared" si="75"/>
        <v>1.9018749993873296</v>
      </c>
    </row>
    <row r="251" spans="1:30">
      <c r="A251">
        <v>249</v>
      </c>
      <c r="B251">
        <v>10.225324750564079</v>
      </c>
      <c r="C251">
        <f t="shared" si="79"/>
        <v>11.028060334482777</v>
      </c>
      <c r="D251">
        <f t="shared" si="79"/>
        <v>10.398092498842541</v>
      </c>
      <c r="E251">
        <f t="shared" si="80"/>
        <v>10.916171897945418</v>
      </c>
      <c r="F251">
        <f t="shared" si="83"/>
        <v>10.383249044608837</v>
      </c>
      <c r="G251">
        <f t="shared" si="83"/>
        <v>10.152998675757663</v>
      </c>
      <c r="H251">
        <f t="shared" si="83"/>
        <v>9.2760986466034101</v>
      </c>
      <c r="I251">
        <f t="shared" si="66"/>
        <v>-0.94922610396066887</v>
      </c>
      <c r="J251">
        <f t="shared" si="81"/>
        <v>10.692447084532771</v>
      </c>
      <c r="K251">
        <f t="shared" si="85"/>
        <v>10.258420093870098</v>
      </c>
      <c r="L251">
        <f t="shared" si="85"/>
        <v>9.5155872469782707</v>
      </c>
      <c r="M251">
        <f t="shared" si="85"/>
        <v>9.1188827035150375</v>
      </c>
      <c r="N251">
        <f t="shared" si="67"/>
        <v>-1.1064420470490415</v>
      </c>
      <c r="O251">
        <f t="shared" si="82"/>
        <v>10.599022617739033</v>
      </c>
      <c r="P251">
        <f t="shared" si="86"/>
        <v>10.229923862192358</v>
      </c>
      <c r="Q251">
        <f t="shared" si="84"/>
        <v>10.752576960487593</v>
      </c>
      <c r="R251">
        <f t="shared" si="87"/>
        <v>9.6474070559433418</v>
      </c>
      <c r="S251">
        <f t="shared" si="87"/>
        <v>9.309707982287696</v>
      </c>
      <c r="T251">
        <f t="shared" si="68"/>
        <v>-0.91561676827638294</v>
      </c>
      <c r="U251">
        <f t="shared" si="69"/>
        <v>0.91561676827638294</v>
      </c>
      <c r="V251">
        <f t="shared" si="76"/>
        <v>9.8479789131958064</v>
      </c>
      <c r="W251">
        <f t="shared" si="70"/>
        <v>0.37734583736827254</v>
      </c>
      <c r="X251">
        <f t="shared" si="77"/>
        <v>10.366799451726108</v>
      </c>
      <c r="Y251">
        <f t="shared" si="71"/>
        <v>-0.14147470116202854</v>
      </c>
      <c r="Z251">
        <f t="shared" si="78"/>
        <v>10.681375548889031</v>
      </c>
      <c r="AA251">
        <f t="shared" si="72"/>
        <v>-0.45605079832495221</v>
      </c>
      <c r="AB251">
        <f t="shared" si="73"/>
        <v>3.331884750564079</v>
      </c>
      <c r="AC251">
        <f t="shared" si="74"/>
        <v>9.9998102629012138</v>
      </c>
      <c r="AD251">
        <f t="shared" si="75"/>
        <v>0.22551448766286519</v>
      </c>
    </row>
    <row r="252" spans="1:30">
      <c r="A252">
        <v>250</v>
      </c>
      <c r="B252">
        <v>8.0371194416749177</v>
      </c>
      <c r="C252">
        <f t="shared" si="79"/>
        <v>11.047569059097848</v>
      </c>
      <c r="D252">
        <f t="shared" si="79"/>
        <v>10.733705748792548</v>
      </c>
      <c r="E252">
        <f t="shared" si="80"/>
        <v>10.760481806509878</v>
      </c>
      <c r="F252">
        <f t="shared" si="83"/>
        <v>10.492312336247386</v>
      </c>
      <c r="G252">
        <f t="shared" si="83"/>
        <v>10.365387590713249</v>
      </c>
      <c r="H252">
        <f t="shared" si="83"/>
        <v>9.6991953844308458</v>
      </c>
      <c r="I252">
        <f t="shared" si="66"/>
        <v>1.6620759427559282</v>
      </c>
      <c r="J252">
        <f t="shared" si="81"/>
        <v>10.743460111100083</v>
      </c>
      <c r="K252">
        <f t="shared" si="85"/>
        <v>10.481388336225161</v>
      </c>
      <c r="L252">
        <f t="shared" si="85"/>
        <v>9.8254926059283516</v>
      </c>
      <c r="M252">
        <f t="shared" si="85"/>
        <v>9.2009917725973978</v>
      </c>
      <c r="N252">
        <f t="shared" si="67"/>
        <v>1.1638723309224801</v>
      </c>
      <c r="O252">
        <f t="shared" si="82"/>
        <v>10.202191977215049</v>
      </c>
      <c r="P252">
        <f t="shared" si="86"/>
        <v>10.395984917149914</v>
      </c>
      <c r="Q252">
        <f t="shared" si="84"/>
        <v>10.510627630236732</v>
      </c>
      <c r="R252">
        <f t="shared" si="87"/>
        <v>9.954781819088419</v>
      </c>
      <c r="S252">
        <f t="shared" si="87"/>
        <v>9.344322748177369</v>
      </c>
      <c r="T252">
        <f t="shared" si="68"/>
        <v>1.3072033065024513</v>
      </c>
      <c r="U252">
        <f t="shared" si="69"/>
        <v>-1.3072033065024513</v>
      </c>
      <c r="V252">
        <f t="shared" si="76"/>
        <v>9.8857134969326346</v>
      </c>
      <c r="W252">
        <f t="shared" si="70"/>
        <v>-1.8485940552577169</v>
      </c>
      <c r="X252">
        <f t="shared" si="77"/>
        <v>10.338504511493701</v>
      </c>
      <c r="Y252">
        <f t="shared" si="71"/>
        <v>-2.3013850698187834</v>
      </c>
      <c r="Z252">
        <f t="shared" si="78"/>
        <v>10.544560309391546</v>
      </c>
      <c r="AA252">
        <f t="shared" si="72"/>
        <v>-2.5074408677166282</v>
      </c>
      <c r="AB252">
        <f t="shared" si="73"/>
        <v>1.1381194416749176</v>
      </c>
      <c r="AC252">
        <f t="shared" si="74"/>
        <v>10.030986601363949</v>
      </c>
      <c r="AD252">
        <f t="shared" si="75"/>
        <v>-1.9938671596890316</v>
      </c>
    </row>
    <row r="253" spans="1:30">
      <c r="A253">
        <v>251</v>
      </c>
      <c r="B253">
        <v>11.553222831596676</v>
      </c>
      <c r="C253">
        <f t="shared" si="79"/>
        <v>9.1312220961194974</v>
      </c>
      <c r="D253">
        <f t="shared" si="79"/>
        <v>11.037814696790313</v>
      </c>
      <c r="E253">
        <f t="shared" si="80"/>
        <v>10.044085853290204</v>
      </c>
      <c r="F253">
        <f t="shared" si="83"/>
        <v>10.658881787096151</v>
      </c>
      <c r="G253">
        <f t="shared" si="83"/>
        <v>10.441203796247335</v>
      </c>
      <c r="H253">
        <f t="shared" si="83"/>
        <v>10.078436458347733</v>
      </c>
      <c r="I253">
        <f t="shared" si="66"/>
        <v>-1.4747863732489428</v>
      </c>
      <c r="J253">
        <f t="shared" si="81"/>
        <v>10.079641215301137</v>
      </c>
      <c r="K253">
        <f t="shared" si="85"/>
        <v>10.573224846232257</v>
      </c>
      <c r="L253">
        <f t="shared" si="85"/>
        <v>10.141000194117153</v>
      </c>
      <c r="M253">
        <f t="shared" si="85"/>
        <v>9.3937127439805934</v>
      </c>
      <c r="N253">
        <f t="shared" si="67"/>
        <v>-2.1595100876160824</v>
      </c>
      <c r="O253">
        <f t="shared" si="82"/>
        <v>10.374357538560245</v>
      </c>
      <c r="P253">
        <f t="shared" si="86"/>
        <v>10.467480548403127</v>
      </c>
      <c r="Q253">
        <f t="shared" si="84"/>
        <v>10.17203875506168</v>
      </c>
      <c r="R253">
        <f t="shared" si="87"/>
        <v>10.173701277299342</v>
      </c>
      <c r="S253">
        <f t="shared" si="87"/>
        <v>9.4534630753468694</v>
      </c>
      <c r="T253">
        <f t="shared" si="68"/>
        <v>-2.0997597562498065</v>
      </c>
      <c r="U253">
        <f t="shared" si="69"/>
        <v>2.0997597562498065</v>
      </c>
      <c r="V253">
        <f t="shared" si="76"/>
        <v>9.7008540914068622</v>
      </c>
      <c r="W253">
        <f t="shared" si="70"/>
        <v>1.8523687401898137</v>
      </c>
      <c r="X253">
        <f t="shared" si="77"/>
        <v>9.8782274975299451</v>
      </c>
      <c r="Y253">
        <f t="shared" si="71"/>
        <v>1.6749953340667307</v>
      </c>
      <c r="Z253">
        <f t="shared" si="78"/>
        <v>9.7923280490765574</v>
      </c>
      <c r="AA253">
        <f t="shared" si="72"/>
        <v>1.7608947825201184</v>
      </c>
      <c r="AB253">
        <f t="shared" si="73"/>
        <v>4.6486628315966758</v>
      </c>
      <c r="AC253">
        <f t="shared" si="74"/>
        <v>10.061458932067454</v>
      </c>
      <c r="AD253">
        <f t="shared" si="75"/>
        <v>1.4917638995292215</v>
      </c>
    </row>
    <row r="254" spans="1:30">
      <c r="A254">
        <v>252</v>
      </c>
      <c r="B254">
        <v>9.2620002779662727</v>
      </c>
      <c r="C254">
        <f t="shared" si="79"/>
        <v>9.7951711366357976</v>
      </c>
      <c r="D254">
        <f t="shared" si="79"/>
        <v>10.089395577608673</v>
      </c>
      <c r="E254">
        <f t="shared" si="80"/>
        <v>9.9385556746118908</v>
      </c>
      <c r="F254">
        <f t="shared" si="83"/>
        <v>10.573579852581835</v>
      </c>
      <c r="G254">
        <f t="shared" si="83"/>
        <v>10.511481055984126</v>
      </c>
      <c r="H254">
        <f t="shared" si="83"/>
        <v>10.319863354239416</v>
      </c>
      <c r="I254">
        <f t="shared" si="66"/>
        <v>1.0578630762731436</v>
      </c>
      <c r="J254">
        <f t="shared" si="81"/>
        <v>10.421370097866822</v>
      </c>
      <c r="K254">
        <f t="shared" si="85"/>
        <v>10.439426331685041</v>
      </c>
      <c r="L254">
        <f t="shared" si="85"/>
        <v>10.358586879405753</v>
      </c>
      <c r="M254">
        <f t="shared" si="85"/>
        <v>9.6721548972690616</v>
      </c>
      <c r="N254">
        <f t="shared" si="67"/>
        <v>0.41015461930278896</v>
      </c>
      <c r="O254">
        <f t="shared" si="82"/>
        <v>10.189496133886712</v>
      </c>
      <c r="P254">
        <f t="shared" si="86"/>
        <v>10.454478003748877</v>
      </c>
      <c r="Q254">
        <f t="shared" si="84"/>
        <v>10.427363786278654</v>
      </c>
      <c r="R254">
        <f t="shared" si="87"/>
        <v>10.271540060385394</v>
      </c>
      <c r="S254">
        <f t="shared" si="87"/>
        <v>9.615850326593689</v>
      </c>
      <c r="T254">
        <f t="shared" si="68"/>
        <v>0.35385004862741631</v>
      </c>
      <c r="U254">
        <f t="shared" si="69"/>
        <v>-0.35385004862741631</v>
      </c>
      <c r="V254">
        <f t="shared" si="76"/>
        <v>9.8860909654258435</v>
      </c>
      <c r="W254">
        <f t="shared" si="70"/>
        <v>-0.62409068745957086</v>
      </c>
      <c r="X254">
        <f t="shared" si="77"/>
        <v>10.213226564343291</v>
      </c>
      <c r="Y254">
        <f t="shared" si="71"/>
        <v>-0.95122628637701823</v>
      </c>
      <c r="Z254">
        <f t="shared" si="78"/>
        <v>10.320596483832594</v>
      </c>
      <c r="AA254">
        <f t="shared" si="72"/>
        <v>-1.058596205866321</v>
      </c>
      <c r="AB254">
        <f t="shared" si="73"/>
        <v>2.3518802779662726</v>
      </c>
      <c r="AC254">
        <f t="shared" si="74"/>
        <v>10.091218998999867</v>
      </c>
      <c r="AD254">
        <f t="shared" si="75"/>
        <v>-0.82921872103359462</v>
      </c>
    </row>
    <row r="255" spans="1:30">
      <c r="A255">
        <v>253</v>
      </c>
      <c r="B255">
        <v>8.8519919431050997</v>
      </c>
      <c r="C255">
        <f t="shared" si="79"/>
        <v>10.407611554781475</v>
      </c>
      <c r="D255">
        <f t="shared" si="79"/>
        <v>9.4631966163776475</v>
      </c>
      <c r="E255">
        <f t="shared" si="80"/>
        <v>9.6174475170792899</v>
      </c>
      <c r="F255">
        <f t="shared" si="83"/>
        <v>10.247707778137324</v>
      </c>
      <c r="G255">
        <f t="shared" si="83"/>
        <v>10.574924658641791</v>
      </c>
      <c r="H255">
        <f t="shared" si="83"/>
        <v>10.43935748098157</v>
      </c>
      <c r="I255">
        <f t="shared" si="66"/>
        <v>1.5873655378764706</v>
      </c>
      <c r="J255">
        <f t="shared" si="81"/>
        <v>9.7694168254504863</v>
      </c>
      <c r="K255">
        <f t="shared" si="85"/>
        <v>10.484229627200204</v>
      </c>
      <c r="L255">
        <f t="shared" si="85"/>
        <v>10.438114902003139</v>
      </c>
      <c r="M255">
        <f t="shared" si="85"/>
        <v>9.9601667316073836</v>
      </c>
      <c r="N255">
        <f t="shared" si="67"/>
        <v>1.1081747885022839</v>
      </c>
      <c r="O255">
        <f t="shared" si="82"/>
        <v>9.5859318489814083</v>
      </c>
      <c r="P255">
        <f t="shared" si="86"/>
        <v>10.386551294714462</v>
      </c>
      <c r="Q255">
        <f t="shared" si="84"/>
        <v>10.188964661794584</v>
      </c>
      <c r="R255">
        <f t="shared" si="87"/>
        <v>10.374299042569307</v>
      </c>
      <c r="S255">
        <f t="shared" si="87"/>
        <v>9.793111338799946</v>
      </c>
      <c r="T255">
        <f t="shared" si="68"/>
        <v>0.94111939569484626</v>
      </c>
      <c r="U255">
        <f t="shared" si="69"/>
        <v>-0.94111939569484626</v>
      </c>
      <c r="V255">
        <f t="shared" si="76"/>
        <v>9.8236818966798864</v>
      </c>
      <c r="W255">
        <f t="shared" si="70"/>
        <v>-0.97168995357478671</v>
      </c>
      <c r="X255">
        <f t="shared" si="77"/>
        <v>10.022981307067887</v>
      </c>
      <c r="Y255">
        <f t="shared" si="71"/>
        <v>-1.1709893639627875</v>
      </c>
      <c r="Z255">
        <f t="shared" si="78"/>
        <v>10.003017622072697</v>
      </c>
      <c r="AA255">
        <f t="shared" si="72"/>
        <v>-1.1510256789675974</v>
      </c>
      <c r="AB255">
        <f t="shared" si="73"/>
        <v>1.9363119431050997</v>
      </c>
      <c r="AC255">
        <f t="shared" si="74"/>
        <v>10.120258743995798</v>
      </c>
      <c r="AD255">
        <f t="shared" si="75"/>
        <v>-1.2682668008906983</v>
      </c>
    </row>
    <row r="256" spans="1:30">
      <c r="A256">
        <v>254</v>
      </c>
      <c r="B256">
        <v>10.763390192437164</v>
      </c>
      <c r="C256">
        <f t="shared" si="79"/>
        <v>9.0569961105356853</v>
      </c>
      <c r="D256">
        <f t="shared" si="79"/>
        <v>10.101391345708636</v>
      </c>
      <c r="E256">
        <f t="shared" si="80"/>
        <v>9.8890716842226833</v>
      </c>
      <c r="F256">
        <f t="shared" si="83"/>
        <v>9.8666963483271299</v>
      </c>
      <c r="G256">
        <f t="shared" si="83"/>
        <v>10.493389805938437</v>
      </c>
      <c r="H256">
        <f t="shared" si="83"/>
        <v>10.509203170291084</v>
      </c>
      <c r="I256">
        <f t="shared" si="66"/>
        <v>-0.25418702214608047</v>
      </c>
      <c r="J256">
        <f t="shared" si="81"/>
        <v>9.4260836235857415</v>
      </c>
      <c r="K256">
        <f t="shared" si="85"/>
        <v>10.253472062429632</v>
      </c>
      <c r="L256">
        <f t="shared" si="85"/>
        <v>10.494567285335666</v>
      </c>
      <c r="M256">
        <f t="shared" si="85"/>
        <v>10.1907986453636</v>
      </c>
      <c r="N256">
        <f t="shared" si="67"/>
        <v>-0.5725915470735643</v>
      </c>
      <c r="O256">
        <f t="shared" si="82"/>
        <v>9.6935449373560267</v>
      </c>
      <c r="P256">
        <f t="shared" si="86"/>
        <v>10.190200023276491</v>
      </c>
      <c r="Q256">
        <f t="shared" si="84"/>
        <v>9.9665787687564436</v>
      </c>
      <c r="R256">
        <f t="shared" si="87"/>
        <v>10.408127482601303</v>
      </c>
      <c r="S256">
        <f t="shared" si="87"/>
        <v>9.9726957495690431</v>
      </c>
      <c r="T256">
        <f t="shared" si="68"/>
        <v>-0.79069444286812107</v>
      </c>
      <c r="U256">
        <f t="shared" si="69"/>
        <v>0.79069444286812107</v>
      </c>
      <c r="V256">
        <f t="shared" si="76"/>
        <v>9.7265129013224083</v>
      </c>
      <c r="W256">
        <f t="shared" si="70"/>
        <v>1.0368772911147559</v>
      </c>
      <c r="X256">
        <f t="shared" si="77"/>
        <v>9.788783434275329</v>
      </c>
      <c r="Y256">
        <f t="shared" si="71"/>
        <v>0.97460675816183517</v>
      </c>
      <c r="Z256">
        <f t="shared" si="78"/>
        <v>9.6577099183824178</v>
      </c>
      <c r="AA256">
        <f t="shared" si="72"/>
        <v>1.1056802740547464</v>
      </c>
      <c r="AB256">
        <f t="shared" si="73"/>
        <v>3.8421501924371642</v>
      </c>
      <c r="AC256">
        <f t="shared" si="74"/>
        <v>10.14857030897465</v>
      </c>
      <c r="AD256">
        <f t="shared" si="75"/>
        <v>0.61481988346251448</v>
      </c>
    </row>
    <row r="257" spans="1:30">
      <c r="A257">
        <v>255</v>
      </c>
      <c r="B257">
        <v>8.1644929959341184</v>
      </c>
      <c r="C257">
        <f t="shared" si="79"/>
        <v>9.8076910677711311</v>
      </c>
      <c r="D257">
        <f t="shared" si="79"/>
        <v>9.7323038326585802</v>
      </c>
      <c r="E257">
        <f t="shared" si="80"/>
        <v>9.6257941378361789</v>
      </c>
      <c r="F257">
        <f t="shared" si="83"/>
        <v>9.8150249586379559</v>
      </c>
      <c r="G257">
        <f t="shared" si="83"/>
        <v>10.229327993015429</v>
      </c>
      <c r="H257">
        <f t="shared" si="83"/>
        <v>10.526598506854784</v>
      </c>
      <c r="I257">
        <f t="shared" si="66"/>
        <v>2.3621055109206655</v>
      </c>
      <c r="J257">
        <f t="shared" si="81"/>
        <v>10.107651311276303</v>
      </c>
      <c r="K257">
        <f t="shared" si="85"/>
        <v>9.9241279405510454</v>
      </c>
      <c r="L257">
        <f t="shared" si="85"/>
        <v>10.437588216886784</v>
      </c>
      <c r="M257">
        <f t="shared" si="85"/>
        <v>10.358067315215427</v>
      </c>
      <c r="N257">
        <f t="shared" si="67"/>
        <v>2.1935743192813089</v>
      </c>
      <c r="O257">
        <f t="shared" si="82"/>
        <v>9.7190196482078655</v>
      </c>
      <c r="P257">
        <f t="shared" si="86"/>
        <v>10.009104487199888</v>
      </c>
      <c r="Q257">
        <f t="shared" si="84"/>
        <v>9.782174906224034</v>
      </c>
      <c r="R257">
        <f t="shared" si="87"/>
        <v>10.336358427102615</v>
      </c>
      <c r="S257">
        <f t="shared" si="87"/>
        <v>10.138309456314516</v>
      </c>
      <c r="T257">
        <f t="shared" si="68"/>
        <v>1.973816460380398</v>
      </c>
      <c r="U257">
        <f t="shared" si="69"/>
        <v>-1.973816460380398</v>
      </c>
      <c r="V257">
        <f t="shared" si="76"/>
        <v>9.8302006304338843</v>
      </c>
      <c r="W257">
        <f t="shared" si="70"/>
        <v>-1.6657076344997659</v>
      </c>
      <c r="X257">
        <f t="shared" si="77"/>
        <v>9.9837047859076957</v>
      </c>
      <c r="Y257">
        <f t="shared" si="71"/>
        <v>-1.8192117899735774</v>
      </c>
      <c r="Z257">
        <f t="shared" si="78"/>
        <v>9.9894140005988419</v>
      </c>
      <c r="AA257">
        <f t="shared" si="72"/>
        <v>-1.8249210046647235</v>
      </c>
      <c r="AB257">
        <f t="shared" si="73"/>
        <v>1.2376929959341183</v>
      </c>
      <c r="AC257">
        <f t="shared" si="74"/>
        <v>10.17614603812337</v>
      </c>
      <c r="AD257">
        <f t="shared" si="75"/>
        <v>-2.011653042189252</v>
      </c>
    </row>
    <row r="258" spans="1:30">
      <c r="A258">
        <v>256</v>
      </c>
      <c r="B258">
        <v>8.8507110266195372</v>
      </c>
      <c r="C258">
        <f t="shared" si="79"/>
        <v>9.4639415941856413</v>
      </c>
      <c r="D258">
        <f t="shared" si="79"/>
        <v>9.4323435891534082</v>
      </c>
      <c r="E258">
        <f t="shared" si="80"/>
        <v>9.2599583771587941</v>
      </c>
      <c r="F258">
        <f t="shared" si="83"/>
        <v>9.7107711130460501</v>
      </c>
      <c r="G258">
        <f t="shared" si="83"/>
        <v>9.9764763617008025</v>
      </c>
      <c r="H258">
        <f t="shared" si="83"/>
        <v>10.43254748586522</v>
      </c>
      <c r="I258">
        <f t="shared" si="66"/>
        <v>1.5818364592456824</v>
      </c>
      <c r="J258">
        <f t="shared" si="81"/>
        <v>9.2604688523606633</v>
      </c>
      <c r="K258">
        <f t="shared" si="85"/>
        <v>9.9311304645448395</v>
      </c>
      <c r="L258">
        <f t="shared" si="85"/>
        <v>10.275313990466481</v>
      </c>
      <c r="M258">
        <f t="shared" si="85"/>
        <v>10.432214320907836</v>
      </c>
      <c r="N258">
        <f t="shared" si="67"/>
        <v>1.5815032942882983</v>
      </c>
      <c r="O258">
        <f t="shared" si="82"/>
        <v>9.1785172872124381</v>
      </c>
      <c r="P258">
        <f t="shared" si="86"/>
        <v>9.9124700213984518</v>
      </c>
      <c r="Q258">
        <f t="shared" si="84"/>
        <v>9.438702947119042</v>
      </c>
      <c r="R258">
        <f t="shared" si="87"/>
        <v>10.174624751392022</v>
      </c>
      <c r="S258">
        <f t="shared" si="87"/>
        <v>10.253134684841063</v>
      </c>
      <c r="T258">
        <f t="shared" si="68"/>
        <v>1.4024236582215259</v>
      </c>
      <c r="U258">
        <f t="shared" si="69"/>
        <v>-1.4024236582215259</v>
      </c>
      <c r="V258">
        <f t="shared" si="76"/>
        <v>9.6636298669839071</v>
      </c>
      <c r="W258">
        <f t="shared" si="70"/>
        <v>-0.8129188403643699</v>
      </c>
      <c r="X258">
        <f t="shared" si="77"/>
        <v>9.619862427912981</v>
      </c>
      <c r="Y258">
        <f t="shared" si="71"/>
        <v>-0.76915140129344373</v>
      </c>
      <c r="Z258">
        <f t="shared" si="78"/>
        <v>9.4419376991994248</v>
      </c>
      <c r="AA258">
        <f t="shared" si="72"/>
        <v>-0.59122667257988759</v>
      </c>
      <c r="AB258">
        <f t="shared" si="73"/>
        <v>1.9183510266195372</v>
      </c>
      <c r="AC258">
        <f t="shared" si="74"/>
        <v>10.202978480023019</v>
      </c>
      <c r="AD258">
        <f t="shared" si="75"/>
        <v>-1.3522674534034813</v>
      </c>
    </row>
    <row r="259" spans="1:30">
      <c r="A259">
        <v>257</v>
      </c>
      <c r="B259">
        <v>10.925198089156915</v>
      </c>
      <c r="C259">
        <f t="shared" si="79"/>
        <v>8.5076020112768269</v>
      </c>
      <c r="D259">
        <f t="shared" si="79"/>
        <v>9.6358163309783862</v>
      </c>
      <c r="E259">
        <f t="shared" si="80"/>
        <v>9.2595314049969399</v>
      </c>
      <c r="F259">
        <f t="shared" si="83"/>
        <v>9.5916080664058843</v>
      </c>
      <c r="G259">
        <f t="shared" si="83"/>
        <v>9.7974974733370459</v>
      </c>
      <c r="H259">
        <f t="shared" si="83"/>
        <v>10.233064720218223</v>
      </c>
      <c r="I259">
        <f t="shared" ref="I259:I322" si="88">H259-B259</f>
        <v>-0.69213336893869126</v>
      </c>
      <c r="J259">
        <f t="shared" si="81"/>
        <v>9.157646539523979</v>
      </c>
      <c r="K259">
        <f t="shared" si="85"/>
        <v>9.6409051531682977</v>
      </c>
      <c r="L259">
        <f t="shared" si="85"/>
        <v>10.148240023681431</v>
      </c>
      <c r="M259">
        <f t="shared" si="85"/>
        <v>10.411396098673018</v>
      </c>
      <c r="N259">
        <f t="shared" ref="N259:N322" si="89">M259-B259</f>
        <v>-0.51380199048389663</v>
      </c>
      <c r="O259">
        <f t="shared" si="82"/>
        <v>9.5111568494505665</v>
      </c>
      <c r="P259">
        <f t="shared" si="86"/>
        <v>9.6733019711288897</v>
      </c>
      <c r="Q259">
        <f t="shared" si="84"/>
        <v>9.5743015446098116</v>
      </c>
      <c r="R259">
        <f t="shared" si="87"/>
        <v>9.995970637539072</v>
      </c>
      <c r="S259">
        <f t="shared" si="87"/>
        <v>10.289775173558331</v>
      </c>
      <c r="T259">
        <f t="shared" ref="T259:T322" si="90">S259-B259</f>
        <v>-0.63542291559858377</v>
      </c>
      <c r="U259">
        <f t="shared" ref="U259:U322" si="91">B259-S259</f>
        <v>0.63542291559858377</v>
      </c>
      <c r="V259">
        <f t="shared" si="76"/>
        <v>9.58233798294747</v>
      </c>
      <c r="W259">
        <f t="shared" ref="W259:W322" si="92">B259-V259</f>
        <v>1.3428601062094447</v>
      </c>
      <c r="X259">
        <f t="shared" si="77"/>
        <v>9.4660321476542926</v>
      </c>
      <c r="Y259">
        <f t="shared" ref="Y259:Y322" si="93">B259-X259</f>
        <v>1.4591659415026221</v>
      </c>
      <c r="Z259">
        <f t="shared" si="78"/>
        <v>9.2645696974254577</v>
      </c>
      <c r="AA259">
        <f t="shared" ref="AA259:AA322" si="94">B259-Z259</f>
        <v>1.660628391731457</v>
      </c>
      <c r="AB259">
        <f t="shared" ref="AB259:AB322" si="95">B259- ((0.00556 * A259)  +5.509)</f>
        <v>3.9872780891569146</v>
      </c>
      <c r="AC259">
        <f t="shared" ref="AC259:AC322" si="96">0.00075*A259 + 5.509 + ($AI$6*SIN((A259/$AI$7)+ $AI$8))+ ($AI$6*COS((A259/$AI$7) + $AI$8))+ $AI$9</f>
        <v>10.229060389718555</v>
      </c>
      <c r="AD259">
        <f t="shared" ref="AD259:AD322" si="97">B259-AC259</f>
        <v>0.6961376994383599</v>
      </c>
    </row>
    <row r="260" spans="1:30">
      <c r="A260">
        <v>258</v>
      </c>
      <c r="B260">
        <v>9.1388169321322099</v>
      </c>
      <c r="C260">
        <f t="shared" si="79"/>
        <v>9.8879545578882251</v>
      </c>
      <c r="D260">
        <f t="shared" si="79"/>
        <v>8.9857718027312341</v>
      </c>
      <c r="E260">
        <f t="shared" si="80"/>
        <v>9.3134673705701889</v>
      </c>
      <c r="F260">
        <f t="shared" si="83"/>
        <v>9.3817613066639698</v>
      </c>
      <c r="G260">
        <f t="shared" si="83"/>
        <v>9.7058013793632956</v>
      </c>
      <c r="H260">
        <f t="shared" si="83"/>
        <v>10.001100609351093</v>
      </c>
      <c r="I260">
        <f t="shared" si="88"/>
        <v>0.86228367721888333</v>
      </c>
      <c r="J260">
        <f t="shared" si="81"/>
        <v>9.6759480760369332</v>
      </c>
      <c r="K260">
        <f t="shared" si="85"/>
        <v>9.4879625816866717</v>
      </c>
      <c r="L260">
        <f t="shared" si="85"/>
        <v>9.9374089051734522</v>
      </c>
      <c r="M260">
        <f t="shared" si="85"/>
        <v>10.33892737909259</v>
      </c>
      <c r="N260">
        <f t="shared" si="89"/>
        <v>1.2001104469603803</v>
      </c>
      <c r="O260">
        <f t="shared" si="82"/>
        <v>9.5685218472559885</v>
      </c>
      <c r="P260">
        <f t="shared" si="86"/>
        <v>9.5376341142416603</v>
      </c>
      <c r="Q260">
        <f t="shared" si="84"/>
        <v>9.4696307542031839</v>
      </c>
      <c r="R260">
        <f t="shared" si="87"/>
        <v>9.8963477691304274</v>
      </c>
      <c r="S260">
        <f t="shared" si="87"/>
        <v>10.260153400264953</v>
      </c>
      <c r="T260">
        <f t="shared" si="90"/>
        <v>1.1213364681327427</v>
      </c>
      <c r="U260">
        <f t="shared" si="91"/>
        <v>-1.1213364681327427</v>
      </c>
      <c r="V260">
        <f t="shared" ref="V260:V323" si="98">V259+0.1*(B259-V259)</f>
        <v>9.7166239935684153</v>
      </c>
      <c r="W260">
        <f t="shared" si="92"/>
        <v>-0.57780706143620542</v>
      </c>
      <c r="X260">
        <f t="shared" ref="X260:X323" si="99">X259+0.2*(B259-X259)</f>
        <v>9.7578653359548166</v>
      </c>
      <c r="Y260">
        <f t="shared" si="93"/>
        <v>-0.61904840382260673</v>
      </c>
      <c r="Z260">
        <f t="shared" ref="Z260:Z323" si="100">Z259+0.3*(B259-Z259)</f>
        <v>9.7627582149448955</v>
      </c>
      <c r="AA260">
        <f t="shared" si="94"/>
        <v>-0.62394128281268557</v>
      </c>
      <c r="AB260">
        <f t="shared" si="95"/>
        <v>2.1953369321322098</v>
      </c>
      <c r="AC260">
        <f t="shared" si="96"/>
        <v>10.254384730731282</v>
      </c>
      <c r="AD260">
        <f t="shared" si="97"/>
        <v>-1.1155677985990717</v>
      </c>
    </row>
    <row r="261" spans="1:30">
      <c r="A261">
        <v>259</v>
      </c>
      <c r="B261">
        <v>10.025129709398776</v>
      </c>
      <c r="C261">
        <f t="shared" ref="C261:D324" si="101">AVERAGE(B259:B260)</f>
        <v>10.032007510644561</v>
      </c>
      <c r="D261">
        <f t="shared" si="101"/>
        <v>9.197778284582526</v>
      </c>
      <c r="E261">
        <f t="shared" si="80"/>
        <v>9.6382420159695528</v>
      </c>
      <c r="F261">
        <f t="shared" si="83"/>
        <v>9.2776523842419749</v>
      </c>
      <c r="G261">
        <f t="shared" si="83"/>
        <v>9.5613801620386329</v>
      </c>
      <c r="H261">
        <f t="shared" si="83"/>
        <v>9.8265917381337147</v>
      </c>
      <c r="I261">
        <f t="shared" si="88"/>
        <v>-0.19853797126506123</v>
      </c>
      <c r="J261">
        <f t="shared" si="81"/>
        <v>9.2698047609606942</v>
      </c>
      <c r="K261">
        <f t="shared" si="85"/>
        <v>9.5504286947994697</v>
      </c>
      <c r="L261">
        <f t="shared" si="85"/>
        <v>9.7460315349877131</v>
      </c>
      <c r="M261">
        <f t="shared" si="85"/>
        <v>10.199637784052037</v>
      </c>
      <c r="N261">
        <f t="shared" si="89"/>
        <v>0.17450807465326079</v>
      </c>
      <c r="O261">
        <f t="shared" si="82"/>
        <v>9.4208697506483112</v>
      </c>
      <c r="P261">
        <f t="shared" si="86"/>
        <v>9.5341521138965764</v>
      </c>
      <c r="Q261">
        <f t="shared" si="84"/>
        <v>9.4491001965641725</v>
      </c>
      <c r="R261">
        <f t="shared" si="87"/>
        <v>9.7367255971178484</v>
      </c>
      <c r="S261">
        <f t="shared" si="87"/>
        <v>10.197621351722459</v>
      </c>
      <c r="T261">
        <f t="shared" si="90"/>
        <v>0.17249164232368308</v>
      </c>
      <c r="U261">
        <f t="shared" si="91"/>
        <v>-0.17249164232368308</v>
      </c>
      <c r="V261">
        <f t="shared" si="98"/>
        <v>9.6588432874247943</v>
      </c>
      <c r="W261">
        <f t="shared" si="92"/>
        <v>0.36628642197398165</v>
      </c>
      <c r="X261">
        <f t="shared" si="99"/>
        <v>9.6340556551902949</v>
      </c>
      <c r="Y261">
        <f t="shared" si="93"/>
        <v>0.39107405420848096</v>
      </c>
      <c r="Z261">
        <f t="shared" si="100"/>
        <v>9.5755758301010907</v>
      </c>
      <c r="AA261">
        <f t="shared" si="94"/>
        <v>0.4495538792976852</v>
      </c>
      <c r="AB261">
        <f t="shared" si="95"/>
        <v>3.0760897093987758</v>
      </c>
      <c r="AC261">
        <f t="shared" si="96"/>
        <v>10.278944677013373</v>
      </c>
      <c r="AD261">
        <f t="shared" si="97"/>
        <v>-0.25381496761459665</v>
      </c>
    </row>
    <row r="262" spans="1:30">
      <c r="A262">
        <v>260</v>
      </c>
      <c r="B262">
        <v>9.8863693968486857</v>
      </c>
      <c r="C262">
        <f t="shared" si="101"/>
        <v>9.581973320765492</v>
      </c>
      <c r="D262">
        <f t="shared" si="101"/>
        <v>9.9599810342663933</v>
      </c>
      <c r="E262">
        <f t="shared" ref="E262:E325" si="102">AVERAGE(B259:B261)</f>
        <v>10.0297149102293</v>
      </c>
      <c r="F262">
        <f t="shared" si="83"/>
        <v>9.4037469305122272</v>
      </c>
      <c r="G262">
        <f t="shared" si="83"/>
        <v>9.4170072524372763</v>
      </c>
      <c r="H262">
        <f t="shared" si="83"/>
        <v>9.6882263382463236</v>
      </c>
      <c r="I262">
        <f t="shared" si="88"/>
        <v>-0.19814305860236203</v>
      </c>
      <c r="J262">
        <f t="shared" si="81"/>
        <v>9.7349639393268586</v>
      </c>
      <c r="K262">
        <f t="shared" si="85"/>
        <v>9.340967057220567</v>
      </c>
      <c r="L262">
        <f t="shared" si="85"/>
        <v>9.6526067235498196</v>
      </c>
      <c r="M262">
        <f t="shared" si="85"/>
        <v>10.026748613577269</v>
      </c>
      <c r="N262">
        <f t="shared" si="89"/>
        <v>0.14037921672858289</v>
      </c>
      <c r="O262">
        <f t="shared" si="82"/>
        <v>9.765245030831224</v>
      </c>
      <c r="P262">
        <f t="shared" si="86"/>
        <v>9.4796170765550336</v>
      </c>
      <c r="Q262">
        <f t="shared" si="84"/>
        <v>9.6446231576131201</v>
      </c>
      <c r="R262">
        <f t="shared" si="87"/>
        <v>9.613414852912781</v>
      </c>
      <c r="S262">
        <f t="shared" si="87"/>
        <v>10.091359110813881</v>
      </c>
      <c r="T262">
        <f t="shared" si="90"/>
        <v>0.20498971396519572</v>
      </c>
      <c r="U262">
        <f t="shared" si="91"/>
        <v>-0.20498971396519572</v>
      </c>
      <c r="V262">
        <f t="shared" si="98"/>
        <v>9.6954719296221921</v>
      </c>
      <c r="W262">
        <f t="shared" si="92"/>
        <v>0.19089746722649359</v>
      </c>
      <c r="X262">
        <f t="shared" si="99"/>
        <v>9.7122704660319918</v>
      </c>
      <c r="Y262">
        <f t="shared" si="93"/>
        <v>0.17409893081669381</v>
      </c>
      <c r="Z262">
        <f t="shared" si="100"/>
        <v>9.710441993890397</v>
      </c>
      <c r="AA262">
        <f t="shared" si="94"/>
        <v>0.17592740295828868</v>
      </c>
      <c r="AB262">
        <f t="shared" si="95"/>
        <v>2.9317693968486855</v>
      </c>
      <c r="AC262">
        <f t="shared" si="96"/>
        <v>10.302733614843959</v>
      </c>
      <c r="AD262">
        <f t="shared" si="97"/>
        <v>-0.41636421799527312</v>
      </c>
    </row>
    <row r="263" spans="1:30">
      <c r="A263">
        <v>261</v>
      </c>
      <c r="B263">
        <v>9.7060974140740974</v>
      </c>
      <c r="C263">
        <f t="shared" si="101"/>
        <v>9.9557495531237308</v>
      </c>
      <c r="D263">
        <f t="shared" si="101"/>
        <v>9.8069904157050267</v>
      </c>
      <c r="E263">
        <f t="shared" si="102"/>
        <v>9.6834386794598899</v>
      </c>
      <c r="F263">
        <f t="shared" si="83"/>
        <v>9.6604747655896812</v>
      </c>
      <c r="G263">
        <f t="shared" si="83"/>
        <v>9.3543868738060567</v>
      </c>
      <c r="H263">
        <f t="shared" si="83"/>
        <v>9.5613962646130677</v>
      </c>
      <c r="I263">
        <f t="shared" si="88"/>
        <v>-0.14470114946102974</v>
      </c>
      <c r="J263">
        <f t="shared" ref="J263:J326" si="103">AVERAGE(B259:B262)</f>
        <v>9.9938785318841461</v>
      </c>
      <c r="K263">
        <f t="shared" si="85"/>
        <v>9.4595908289621171</v>
      </c>
      <c r="L263">
        <f t="shared" si="85"/>
        <v>9.5050658717187524</v>
      </c>
      <c r="M263">
        <f t="shared" si="85"/>
        <v>9.8710717968481028</v>
      </c>
      <c r="N263">
        <f t="shared" si="89"/>
        <v>0.16497438277400533</v>
      </c>
      <c r="O263">
        <f t="shared" ref="O263:O326" si="104">AVERAGE(B259:B263)</f>
        <v>9.9363223083221364</v>
      </c>
      <c r="P263">
        <f t="shared" si="86"/>
        <v>9.4888621530797046</v>
      </c>
      <c r="Q263">
        <f t="shared" si="84"/>
        <v>9.4984530250150403</v>
      </c>
      <c r="R263">
        <f t="shared" si="87"/>
        <v>9.5597555843888937</v>
      </c>
      <c r="S263">
        <f t="shared" si="87"/>
        <v>9.9589070058657949</v>
      </c>
      <c r="T263">
        <f t="shared" si="90"/>
        <v>0.25280959179169749</v>
      </c>
      <c r="U263">
        <f t="shared" si="91"/>
        <v>-0.25280959179169749</v>
      </c>
      <c r="V263">
        <f t="shared" si="98"/>
        <v>9.7145616763448412</v>
      </c>
      <c r="W263">
        <f t="shared" si="92"/>
        <v>-8.4642622707438164E-3</v>
      </c>
      <c r="X263">
        <f t="shared" si="99"/>
        <v>9.7470902521953313</v>
      </c>
      <c r="Y263">
        <f t="shared" si="93"/>
        <v>-4.0992838121233888E-2</v>
      </c>
      <c r="Z263">
        <f t="shared" si="100"/>
        <v>9.763220214777883</v>
      </c>
      <c r="AA263">
        <f t="shared" si="94"/>
        <v>-5.7122800703785614E-2</v>
      </c>
      <c r="AB263">
        <f t="shared" si="95"/>
        <v>2.7459374140740973</v>
      </c>
      <c r="AC263">
        <f t="shared" si="96"/>
        <v>10.325745144666227</v>
      </c>
      <c r="AD263">
        <f t="shared" si="97"/>
        <v>-0.61964773059212952</v>
      </c>
    </row>
    <row r="264" spans="1:30">
      <c r="A264">
        <v>262</v>
      </c>
      <c r="B264">
        <v>8.2719785596599031</v>
      </c>
      <c r="C264">
        <f t="shared" si="101"/>
        <v>9.7962334054613915</v>
      </c>
      <c r="D264">
        <f t="shared" si="101"/>
        <v>9.7688614369446114</v>
      </c>
      <c r="E264">
        <f t="shared" si="102"/>
        <v>9.8725321734405203</v>
      </c>
      <c r="F264">
        <f t="shared" si="83"/>
        <v>9.7837985352195815</v>
      </c>
      <c r="G264">
        <f t="shared" si="83"/>
        <v>9.4472913601146278</v>
      </c>
      <c r="H264">
        <f t="shared" si="83"/>
        <v>9.4442580960939893</v>
      </c>
      <c r="I264">
        <f t="shared" si="88"/>
        <v>1.1722795364340861</v>
      </c>
      <c r="J264">
        <f t="shared" si="103"/>
        <v>9.6891033631134427</v>
      </c>
      <c r="K264">
        <f t="shared" si="85"/>
        <v>9.6686488270521593</v>
      </c>
      <c r="L264">
        <f t="shared" si="85"/>
        <v>9.4597372906672064</v>
      </c>
      <c r="M264">
        <f t="shared" si="85"/>
        <v>9.7102782588574339</v>
      </c>
      <c r="N264">
        <f t="shared" si="89"/>
        <v>1.4382996991975308</v>
      </c>
      <c r="O264">
        <f t="shared" si="104"/>
        <v>9.4056784024227333</v>
      </c>
      <c r="P264">
        <f t="shared" si="86"/>
        <v>9.6404231573016457</v>
      </c>
      <c r="Q264">
        <f t="shared" si="84"/>
        <v>9.7553870947050356</v>
      </c>
      <c r="R264">
        <f t="shared" si="87"/>
        <v>9.5124686041873954</v>
      </c>
      <c r="S264">
        <f t="shared" si="87"/>
        <v>9.8294731987468413</v>
      </c>
      <c r="T264">
        <f t="shared" si="90"/>
        <v>1.5574946390869382</v>
      </c>
      <c r="U264">
        <f t="shared" si="91"/>
        <v>-1.5574946390869382</v>
      </c>
      <c r="V264">
        <f t="shared" si="98"/>
        <v>9.713715250117767</v>
      </c>
      <c r="W264">
        <f t="shared" si="92"/>
        <v>-1.4417366904578639</v>
      </c>
      <c r="X264">
        <f t="shared" si="99"/>
        <v>9.7388916845710849</v>
      </c>
      <c r="Y264">
        <f t="shared" si="93"/>
        <v>-1.4669131249111818</v>
      </c>
      <c r="Z264">
        <f t="shared" si="100"/>
        <v>9.7460833745667479</v>
      </c>
      <c r="AA264">
        <f t="shared" si="94"/>
        <v>-1.4741048149068448</v>
      </c>
      <c r="AB264">
        <f t="shared" si="95"/>
        <v>1.306258559659903</v>
      </c>
      <c r="AC264">
        <f t="shared" si="96"/>
        <v>10.347973082865037</v>
      </c>
      <c r="AD264">
        <f t="shared" si="97"/>
        <v>-2.075994523205134</v>
      </c>
    </row>
    <row r="265" spans="1:30">
      <c r="A265">
        <v>263</v>
      </c>
      <c r="B265">
        <v>9.8781074722322124</v>
      </c>
      <c r="C265">
        <f t="shared" si="101"/>
        <v>8.9890379868670003</v>
      </c>
      <c r="D265">
        <f t="shared" si="101"/>
        <v>9.875991479292562</v>
      </c>
      <c r="E265">
        <f t="shared" si="102"/>
        <v>9.2881484568608954</v>
      </c>
      <c r="F265">
        <f t="shared" ref="F265:H328" si="105">AVERAGE(E262:E264)</f>
        <v>9.8618952543765701</v>
      </c>
      <c r="G265">
        <f t="shared" si="105"/>
        <v>9.6160067437738306</v>
      </c>
      <c r="H265">
        <f t="shared" si="105"/>
        <v>9.4062284954526536</v>
      </c>
      <c r="I265">
        <f t="shared" si="88"/>
        <v>-0.47187897677955881</v>
      </c>
      <c r="J265">
        <f t="shared" si="103"/>
        <v>9.4723937699953655</v>
      </c>
      <c r="K265">
        <f t="shared" si="85"/>
        <v>9.6719376488212845</v>
      </c>
      <c r="L265">
        <f t="shared" si="85"/>
        <v>9.5049088520085796</v>
      </c>
      <c r="M265">
        <f t="shared" si="85"/>
        <v>9.5908603552308733</v>
      </c>
      <c r="N265">
        <f t="shared" si="89"/>
        <v>-0.28724711700133909</v>
      </c>
      <c r="O265">
        <f t="shared" si="104"/>
        <v>9.5535365104427346</v>
      </c>
      <c r="P265">
        <f t="shared" si="86"/>
        <v>9.6193274678960794</v>
      </c>
      <c r="Q265">
        <f t="shared" ref="Q265:Q328" si="106">AVERAGE(B259:B264)</f>
        <v>9.6589316835450969</v>
      </c>
      <c r="R265">
        <f t="shared" si="87"/>
        <v>9.5652492954517268</v>
      </c>
      <c r="S265">
        <f t="shared" si="87"/>
        <v>9.7191138408794036</v>
      </c>
      <c r="T265">
        <f t="shared" si="90"/>
        <v>-0.15899363135280886</v>
      </c>
      <c r="U265">
        <f t="shared" si="91"/>
        <v>0.15899363135280886</v>
      </c>
      <c r="V265">
        <f t="shared" si="98"/>
        <v>9.5695415810719808</v>
      </c>
      <c r="W265">
        <f t="shared" si="92"/>
        <v>0.30856589116023159</v>
      </c>
      <c r="X265">
        <f t="shared" si="99"/>
        <v>9.4455090595888489</v>
      </c>
      <c r="Y265">
        <f t="shared" si="93"/>
        <v>0.43259841264336352</v>
      </c>
      <c r="Z265">
        <f t="shared" si="100"/>
        <v>9.3038519300946945</v>
      </c>
      <c r="AA265">
        <f t="shared" si="94"/>
        <v>0.57425554213751795</v>
      </c>
      <c r="AB265">
        <f t="shared" si="95"/>
        <v>2.9068274722322123</v>
      </c>
      <c r="AC265">
        <f t="shared" si="96"/>
        <v>10.369411463484544</v>
      </c>
      <c r="AD265">
        <f t="shared" si="97"/>
        <v>-0.49130399125233204</v>
      </c>
    </row>
    <row r="266" spans="1:30">
      <c r="A266">
        <v>264</v>
      </c>
      <c r="B266">
        <v>8.4430143908810287</v>
      </c>
      <c r="C266">
        <f t="shared" si="101"/>
        <v>9.0750430159460578</v>
      </c>
      <c r="D266">
        <f t="shared" si="101"/>
        <v>9.392635696164195</v>
      </c>
      <c r="E266">
        <f t="shared" si="102"/>
        <v>9.2853944819887371</v>
      </c>
      <c r="F266">
        <f t="shared" si="105"/>
        <v>9.6147064365871007</v>
      </c>
      <c r="G266">
        <f t="shared" si="105"/>
        <v>9.7687228517286115</v>
      </c>
      <c r="H266">
        <f t="shared" si="105"/>
        <v>9.4725616592315038</v>
      </c>
      <c r="I266">
        <f t="shared" si="88"/>
        <v>1.0295472683504752</v>
      </c>
      <c r="J266">
        <f t="shared" si="103"/>
        <v>9.4356382107037255</v>
      </c>
      <c r="K266">
        <f t="shared" si="85"/>
        <v>9.7225849010799532</v>
      </c>
      <c r="L266">
        <f t="shared" si="85"/>
        <v>9.5352860905140311</v>
      </c>
      <c r="M266">
        <f t="shared" si="85"/>
        <v>9.5305796844860886</v>
      </c>
      <c r="N266">
        <f t="shared" si="89"/>
        <v>1.0875652936050599</v>
      </c>
      <c r="O266">
        <f t="shared" si="104"/>
        <v>9.2371134467391869</v>
      </c>
      <c r="P266">
        <f t="shared" si="86"/>
        <v>9.6163304005334265</v>
      </c>
      <c r="Q266">
        <f t="shared" si="106"/>
        <v>9.4844165807243144</v>
      </c>
      <c r="R266">
        <f t="shared" si="87"/>
        <v>9.5793543186076082</v>
      </c>
      <c r="S266">
        <f t="shared" si="87"/>
        <v>9.6473269505315127</v>
      </c>
      <c r="T266">
        <f t="shared" si="90"/>
        <v>1.204312559650484</v>
      </c>
      <c r="U266">
        <f t="shared" si="91"/>
        <v>-1.204312559650484</v>
      </c>
      <c r="V266">
        <f t="shared" si="98"/>
        <v>9.6003981701880043</v>
      </c>
      <c r="W266">
        <f t="shared" si="92"/>
        <v>-1.1573837793069757</v>
      </c>
      <c r="X266">
        <f t="shared" si="99"/>
        <v>9.5320287421175216</v>
      </c>
      <c r="Y266">
        <f t="shared" si="93"/>
        <v>-1.0890143512364929</v>
      </c>
      <c r="Z266">
        <f t="shared" si="100"/>
        <v>9.4761285927359502</v>
      </c>
      <c r="AA266">
        <f t="shared" si="94"/>
        <v>-1.0331142018549215</v>
      </c>
      <c r="AB266">
        <f t="shared" si="95"/>
        <v>1.4661743908810285</v>
      </c>
      <c r="AC266">
        <f t="shared" si="96"/>
        <v>10.39005453988538</v>
      </c>
      <c r="AD266">
        <f t="shared" si="97"/>
        <v>-1.9470401490043514</v>
      </c>
    </row>
    <row r="267" spans="1:30">
      <c r="A267">
        <v>265</v>
      </c>
      <c r="B267">
        <v>11.541740231859777</v>
      </c>
      <c r="C267">
        <f t="shared" si="101"/>
        <v>9.1605609315566205</v>
      </c>
      <c r="D267">
        <f t="shared" si="101"/>
        <v>9.032040501406529</v>
      </c>
      <c r="E267">
        <f t="shared" si="102"/>
        <v>8.8643668075910487</v>
      </c>
      <c r="F267">
        <f t="shared" si="105"/>
        <v>9.4820250374300503</v>
      </c>
      <c r="G267">
        <f t="shared" si="105"/>
        <v>9.7534667420610841</v>
      </c>
      <c r="H267">
        <f t="shared" si="105"/>
        <v>9.6106736518723554</v>
      </c>
      <c r="I267">
        <f t="shared" si="88"/>
        <v>-1.9310665799874212</v>
      </c>
      <c r="J267">
        <f t="shared" si="103"/>
        <v>9.0747994592118104</v>
      </c>
      <c r="K267">
        <f t="shared" ref="K267:M330" si="107">AVERAGE(J263:J266)</f>
        <v>9.6477534689241686</v>
      </c>
      <c r="L267">
        <f t="shared" si="107"/>
        <v>9.6306905514788781</v>
      </c>
      <c r="M267">
        <f t="shared" si="107"/>
        <v>9.5012495262271415</v>
      </c>
      <c r="N267">
        <f t="shared" si="89"/>
        <v>-2.0404907056326351</v>
      </c>
      <c r="O267">
        <f t="shared" si="104"/>
        <v>9.5681876137414044</v>
      </c>
      <c r="P267">
        <f t="shared" si="86"/>
        <v>9.579579139751603</v>
      </c>
      <c r="Q267">
        <f t="shared" si="106"/>
        <v>9.3684494905157845</v>
      </c>
      <c r="R267">
        <f t="shared" si="87"/>
        <v>9.5818186230277966</v>
      </c>
      <c r="S267">
        <f t="shared" si="87"/>
        <v>9.5944947087777095</v>
      </c>
      <c r="T267">
        <f t="shared" si="90"/>
        <v>-1.9472455230820671</v>
      </c>
      <c r="U267">
        <f t="shared" si="91"/>
        <v>1.9472455230820671</v>
      </c>
      <c r="V267">
        <f t="shared" si="98"/>
        <v>9.4846597922573075</v>
      </c>
      <c r="W267">
        <f t="shared" si="92"/>
        <v>2.0570804396024691</v>
      </c>
      <c r="X267">
        <f t="shared" si="99"/>
        <v>9.3142258718702227</v>
      </c>
      <c r="Y267">
        <f t="shared" si="93"/>
        <v>2.2275143599895539</v>
      </c>
      <c r="Z267">
        <f t="shared" si="100"/>
        <v>9.1661943321794741</v>
      </c>
      <c r="AA267">
        <f t="shared" si="94"/>
        <v>2.3755458996803025</v>
      </c>
      <c r="AB267">
        <f t="shared" si="95"/>
        <v>4.5593402318597764</v>
      </c>
      <c r="AC267">
        <f t="shared" si="96"/>
        <v>10.409896786340903</v>
      </c>
      <c r="AD267">
        <f t="shared" si="97"/>
        <v>1.1318434455188733</v>
      </c>
    </row>
    <row r="268" spans="1:30">
      <c r="A268">
        <v>266</v>
      </c>
      <c r="B268">
        <v>9.7687554144220012</v>
      </c>
      <c r="C268">
        <f t="shared" si="101"/>
        <v>9.9923773113704026</v>
      </c>
      <c r="D268">
        <f t="shared" si="101"/>
        <v>9.1178019737513392</v>
      </c>
      <c r="E268">
        <f t="shared" si="102"/>
        <v>9.9542873649910053</v>
      </c>
      <c r="F268">
        <f t="shared" si="105"/>
        <v>9.1459699154802276</v>
      </c>
      <c r="G268">
        <f t="shared" si="105"/>
        <v>9.6528755761312386</v>
      </c>
      <c r="H268">
        <f t="shared" si="105"/>
        <v>9.7127321125211754</v>
      </c>
      <c r="I268">
        <f t="shared" si="88"/>
        <v>-5.6023301900825828E-2</v>
      </c>
      <c r="J268">
        <f t="shared" si="103"/>
        <v>9.5337101636582311</v>
      </c>
      <c r="K268">
        <f t="shared" si="107"/>
        <v>9.4179837007560856</v>
      </c>
      <c r="L268">
        <f t="shared" si="107"/>
        <v>9.6777312114693927</v>
      </c>
      <c r="M268">
        <f t="shared" si="107"/>
        <v>9.5326556961671738</v>
      </c>
      <c r="N268">
        <f t="shared" si="89"/>
        <v>-0.23609971825482745</v>
      </c>
      <c r="O268">
        <f t="shared" si="104"/>
        <v>9.5807192138109851</v>
      </c>
      <c r="P268">
        <f t="shared" si="86"/>
        <v>9.5401676563336402</v>
      </c>
      <c r="Q268">
        <f t="shared" si="106"/>
        <v>9.6212179109259512</v>
      </c>
      <c r="R268">
        <f t="shared" si="87"/>
        <v>9.5683768386863992</v>
      </c>
      <c r="S268">
        <f t="shared" si="87"/>
        <v>9.5686768797627</v>
      </c>
      <c r="T268">
        <f t="shared" si="90"/>
        <v>-0.20007853465930125</v>
      </c>
      <c r="U268">
        <f t="shared" si="91"/>
        <v>0.20007853465930125</v>
      </c>
      <c r="V268">
        <f t="shared" si="98"/>
        <v>9.690367836217554</v>
      </c>
      <c r="W268">
        <f t="shared" si="92"/>
        <v>7.8387578204447195E-2</v>
      </c>
      <c r="X268">
        <f t="shared" si="99"/>
        <v>9.7597287438681342</v>
      </c>
      <c r="Y268">
        <f t="shared" si="93"/>
        <v>9.0266705538670777E-3</v>
      </c>
      <c r="Z268">
        <f t="shared" si="100"/>
        <v>9.8788581020835657</v>
      </c>
      <c r="AA268">
        <f t="shared" si="94"/>
        <v>-0.1101026876615645</v>
      </c>
      <c r="AB268">
        <f t="shared" si="95"/>
        <v>2.7807954144220011</v>
      </c>
      <c r="AC268">
        <f t="shared" si="96"/>
        <v>10.428932899572082</v>
      </c>
      <c r="AD268">
        <f t="shared" si="97"/>
        <v>-0.66017748515008101</v>
      </c>
    </row>
    <row r="269" spans="1:30">
      <c r="A269">
        <v>267</v>
      </c>
      <c r="B269">
        <v>11.809825854843464</v>
      </c>
      <c r="C269">
        <f t="shared" si="101"/>
        <v>10.65524782314089</v>
      </c>
      <c r="D269">
        <f t="shared" si="101"/>
        <v>9.5764691214635107</v>
      </c>
      <c r="E269">
        <f t="shared" si="102"/>
        <v>9.9178366790542682</v>
      </c>
      <c r="F269">
        <f t="shared" si="105"/>
        <v>9.3680162181902631</v>
      </c>
      <c r="G269">
        <f t="shared" si="105"/>
        <v>9.4142337964991256</v>
      </c>
      <c r="H269">
        <f t="shared" si="105"/>
        <v>9.7250217233069787</v>
      </c>
      <c r="I269">
        <f t="shared" si="88"/>
        <v>-2.0848041315364849</v>
      </c>
      <c r="J269">
        <f t="shared" si="103"/>
        <v>9.9079043773487552</v>
      </c>
      <c r="K269">
        <f t="shared" si="107"/>
        <v>9.3791354008922845</v>
      </c>
      <c r="L269">
        <f t="shared" si="107"/>
        <v>9.6150649298953734</v>
      </c>
      <c r="M269">
        <f t="shared" si="107"/>
        <v>9.5871541763677204</v>
      </c>
      <c r="N269">
        <f t="shared" si="89"/>
        <v>-2.2226716784757432</v>
      </c>
      <c r="O269">
        <f t="shared" si="104"/>
        <v>10.288288672847695</v>
      </c>
      <c r="P269">
        <f t="shared" ref="P269:P332" si="108">AVERAGE(O264:O268)</f>
        <v>9.4690470374314106</v>
      </c>
      <c r="Q269">
        <f t="shared" si="106"/>
        <v>9.6016155805215035</v>
      </c>
      <c r="R269">
        <f t="shared" si="87"/>
        <v>9.5644759642385377</v>
      </c>
      <c r="S269">
        <f t="shared" si="87"/>
        <v>9.561170544058303</v>
      </c>
      <c r="T269">
        <f t="shared" si="90"/>
        <v>-2.2486553107851606</v>
      </c>
      <c r="U269">
        <f t="shared" si="91"/>
        <v>2.2486553107851606</v>
      </c>
      <c r="V269">
        <f t="shared" si="98"/>
        <v>9.6982065940379982</v>
      </c>
      <c r="W269">
        <f t="shared" si="92"/>
        <v>2.1116192608054654</v>
      </c>
      <c r="X269">
        <f t="shared" si="99"/>
        <v>9.7615340779789079</v>
      </c>
      <c r="Y269">
        <f t="shared" si="93"/>
        <v>2.0482917768645557</v>
      </c>
      <c r="Z269">
        <f t="shared" si="100"/>
        <v>9.8458272957850959</v>
      </c>
      <c r="AA269">
        <f t="shared" si="94"/>
        <v>1.9639985590583677</v>
      </c>
      <c r="AB269">
        <f t="shared" si="95"/>
        <v>4.8163058548434634</v>
      </c>
      <c r="AC269">
        <f t="shared" si="96"/>
        <v>10.447157800220596</v>
      </c>
      <c r="AD269">
        <f t="shared" si="97"/>
        <v>1.3626680546228673</v>
      </c>
    </row>
    <row r="270" spans="1:30">
      <c r="A270">
        <v>268</v>
      </c>
      <c r="B270">
        <v>9.8588916029299778</v>
      </c>
      <c r="C270">
        <f t="shared" si="101"/>
        <v>10.789290634632732</v>
      </c>
      <c r="D270">
        <f t="shared" si="101"/>
        <v>10.323812567255647</v>
      </c>
      <c r="E270">
        <f t="shared" si="102"/>
        <v>11.040107167041748</v>
      </c>
      <c r="F270">
        <f t="shared" si="105"/>
        <v>9.5788302838787747</v>
      </c>
      <c r="G270">
        <f t="shared" si="105"/>
        <v>9.3320037237001809</v>
      </c>
      <c r="H270">
        <f t="shared" si="105"/>
        <v>9.6068587048971494</v>
      </c>
      <c r="I270">
        <f t="shared" si="88"/>
        <v>-0.25203289803282836</v>
      </c>
      <c r="J270">
        <f t="shared" si="103"/>
        <v>10.390833973001566</v>
      </c>
      <c r="K270">
        <f t="shared" si="107"/>
        <v>9.488013052730631</v>
      </c>
      <c r="L270">
        <f t="shared" si="107"/>
        <v>9.5418643679131225</v>
      </c>
      <c r="M270">
        <f t="shared" si="107"/>
        <v>9.6146931958394184</v>
      </c>
      <c r="N270">
        <f t="shared" si="89"/>
        <v>-0.2441984070905594</v>
      </c>
      <c r="O270">
        <f t="shared" si="104"/>
        <v>10.28444549898725</v>
      </c>
      <c r="P270">
        <f t="shared" si="108"/>
        <v>9.6455690915164016</v>
      </c>
      <c r="Q270">
        <f t="shared" si="106"/>
        <v>9.9522369873163985</v>
      </c>
      <c r="R270">
        <f t="shared" si="87"/>
        <v>9.5816697234896147</v>
      </c>
      <c r="S270">
        <f t="shared" si="87"/>
        <v>9.5619572740332437</v>
      </c>
      <c r="T270">
        <f t="shared" si="90"/>
        <v>-0.2969343288967341</v>
      </c>
      <c r="U270">
        <f t="shared" si="91"/>
        <v>0.2969343288967341</v>
      </c>
      <c r="V270">
        <f t="shared" si="98"/>
        <v>9.9093685201185444</v>
      </c>
      <c r="W270">
        <f t="shared" si="92"/>
        <v>-5.0476917188566617E-2</v>
      </c>
      <c r="X270">
        <f t="shared" si="99"/>
        <v>10.17119243335182</v>
      </c>
      <c r="Y270">
        <f t="shared" si="93"/>
        <v>-0.31230083042184198</v>
      </c>
      <c r="Z270">
        <f t="shared" si="100"/>
        <v>10.435026863502607</v>
      </c>
      <c r="AA270">
        <f t="shared" si="94"/>
        <v>-0.57613526057262909</v>
      </c>
      <c r="AB270">
        <f t="shared" si="95"/>
        <v>2.8598116029299776</v>
      </c>
      <c r="AC270">
        <f t="shared" si="96"/>
        <v>10.464566634259745</v>
      </c>
      <c r="AD270">
        <f t="shared" si="97"/>
        <v>-0.60567503132976697</v>
      </c>
    </row>
    <row r="271" spans="1:30">
      <c r="A271">
        <v>269</v>
      </c>
      <c r="B271">
        <v>9.6173566265472417</v>
      </c>
      <c r="C271">
        <f t="shared" si="101"/>
        <v>10.83435872888672</v>
      </c>
      <c r="D271">
        <f t="shared" si="101"/>
        <v>10.722269228886811</v>
      </c>
      <c r="E271">
        <f t="shared" si="102"/>
        <v>10.479157624065147</v>
      </c>
      <c r="F271">
        <f t="shared" si="105"/>
        <v>10.304077070362339</v>
      </c>
      <c r="G271">
        <f t="shared" si="105"/>
        <v>9.3642721391830879</v>
      </c>
      <c r="H271">
        <f t="shared" si="105"/>
        <v>9.4663710321101817</v>
      </c>
      <c r="I271">
        <f t="shared" si="88"/>
        <v>-0.15098559443705994</v>
      </c>
      <c r="J271">
        <f t="shared" si="103"/>
        <v>10.744803276013807</v>
      </c>
      <c r="K271">
        <f t="shared" si="107"/>
        <v>9.7268119933050912</v>
      </c>
      <c r="L271">
        <f t="shared" si="107"/>
        <v>9.4832214058257929</v>
      </c>
      <c r="M271">
        <f t="shared" si="107"/>
        <v>9.6163377651891917</v>
      </c>
      <c r="N271">
        <f t="shared" si="89"/>
        <v>-1.0188613580499606E-3</v>
      </c>
      <c r="O271">
        <f t="shared" si="104"/>
        <v>10.519313946120494</v>
      </c>
      <c r="P271">
        <f t="shared" si="108"/>
        <v>9.7917508892253036</v>
      </c>
      <c r="Q271">
        <f t="shared" si="106"/>
        <v>10.216722494528076</v>
      </c>
      <c r="R271">
        <f t="shared" ref="R271:S334" si="109">AVERAGE(Q265:Q270)</f>
        <v>9.6144780389248421</v>
      </c>
      <c r="S271">
        <f t="shared" si="109"/>
        <v>9.5734907939169478</v>
      </c>
      <c r="T271">
        <f t="shared" si="90"/>
        <v>-4.3865832630293866E-2</v>
      </c>
      <c r="U271">
        <f t="shared" si="91"/>
        <v>4.3865832630293866E-2</v>
      </c>
      <c r="V271">
        <f t="shared" si="98"/>
        <v>9.9043208283996869</v>
      </c>
      <c r="W271">
        <f t="shared" si="92"/>
        <v>-0.2869642018524452</v>
      </c>
      <c r="X271">
        <f t="shared" si="99"/>
        <v>10.108732267267451</v>
      </c>
      <c r="Y271">
        <f t="shared" si="93"/>
        <v>-0.49137564072020901</v>
      </c>
      <c r="Z271">
        <f t="shared" si="100"/>
        <v>10.262186285330818</v>
      </c>
      <c r="AA271">
        <f t="shared" si="94"/>
        <v>-0.64482965878357668</v>
      </c>
      <c r="AB271">
        <f t="shared" si="95"/>
        <v>2.6127166265472415</v>
      </c>
      <c r="AC271">
        <f t="shared" si="96"/>
        <v>10.481154774342741</v>
      </c>
      <c r="AD271">
        <f t="shared" si="97"/>
        <v>-0.86379814779549946</v>
      </c>
    </row>
    <row r="272" spans="1:30">
      <c r="A272">
        <v>270</v>
      </c>
      <c r="B272">
        <v>11.393506437293718</v>
      </c>
      <c r="C272">
        <f t="shared" si="101"/>
        <v>9.7381241147386106</v>
      </c>
      <c r="D272">
        <f t="shared" si="101"/>
        <v>10.811824681759726</v>
      </c>
      <c r="E272">
        <f t="shared" si="102"/>
        <v>10.428691361440228</v>
      </c>
      <c r="F272">
        <f t="shared" si="105"/>
        <v>10.479033823387054</v>
      </c>
      <c r="G272">
        <f t="shared" si="105"/>
        <v>9.7503078574771251</v>
      </c>
      <c r="H272">
        <f t="shared" si="105"/>
        <v>9.3701698864607987</v>
      </c>
      <c r="I272">
        <f t="shared" si="88"/>
        <v>-2.0233365508329193</v>
      </c>
      <c r="J272">
        <f t="shared" si="103"/>
        <v>10.263707374685671</v>
      </c>
      <c r="K272">
        <f t="shared" si="107"/>
        <v>10.14431294750559</v>
      </c>
      <c r="L272">
        <f t="shared" si="107"/>
        <v>9.5029860369210226</v>
      </c>
      <c r="M272">
        <f t="shared" si="107"/>
        <v>9.5794704787759208</v>
      </c>
      <c r="N272">
        <f t="shared" si="89"/>
        <v>-1.8140359585177972</v>
      </c>
      <c r="O272">
        <f t="shared" si="104"/>
        <v>10.48966718720728</v>
      </c>
      <c r="P272">
        <f t="shared" si="108"/>
        <v>10.048190989101565</v>
      </c>
      <c r="Q272">
        <f t="shared" si="106"/>
        <v>10.173264020247247</v>
      </c>
      <c r="R272">
        <f t="shared" si="109"/>
        <v>9.707443174088672</v>
      </c>
      <c r="S272">
        <f t="shared" si="109"/>
        <v>9.5816955844957992</v>
      </c>
      <c r="T272">
        <f t="shared" si="90"/>
        <v>-1.8118108527979189</v>
      </c>
      <c r="U272">
        <f t="shared" si="91"/>
        <v>1.8118108527979189</v>
      </c>
      <c r="V272">
        <f t="shared" si="98"/>
        <v>9.875624408214442</v>
      </c>
      <c r="W272">
        <f t="shared" si="92"/>
        <v>1.5178820290792761</v>
      </c>
      <c r="X272">
        <f t="shared" si="99"/>
        <v>10.010457139123409</v>
      </c>
      <c r="Y272">
        <f t="shared" si="93"/>
        <v>1.3830492981703095</v>
      </c>
      <c r="Z272">
        <f t="shared" si="100"/>
        <v>10.068737387695744</v>
      </c>
      <c r="AA272">
        <f t="shared" si="94"/>
        <v>1.3247690495979736</v>
      </c>
      <c r="AB272">
        <f t="shared" si="95"/>
        <v>4.3833064372937178</v>
      </c>
      <c r="AC272">
        <f t="shared" si="96"/>
        <v>10.496917821088067</v>
      </c>
      <c r="AD272">
        <f t="shared" si="97"/>
        <v>0.89658861620565133</v>
      </c>
    </row>
    <row r="273" spans="1:30">
      <c r="A273">
        <v>271</v>
      </c>
      <c r="B273">
        <v>11.821936309447622</v>
      </c>
      <c r="C273">
        <f t="shared" si="101"/>
        <v>10.505431531920479</v>
      </c>
      <c r="D273">
        <f t="shared" si="101"/>
        <v>10.286241421812665</v>
      </c>
      <c r="E273">
        <f t="shared" si="102"/>
        <v>10.289918222256979</v>
      </c>
      <c r="F273">
        <f t="shared" si="105"/>
        <v>10.649318717515706</v>
      </c>
      <c r="G273">
        <f t="shared" si="105"/>
        <v>10.120647059209389</v>
      </c>
      <c r="H273">
        <f t="shared" si="105"/>
        <v>9.4821945734534641</v>
      </c>
      <c r="I273">
        <f t="shared" si="88"/>
        <v>-2.3397417359941581</v>
      </c>
      <c r="J273">
        <f t="shared" si="103"/>
        <v>10.669895130403599</v>
      </c>
      <c r="K273">
        <f t="shared" si="107"/>
        <v>10.326812250262449</v>
      </c>
      <c r="L273">
        <f t="shared" si="107"/>
        <v>9.6845683486083995</v>
      </c>
      <c r="M273">
        <f t="shared" si="107"/>
        <v>9.5357841851388283</v>
      </c>
      <c r="N273">
        <f t="shared" si="89"/>
        <v>-2.2861521243087939</v>
      </c>
      <c r="O273">
        <f t="shared" si="104"/>
        <v>10.900303366212404</v>
      </c>
      <c r="P273">
        <f t="shared" si="108"/>
        <v>10.23248690379474</v>
      </c>
      <c r="Q273">
        <f t="shared" si="106"/>
        <v>10.665012694649365</v>
      </c>
      <c r="R273">
        <f t="shared" si="109"/>
        <v>9.8222510806758265</v>
      </c>
      <c r="S273">
        <f t="shared" si="109"/>
        <v>9.6030437270759794</v>
      </c>
      <c r="T273">
        <f t="shared" si="90"/>
        <v>-2.2188925823716428</v>
      </c>
      <c r="U273">
        <f t="shared" si="91"/>
        <v>2.2188925823716428</v>
      </c>
      <c r="V273">
        <f t="shared" si="98"/>
        <v>10.027412611122369</v>
      </c>
      <c r="W273">
        <f t="shared" si="92"/>
        <v>1.7945236983252535</v>
      </c>
      <c r="X273">
        <f t="shared" si="99"/>
        <v>10.287066998757471</v>
      </c>
      <c r="Y273">
        <f t="shared" si="93"/>
        <v>1.5348693106901514</v>
      </c>
      <c r="Z273">
        <f t="shared" si="100"/>
        <v>10.466168102575136</v>
      </c>
      <c r="AA273">
        <f t="shared" si="94"/>
        <v>1.3557682068724866</v>
      </c>
      <c r="AB273">
        <f t="shared" si="95"/>
        <v>4.806176309447622</v>
      </c>
      <c r="AC273">
        <f t="shared" si="96"/>
        <v>10.511851604301496</v>
      </c>
      <c r="AD273">
        <f t="shared" si="97"/>
        <v>1.3100847051461262</v>
      </c>
    </row>
    <row r="274" spans="1:30">
      <c r="A274">
        <v>272</v>
      </c>
      <c r="B274">
        <v>10.189938884504919</v>
      </c>
      <c r="C274">
        <f t="shared" si="101"/>
        <v>11.607721373370669</v>
      </c>
      <c r="D274">
        <f t="shared" si="101"/>
        <v>10.121777823329545</v>
      </c>
      <c r="E274">
        <f t="shared" si="102"/>
        <v>10.944266457762859</v>
      </c>
      <c r="F274">
        <f t="shared" si="105"/>
        <v>10.399255735920784</v>
      </c>
      <c r="G274">
        <f t="shared" si="105"/>
        <v>10.477476537088366</v>
      </c>
      <c r="H274">
        <f t="shared" si="105"/>
        <v>9.7450756852898675</v>
      </c>
      <c r="I274">
        <f t="shared" si="88"/>
        <v>-0.44486319921505135</v>
      </c>
      <c r="J274">
        <f t="shared" si="103"/>
        <v>10.67292274405464</v>
      </c>
      <c r="K274">
        <f t="shared" si="107"/>
        <v>10.517309938526161</v>
      </c>
      <c r="L274">
        <f t="shared" si="107"/>
        <v>9.9214875609509399</v>
      </c>
      <c r="M274">
        <f t="shared" si="107"/>
        <v>9.5531600398170848</v>
      </c>
      <c r="N274">
        <f t="shared" si="89"/>
        <v>-0.63677884468783397</v>
      </c>
      <c r="O274">
        <f t="shared" si="104"/>
        <v>10.576325972144696</v>
      </c>
      <c r="P274">
        <f t="shared" si="108"/>
        <v>10.496403734275024</v>
      </c>
      <c r="Q274">
        <f t="shared" si="106"/>
        <v>10.711712040914003</v>
      </c>
      <c r="R274">
        <f t="shared" si="109"/>
        <v>10.038344948031423</v>
      </c>
      <c r="S274">
        <f t="shared" si="109"/>
        <v>9.6431158033506481</v>
      </c>
      <c r="T274">
        <f t="shared" si="90"/>
        <v>-0.5468230811542707</v>
      </c>
      <c r="U274">
        <f t="shared" si="91"/>
        <v>0.5468230811542707</v>
      </c>
      <c r="V274">
        <f t="shared" si="98"/>
        <v>10.206864980954894</v>
      </c>
      <c r="W274">
        <f t="shared" si="92"/>
        <v>-1.6926096449974892E-2</v>
      </c>
      <c r="X274">
        <f t="shared" si="99"/>
        <v>10.5940408608955</v>
      </c>
      <c r="Y274">
        <f t="shared" si="93"/>
        <v>-0.40410197639058154</v>
      </c>
      <c r="Z274">
        <f t="shared" si="100"/>
        <v>10.872898564636882</v>
      </c>
      <c r="AA274">
        <f t="shared" si="94"/>
        <v>-0.68295968013196351</v>
      </c>
      <c r="AB274">
        <f t="shared" si="95"/>
        <v>3.1686188845049186</v>
      </c>
      <c r="AC274">
        <f t="shared" si="96"/>
        <v>10.525952184134447</v>
      </c>
      <c r="AD274">
        <f t="shared" si="97"/>
        <v>-0.33601329962952775</v>
      </c>
    </row>
    <row r="275" spans="1:30">
      <c r="A275">
        <v>273</v>
      </c>
      <c r="B275">
        <v>11.622995548312923</v>
      </c>
      <c r="C275">
        <f t="shared" si="101"/>
        <v>11.00593759697627</v>
      </c>
      <c r="D275">
        <f t="shared" si="101"/>
        <v>11.056576452645574</v>
      </c>
      <c r="E275">
        <f t="shared" si="102"/>
        <v>11.135127210415419</v>
      </c>
      <c r="F275">
        <f t="shared" si="105"/>
        <v>10.554292013820023</v>
      </c>
      <c r="G275">
        <f t="shared" si="105"/>
        <v>10.50920275894118</v>
      </c>
      <c r="H275">
        <f t="shared" si="105"/>
        <v>10.116143817924959</v>
      </c>
      <c r="I275">
        <f t="shared" si="88"/>
        <v>-1.5068517303879645</v>
      </c>
      <c r="J275">
        <f t="shared" si="103"/>
        <v>10.755684564448375</v>
      </c>
      <c r="K275">
        <f t="shared" si="107"/>
        <v>10.58783213128943</v>
      </c>
      <c r="L275">
        <f t="shared" si="107"/>
        <v>10.178811782399823</v>
      </c>
      <c r="M275">
        <f t="shared" si="107"/>
        <v>9.6480658380765405</v>
      </c>
      <c r="N275">
        <f t="shared" si="89"/>
        <v>-1.974929710236383</v>
      </c>
      <c r="O275">
        <f t="shared" si="104"/>
        <v>10.929146761221284</v>
      </c>
      <c r="P275">
        <f t="shared" si="108"/>
        <v>10.554011194134425</v>
      </c>
      <c r="Q275">
        <f t="shared" si="106"/>
        <v>10.781909285927824</v>
      </c>
      <c r="R275">
        <f t="shared" si="109"/>
        <v>10.220093969696098</v>
      </c>
      <c r="S275">
        <f t="shared" si="109"/>
        <v>9.7214438215748196</v>
      </c>
      <c r="T275">
        <f t="shared" si="90"/>
        <v>-1.9015517267381039</v>
      </c>
      <c r="U275">
        <f t="shared" si="91"/>
        <v>1.9015517267381039</v>
      </c>
      <c r="V275">
        <f t="shared" si="98"/>
        <v>10.205172371309896</v>
      </c>
      <c r="W275">
        <f t="shared" si="92"/>
        <v>1.4178231770030276</v>
      </c>
      <c r="X275">
        <f t="shared" si="99"/>
        <v>10.513220465617383</v>
      </c>
      <c r="Y275">
        <f t="shared" si="93"/>
        <v>1.1097750826955401</v>
      </c>
      <c r="Z275">
        <f t="shared" si="100"/>
        <v>10.668010660597293</v>
      </c>
      <c r="AA275">
        <f t="shared" si="94"/>
        <v>0.95498488771563039</v>
      </c>
      <c r="AB275">
        <f t="shared" si="95"/>
        <v>4.5961155483129232</v>
      </c>
      <c r="AC275">
        <f t="shared" si="96"/>
        <v>10.539215852178364</v>
      </c>
      <c r="AD275">
        <f t="shared" si="97"/>
        <v>1.0837796961345596</v>
      </c>
    </row>
    <row r="276" spans="1:30">
      <c r="A276">
        <v>274</v>
      </c>
      <c r="B276">
        <v>12.153184965935985</v>
      </c>
      <c r="C276">
        <f t="shared" si="101"/>
        <v>10.90646721640892</v>
      </c>
      <c r="D276">
        <f t="shared" si="101"/>
        <v>11.30682948517347</v>
      </c>
      <c r="E276">
        <f t="shared" si="102"/>
        <v>11.211623580755154</v>
      </c>
      <c r="F276">
        <f t="shared" si="105"/>
        <v>10.789770630145085</v>
      </c>
      <c r="G276">
        <f t="shared" si="105"/>
        <v>10.534288822418837</v>
      </c>
      <c r="H276">
        <f t="shared" si="105"/>
        <v>10.369108785079645</v>
      </c>
      <c r="I276">
        <f t="shared" si="88"/>
        <v>-1.7840761808563403</v>
      </c>
      <c r="J276">
        <f t="shared" si="103"/>
        <v>11.257094294889795</v>
      </c>
      <c r="K276">
        <f t="shared" si="107"/>
        <v>10.59055245339807</v>
      </c>
      <c r="L276">
        <f t="shared" si="107"/>
        <v>10.394066816895908</v>
      </c>
      <c r="M276">
        <f t="shared" si="107"/>
        <v>9.8219634322200466</v>
      </c>
      <c r="N276">
        <f t="shared" si="89"/>
        <v>-2.3312215337159383</v>
      </c>
      <c r="O276">
        <f t="shared" si="104"/>
        <v>11.436312429099033</v>
      </c>
      <c r="P276">
        <f t="shared" si="108"/>
        <v>10.682951446581232</v>
      </c>
      <c r="Q276">
        <f t="shared" si="106"/>
        <v>10.750770901506067</v>
      </c>
      <c r="R276">
        <f t="shared" si="109"/>
        <v>10.416809587263819</v>
      </c>
      <c r="S276">
        <f t="shared" si="109"/>
        <v>9.8307134891510799</v>
      </c>
      <c r="T276">
        <f t="shared" si="90"/>
        <v>-2.3224714767849051</v>
      </c>
      <c r="U276">
        <f t="shared" si="91"/>
        <v>2.3224714767849051</v>
      </c>
      <c r="V276">
        <f t="shared" si="98"/>
        <v>10.346954689010198</v>
      </c>
      <c r="W276">
        <f t="shared" si="92"/>
        <v>1.8062302769257865</v>
      </c>
      <c r="X276">
        <f t="shared" si="99"/>
        <v>10.735175482156491</v>
      </c>
      <c r="Y276">
        <f t="shared" si="93"/>
        <v>1.4180094837794943</v>
      </c>
      <c r="Z276">
        <f t="shared" si="100"/>
        <v>10.954506126911982</v>
      </c>
      <c r="AA276">
        <f t="shared" si="94"/>
        <v>1.1986788390240033</v>
      </c>
      <c r="AB276">
        <f t="shared" si="95"/>
        <v>5.1207449659359847</v>
      </c>
      <c r="AC276">
        <f t="shared" si="96"/>
        <v>10.551639132494811</v>
      </c>
      <c r="AD276">
        <f t="shared" si="97"/>
        <v>1.6015458334411736</v>
      </c>
    </row>
    <row r="277" spans="1:30">
      <c r="A277">
        <v>275</v>
      </c>
      <c r="B277">
        <v>9.1848186963813134</v>
      </c>
      <c r="C277">
        <f t="shared" si="101"/>
        <v>11.888090257124453</v>
      </c>
      <c r="D277">
        <f t="shared" si="101"/>
        <v>10.956202406692595</v>
      </c>
      <c r="E277">
        <f t="shared" si="102"/>
        <v>11.322039799584608</v>
      </c>
      <c r="F277">
        <f t="shared" si="105"/>
        <v>11.097005749644476</v>
      </c>
      <c r="G277">
        <f t="shared" si="105"/>
        <v>10.581106126628631</v>
      </c>
      <c r="H277">
        <f t="shared" si="105"/>
        <v>10.506989372816127</v>
      </c>
      <c r="I277">
        <f t="shared" si="88"/>
        <v>1.3221706764348138</v>
      </c>
      <c r="J277">
        <f t="shared" si="103"/>
        <v>11.447013927050362</v>
      </c>
      <c r="K277">
        <f t="shared" si="107"/>
        <v>10.838899183449103</v>
      </c>
      <c r="L277">
        <f t="shared" si="107"/>
        <v>10.505626693369027</v>
      </c>
      <c r="M277">
        <f t="shared" si="107"/>
        <v>10.044733627213766</v>
      </c>
      <c r="N277">
        <f t="shared" si="89"/>
        <v>0.85991493083245274</v>
      </c>
      <c r="O277">
        <f t="shared" si="104"/>
        <v>10.994574880916552</v>
      </c>
      <c r="P277">
        <f t="shared" si="108"/>
        <v>10.866351143176939</v>
      </c>
      <c r="Q277">
        <f t="shared" si="106"/>
        <v>11.133153128673735</v>
      </c>
      <c r="R277">
        <f t="shared" si="109"/>
        <v>10.549898572962096</v>
      </c>
      <c r="S277">
        <f t="shared" si="109"/>
        <v>9.9699034664467785</v>
      </c>
      <c r="T277">
        <f t="shared" si="90"/>
        <v>0.78508477006546507</v>
      </c>
      <c r="U277">
        <f t="shared" si="91"/>
        <v>-0.78508477006546507</v>
      </c>
      <c r="V277">
        <f t="shared" si="98"/>
        <v>10.527577716702776</v>
      </c>
      <c r="W277">
        <f t="shared" si="92"/>
        <v>-1.3427590203214628</v>
      </c>
      <c r="X277">
        <f t="shared" si="99"/>
        <v>11.01877737891239</v>
      </c>
      <c r="Y277">
        <f t="shared" si="93"/>
        <v>-1.8339586825310761</v>
      </c>
      <c r="Z277">
        <f t="shared" si="100"/>
        <v>11.314109778619184</v>
      </c>
      <c r="AA277">
        <f t="shared" si="94"/>
        <v>-2.1292910822378701</v>
      </c>
      <c r="AB277">
        <f t="shared" si="95"/>
        <v>2.1468186963813132</v>
      </c>
      <c r="AC277">
        <f t="shared" si="96"/>
        <v>10.56321878258098</v>
      </c>
      <c r="AD277">
        <f t="shared" si="97"/>
        <v>-1.378400086199667</v>
      </c>
    </row>
    <row r="278" spans="1:30">
      <c r="A278">
        <v>276</v>
      </c>
      <c r="B278">
        <v>9.5090556694901327</v>
      </c>
      <c r="C278">
        <f t="shared" si="101"/>
        <v>10.669001831158649</v>
      </c>
      <c r="D278">
        <f t="shared" si="101"/>
        <v>11.397278736766687</v>
      </c>
      <c r="E278">
        <f t="shared" si="102"/>
        <v>10.98699973687674</v>
      </c>
      <c r="F278">
        <f t="shared" si="105"/>
        <v>11.222930196918393</v>
      </c>
      <c r="G278">
        <f t="shared" si="105"/>
        <v>10.813689464536528</v>
      </c>
      <c r="H278">
        <f t="shared" si="105"/>
        <v>10.541532569329549</v>
      </c>
      <c r="I278">
        <f t="shared" si="88"/>
        <v>1.0324768998394163</v>
      </c>
      <c r="J278">
        <f t="shared" si="103"/>
        <v>10.787734523783785</v>
      </c>
      <c r="K278">
        <f t="shared" si="107"/>
        <v>11.033178882610793</v>
      </c>
      <c r="L278">
        <f t="shared" si="107"/>
        <v>10.63364842666569</v>
      </c>
      <c r="M278">
        <f t="shared" si="107"/>
        <v>10.249998213403924</v>
      </c>
      <c r="N278">
        <f t="shared" si="89"/>
        <v>0.74094254391379089</v>
      </c>
      <c r="O278">
        <f t="shared" si="104"/>
        <v>10.531998752925054</v>
      </c>
      <c r="P278">
        <f t="shared" si="108"/>
        <v>10.967332681918794</v>
      </c>
      <c r="Q278">
        <f t="shared" si="106"/>
        <v>11.06106347364608</v>
      </c>
      <c r="R278">
        <f t="shared" si="109"/>
        <v>10.702637011986374</v>
      </c>
      <c r="S278">
        <f t="shared" si="109"/>
        <v>10.125806888786324</v>
      </c>
      <c r="T278">
        <f t="shared" si="90"/>
        <v>0.61675121929619081</v>
      </c>
      <c r="U278">
        <f t="shared" si="91"/>
        <v>-0.61675121929619081</v>
      </c>
      <c r="V278">
        <f t="shared" si="98"/>
        <v>10.393301814670631</v>
      </c>
      <c r="W278">
        <f t="shared" si="92"/>
        <v>-0.88424614518049793</v>
      </c>
      <c r="X278">
        <f t="shared" si="99"/>
        <v>10.651985642406174</v>
      </c>
      <c r="Y278">
        <f t="shared" si="93"/>
        <v>-1.1429299729160416</v>
      </c>
      <c r="Z278">
        <f t="shared" si="100"/>
        <v>10.675322453947823</v>
      </c>
      <c r="AA278">
        <f t="shared" si="94"/>
        <v>-1.1662667844576902</v>
      </c>
      <c r="AB278">
        <f t="shared" si="95"/>
        <v>2.4654956694901324</v>
      </c>
      <c r="AC278">
        <f t="shared" si="96"/>
        <v>10.573951794270371</v>
      </c>
      <c r="AD278">
        <f t="shared" si="97"/>
        <v>-1.0648961247802387</v>
      </c>
    </row>
    <row r="279" spans="1:30">
      <c r="A279">
        <v>277</v>
      </c>
      <c r="B279">
        <v>11.281299705501988</v>
      </c>
      <c r="C279">
        <f t="shared" si="101"/>
        <v>9.3469371829357222</v>
      </c>
      <c r="D279">
        <f t="shared" si="101"/>
        <v>11.278546044141551</v>
      </c>
      <c r="E279">
        <f t="shared" si="102"/>
        <v>10.282353110602477</v>
      </c>
      <c r="F279">
        <f t="shared" si="105"/>
        <v>11.1735543724055</v>
      </c>
      <c r="G279">
        <f t="shared" si="105"/>
        <v>11.036568858902649</v>
      </c>
      <c r="H279">
        <f t="shared" si="105"/>
        <v>10.643028137861334</v>
      </c>
      <c r="I279">
        <f t="shared" si="88"/>
        <v>-0.63827156764065407</v>
      </c>
      <c r="J279">
        <f t="shared" si="103"/>
        <v>10.617513720030088</v>
      </c>
      <c r="K279">
        <f t="shared" si="107"/>
        <v>11.061881827543079</v>
      </c>
      <c r="L279">
        <f t="shared" si="107"/>
        <v>10.762615662686848</v>
      </c>
      <c r="M279">
        <f t="shared" si="107"/>
        <v>10.428038429832611</v>
      </c>
      <c r="N279">
        <f t="shared" si="89"/>
        <v>-0.85326127566937693</v>
      </c>
      <c r="O279">
        <f t="shared" si="104"/>
        <v>10.750270917124467</v>
      </c>
      <c r="P279">
        <f t="shared" si="108"/>
        <v>10.893671759261323</v>
      </c>
      <c r="Q279">
        <f t="shared" si="106"/>
        <v>10.746988345678815</v>
      </c>
      <c r="R279">
        <f t="shared" si="109"/>
        <v>10.850603587552845</v>
      </c>
      <c r="S279">
        <f t="shared" si="109"/>
        <v>10.29167252843594</v>
      </c>
      <c r="T279">
        <f t="shared" si="90"/>
        <v>-0.98962717706604764</v>
      </c>
      <c r="U279">
        <f t="shared" si="91"/>
        <v>0.98962717706604764</v>
      </c>
      <c r="V279">
        <f t="shared" si="98"/>
        <v>10.30487720015258</v>
      </c>
      <c r="W279">
        <f t="shared" si="92"/>
        <v>0.976422505349408</v>
      </c>
      <c r="X279">
        <f t="shared" si="99"/>
        <v>10.423399647822967</v>
      </c>
      <c r="Y279">
        <f t="shared" si="93"/>
        <v>0.85790005767902144</v>
      </c>
      <c r="Z279">
        <f t="shared" si="100"/>
        <v>10.325442418610516</v>
      </c>
      <c r="AA279">
        <f t="shared" si="94"/>
        <v>0.95585728689147231</v>
      </c>
      <c r="AB279">
        <f t="shared" si="95"/>
        <v>4.2321797055019879</v>
      </c>
      <c r="AC279">
        <f t="shared" si="96"/>
        <v>10.583835394568371</v>
      </c>
      <c r="AD279">
        <f t="shared" si="97"/>
        <v>0.69746431093361672</v>
      </c>
    </row>
    <row r="280" spans="1:30">
      <c r="A280">
        <v>278</v>
      </c>
      <c r="B280">
        <v>10.309467173427745</v>
      </c>
      <c r="C280">
        <f t="shared" si="101"/>
        <v>10.39517768749606</v>
      </c>
      <c r="D280">
        <f t="shared" si="101"/>
        <v>10.007969507047186</v>
      </c>
      <c r="E280">
        <f t="shared" si="102"/>
        <v>9.9917246904578096</v>
      </c>
      <c r="F280">
        <f t="shared" si="105"/>
        <v>10.863797549021276</v>
      </c>
      <c r="G280">
        <f t="shared" si="105"/>
        <v>11.164496772989457</v>
      </c>
      <c r="H280">
        <f t="shared" si="105"/>
        <v>10.810454816689271</v>
      </c>
      <c r="I280">
        <f t="shared" si="88"/>
        <v>0.50098764326152612</v>
      </c>
      <c r="J280">
        <f t="shared" si="103"/>
        <v>10.532089759327354</v>
      </c>
      <c r="K280">
        <f t="shared" si="107"/>
        <v>11.027339116438508</v>
      </c>
      <c r="L280">
        <f t="shared" si="107"/>
        <v>10.881128086750262</v>
      </c>
      <c r="M280">
        <f t="shared" si="107"/>
        <v>10.573989399904368</v>
      </c>
      <c r="N280">
        <f t="shared" si="89"/>
        <v>0.2645222264766236</v>
      </c>
      <c r="O280">
        <f t="shared" si="104"/>
        <v>10.487565242147431</v>
      </c>
      <c r="P280">
        <f t="shared" si="108"/>
        <v>10.928460748257278</v>
      </c>
      <c r="Q280">
        <f t="shared" si="106"/>
        <v>10.65688224502121</v>
      </c>
      <c r="R280">
        <f t="shared" si="109"/>
        <v>10.864266196057754</v>
      </c>
      <c r="S280">
        <f t="shared" si="109"/>
        <v>10.463064612915444</v>
      </c>
      <c r="T280">
        <f t="shared" si="90"/>
        <v>0.15359743948769911</v>
      </c>
      <c r="U280">
        <f t="shared" si="91"/>
        <v>-0.15359743948769911</v>
      </c>
      <c r="V280">
        <f t="shared" si="98"/>
        <v>10.402519450687521</v>
      </c>
      <c r="W280">
        <f t="shared" si="92"/>
        <v>-9.3052277259776162E-2</v>
      </c>
      <c r="X280">
        <f t="shared" si="99"/>
        <v>10.594979659358771</v>
      </c>
      <c r="Y280">
        <f t="shared" si="93"/>
        <v>-0.28551248593102585</v>
      </c>
      <c r="Z280">
        <f t="shared" si="100"/>
        <v>10.612199604677958</v>
      </c>
      <c r="AA280">
        <f t="shared" si="94"/>
        <v>-0.3027324312502131</v>
      </c>
      <c r="AB280">
        <f t="shared" si="95"/>
        <v>3.2547871734277445</v>
      </c>
      <c r="AC280">
        <f t="shared" si="96"/>
        <v>10.592867046422519</v>
      </c>
      <c r="AD280">
        <f t="shared" si="97"/>
        <v>-0.28339987299477443</v>
      </c>
    </row>
    <row r="281" spans="1:30">
      <c r="A281">
        <v>279</v>
      </c>
      <c r="B281">
        <v>10.152315006532124</v>
      </c>
      <c r="C281">
        <f t="shared" si="101"/>
        <v>10.795383439464867</v>
      </c>
      <c r="D281">
        <f t="shared" si="101"/>
        <v>9.8710574352158922</v>
      </c>
      <c r="E281">
        <f t="shared" si="102"/>
        <v>10.366607516139956</v>
      </c>
      <c r="F281">
        <f t="shared" si="105"/>
        <v>10.420359179312342</v>
      </c>
      <c r="G281">
        <f t="shared" si="105"/>
        <v>11.086760706115056</v>
      </c>
      <c r="H281">
        <f t="shared" si="105"/>
        <v>11.004918365476213</v>
      </c>
      <c r="I281">
        <f t="shared" si="88"/>
        <v>0.8526033589440889</v>
      </c>
      <c r="J281">
        <f t="shared" si="103"/>
        <v>10.071160311200295</v>
      </c>
      <c r="K281">
        <f t="shared" si="107"/>
        <v>10.846087982547898</v>
      </c>
      <c r="L281">
        <f t="shared" si="107"/>
        <v>10.990324752510372</v>
      </c>
      <c r="M281">
        <f t="shared" si="107"/>
        <v>10.695754717367958</v>
      </c>
      <c r="N281">
        <f t="shared" si="89"/>
        <v>0.54343971083583398</v>
      </c>
      <c r="O281">
        <f t="shared" si="104"/>
        <v>10.087391250266659</v>
      </c>
      <c r="P281">
        <f t="shared" si="108"/>
        <v>10.840144444442508</v>
      </c>
      <c r="Q281">
        <f t="shared" si="106"/>
        <v>10.676803626508347</v>
      </c>
      <c r="R281">
        <f t="shared" si="109"/>
        <v>10.855127896742289</v>
      </c>
      <c r="S281">
        <f t="shared" si="109"/>
        <v>10.600718154253164</v>
      </c>
      <c r="T281">
        <f t="shared" si="90"/>
        <v>0.44840314772103973</v>
      </c>
      <c r="U281">
        <f t="shared" si="91"/>
        <v>-0.44840314772103973</v>
      </c>
      <c r="V281">
        <f t="shared" si="98"/>
        <v>10.393214222961543</v>
      </c>
      <c r="W281">
        <f t="shared" si="92"/>
        <v>-0.24089921642941903</v>
      </c>
      <c r="X281">
        <f t="shared" si="99"/>
        <v>10.537877162172565</v>
      </c>
      <c r="Y281">
        <f t="shared" si="93"/>
        <v>-0.38556215564044116</v>
      </c>
      <c r="Z281">
        <f t="shared" si="100"/>
        <v>10.521379875302895</v>
      </c>
      <c r="AA281">
        <f t="shared" si="94"/>
        <v>-0.36906486877077072</v>
      </c>
      <c r="AB281">
        <f t="shared" si="95"/>
        <v>3.0920750065321236</v>
      </c>
      <c r="AC281">
        <f t="shared" si="96"/>
        <v>10.60104444942721</v>
      </c>
      <c r="AD281">
        <f t="shared" si="97"/>
        <v>-0.44872944289508609</v>
      </c>
    </row>
    <row r="282" spans="1:30">
      <c r="A282">
        <v>280</v>
      </c>
      <c r="B282">
        <v>11.832523594869226</v>
      </c>
      <c r="C282">
        <f t="shared" si="101"/>
        <v>10.230891089979934</v>
      </c>
      <c r="D282">
        <f t="shared" si="101"/>
        <v>10.595280563480465</v>
      </c>
      <c r="E282">
        <f t="shared" si="102"/>
        <v>10.581027295153953</v>
      </c>
      <c r="F282">
        <f t="shared" si="105"/>
        <v>10.213561772400082</v>
      </c>
      <c r="G282">
        <f t="shared" si="105"/>
        <v>10.819237033579705</v>
      </c>
      <c r="H282">
        <f t="shared" si="105"/>
        <v>11.095942112669055</v>
      </c>
      <c r="I282">
        <f t="shared" si="88"/>
        <v>-0.73658148220017061</v>
      </c>
      <c r="J282">
        <f t="shared" si="103"/>
        <v>10.313034388737996</v>
      </c>
      <c r="K282">
        <f t="shared" si="107"/>
        <v>10.502124578585381</v>
      </c>
      <c r="L282">
        <f t="shared" si="107"/>
        <v>10.992121952285071</v>
      </c>
      <c r="M282">
        <f t="shared" si="107"/>
        <v>10.816929232153292</v>
      </c>
      <c r="N282">
        <f t="shared" si="89"/>
        <v>-1.0155943627159338</v>
      </c>
      <c r="O282">
        <f t="shared" si="104"/>
        <v>10.616932229964243</v>
      </c>
      <c r="P282">
        <f t="shared" si="108"/>
        <v>10.570360208676032</v>
      </c>
      <c r="Q282">
        <f t="shared" si="106"/>
        <v>10.431690202878213</v>
      </c>
      <c r="R282">
        <f t="shared" si="109"/>
        <v>10.837610286839043</v>
      </c>
      <c r="S282">
        <f t="shared" si="109"/>
        <v>10.706557142094198</v>
      </c>
      <c r="T282">
        <f t="shared" si="90"/>
        <v>-1.1259664527750282</v>
      </c>
      <c r="U282">
        <f t="shared" si="91"/>
        <v>1.1259664527750282</v>
      </c>
      <c r="V282">
        <f t="shared" si="98"/>
        <v>10.369124301318601</v>
      </c>
      <c r="W282">
        <f t="shared" si="92"/>
        <v>1.4633992935506246</v>
      </c>
      <c r="X282">
        <f t="shared" si="99"/>
        <v>10.460764731044478</v>
      </c>
      <c r="Y282">
        <f t="shared" si="93"/>
        <v>1.3717588638247484</v>
      </c>
      <c r="Z282">
        <f t="shared" si="100"/>
        <v>10.410660414671664</v>
      </c>
      <c r="AA282">
        <f t="shared" si="94"/>
        <v>1.4218631801975619</v>
      </c>
      <c r="AB282">
        <f t="shared" si="95"/>
        <v>4.7667235948692257</v>
      </c>
      <c r="AC282">
        <f t="shared" si="96"/>
        <v>10.608365540462708</v>
      </c>
      <c r="AD282">
        <f t="shared" si="97"/>
        <v>1.2241580544065176</v>
      </c>
    </row>
    <row r="283" spans="1:30">
      <c r="A283">
        <v>281</v>
      </c>
      <c r="B283">
        <v>10.580904019572092</v>
      </c>
      <c r="C283">
        <f t="shared" si="101"/>
        <v>10.992419300700675</v>
      </c>
      <c r="D283">
        <f t="shared" si="101"/>
        <v>10.513137264722401</v>
      </c>
      <c r="E283">
        <f t="shared" si="102"/>
        <v>10.7647685916097</v>
      </c>
      <c r="F283">
        <f t="shared" si="105"/>
        <v>10.31311983391724</v>
      </c>
      <c r="G283">
        <f t="shared" si="105"/>
        <v>10.499239500244569</v>
      </c>
      <c r="H283">
        <f t="shared" si="105"/>
        <v>11.02349817089474</v>
      </c>
      <c r="I283">
        <f t="shared" si="88"/>
        <v>0.44259415132264834</v>
      </c>
      <c r="J283">
        <f t="shared" si="103"/>
        <v>10.893901370082771</v>
      </c>
      <c r="K283">
        <f t="shared" si="107"/>
        <v>10.383449544823932</v>
      </c>
      <c r="L283">
        <f t="shared" si="107"/>
        <v>10.859358376278717</v>
      </c>
      <c r="M283">
        <f t="shared" si="107"/>
        <v>10.906547613558139</v>
      </c>
      <c r="N283">
        <f t="shared" si="89"/>
        <v>0.32564359398604736</v>
      </c>
      <c r="O283">
        <f t="shared" si="104"/>
        <v>10.831301899980636</v>
      </c>
      <c r="P283">
        <f t="shared" si="108"/>
        <v>10.494831678485571</v>
      </c>
      <c r="Q283">
        <f t="shared" si="106"/>
        <v>10.378246641033755</v>
      </c>
      <c r="R283">
        <f t="shared" si="109"/>
        <v>10.784430170401066</v>
      </c>
      <c r="S283">
        <f t="shared" si="109"/>
        <v>10.7766905920234</v>
      </c>
      <c r="T283">
        <f t="shared" si="90"/>
        <v>0.19578657245130771</v>
      </c>
      <c r="U283">
        <f t="shared" si="91"/>
        <v>-0.19578657245130771</v>
      </c>
      <c r="V283">
        <f t="shared" si="98"/>
        <v>10.515464230673665</v>
      </c>
      <c r="W283">
        <f t="shared" si="92"/>
        <v>6.5439788898427054E-2</v>
      </c>
      <c r="X283">
        <f t="shared" si="99"/>
        <v>10.735116503809428</v>
      </c>
      <c r="Y283">
        <f t="shared" si="93"/>
        <v>-0.1542124842373358</v>
      </c>
      <c r="Z283">
        <f t="shared" si="100"/>
        <v>10.837219368730933</v>
      </c>
      <c r="AA283">
        <f t="shared" si="94"/>
        <v>-0.25631534915884124</v>
      </c>
      <c r="AB283">
        <f t="shared" si="95"/>
        <v>3.5095440195720915</v>
      </c>
      <c r="AC283">
        <f t="shared" si="96"/>
        <v>10.614828494268197</v>
      </c>
      <c r="AD283">
        <f t="shared" si="97"/>
        <v>-3.3924474696105378E-2</v>
      </c>
    </row>
    <row r="284" spans="1:30">
      <c r="A284">
        <v>282</v>
      </c>
      <c r="B284">
        <v>11.603784770232368</v>
      </c>
      <c r="C284">
        <f t="shared" si="101"/>
        <v>11.206713807220659</v>
      </c>
      <c r="D284">
        <f t="shared" si="101"/>
        <v>10.611655195340305</v>
      </c>
      <c r="E284">
        <f t="shared" si="102"/>
        <v>10.855247540324479</v>
      </c>
      <c r="F284">
        <f t="shared" si="105"/>
        <v>10.570801134301204</v>
      </c>
      <c r="G284">
        <f t="shared" si="105"/>
        <v>10.315680261876556</v>
      </c>
      <c r="H284">
        <f t="shared" si="105"/>
        <v>10.801745746646445</v>
      </c>
      <c r="I284">
        <f t="shared" si="88"/>
        <v>-0.80203902358592316</v>
      </c>
      <c r="J284">
        <f t="shared" si="103"/>
        <v>10.718802448600297</v>
      </c>
      <c r="K284">
        <f t="shared" si="107"/>
        <v>10.452546457337105</v>
      </c>
      <c r="L284">
        <f t="shared" si="107"/>
        <v>10.689750305598929</v>
      </c>
      <c r="M284">
        <f t="shared" si="107"/>
        <v>10.930733291956106</v>
      </c>
      <c r="N284">
        <f t="shared" si="89"/>
        <v>-0.67305147827626222</v>
      </c>
      <c r="O284">
        <f t="shared" si="104"/>
        <v>10.895798912926711</v>
      </c>
      <c r="P284">
        <f t="shared" si="108"/>
        <v>10.554692307896689</v>
      </c>
      <c r="Q284">
        <f t="shared" si="106"/>
        <v>10.610927528232217</v>
      </c>
      <c r="R284">
        <f t="shared" si="109"/>
        <v>10.65861242246107</v>
      </c>
      <c r="S284">
        <f t="shared" si="109"/>
        <v>10.815779191596562</v>
      </c>
      <c r="T284">
        <f t="shared" si="90"/>
        <v>-0.788005578635806</v>
      </c>
      <c r="U284">
        <f t="shared" si="91"/>
        <v>0.788005578635806</v>
      </c>
      <c r="V284">
        <f t="shared" si="98"/>
        <v>10.522008209563507</v>
      </c>
      <c r="W284">
        <f t="shared" si="92"/>
        <v>1.0817765606688603</v>
      </c>
      <c r="X284">
        <f t="shared" si="99"/>
        <v>10.70427400696196</v>
      </c>
      <c r="Y284">
        <f t="shared" si="93"/>
        <v>0.89951076327040802</v>
      </c>
      <c r="Z284">
        <f t="shared" si="100"/>
        <v>10.760324763983281</v>
      </c>
      <c r="AA284">
        <f t="shared" si="94"/>
        <v>0.8434600062490869</v>
      </c>
      <c r="AB284">
        <f t="shared" si="95"/>
        <v>4.5268647702323674</v>
      </c>
      <c r="AC284">
        <f t="shared" si="96"/>
        <v>10.620431723948796</v>
      </c>
      <c r="AD284">
        <f t="shared" si="97"/>
        <v>0.98335304628357179</v>
      </c>
    </row>
    <row r="285" spans="1:30">
      <c r="A285">
        <v>283</v>
      </c>
      <c r="B285">
        <v>11.804854321629291</v>
      </c>
      <c r="C285">
        <f t="shared" si="101"/>
        <v>11.092344394902231</v>
      </c>
      <c r="D285">
        <f t="shared" si="101"/>
        <v>11.099566553960667</v>
      </c>
      <c r="E285">
        <f t="shared" si="102"/>
        <v>11.339070794891228</v>
      </c>
      <c r="F285">
        <f t="shared" si="105"/>
        <v>10.733681142362711</v>
      </c>
      <c r="G285">
        <f t="shared" si="105"/>
        <v>10.365827580206174</v>
      </c>
      <c r="H285">
        <f t="shared" si="105"/>
        <v>10.544718931900277</v>
      </c>
      <c r="I285">
        <f t="shared" si="88"/>
        <v>-1.2601353897290135</v>
      </c>
      <c r="J285">
        <f t="shared" si="103"/>
        <v>11.042381847801451</v>
      </c>
      <c r="K285">
        <f t="shared" si="107"/>
        <v>10.499224629655341</v>
      </c>
      <c r="L285">
        <f t="shared" si="107"/>
        <v>10.54605214082358</v>
      </c>
      <c r="M285">
        <f t="shared" si="107"/>
        <v>10.882888846668271</v>
      </c>
      <c r="N285">
        <f t="shared" si="89"/>
        <v>-0.92196547496101999</v>
      </c>
      <c r="O285">
        <f t="shared" si="104"/>
        <v>11.194876342567019</v>
      </c>
      <c r="P285">
        <f t="shared" si="108"/>
        <v>10.583797907057136</v>
      </c>
      <c r="Q285">
        <f t="shared" si="106"/>
        <v>10.960049045022592</v>
      </c>
      <c r="R285">
        <f t="shared" si="109"/>
        <v>10.583589764892093</v>
      </c>
      <c r="S285">
        <f t="shared" si="109"/>
        <v>10.808441760009011</v>
      </c>
      <c r="T285">
        <f t="shared" si="90"/>
        <v>-0.99641256162028036</v>
      </c>
      <c r="U285">
        <f t="shared" si="91"/>
        <v>0.99641256162028036</v>
      </c>
      <c r="V285">
        <f t="shared" si="98"/>
        <v>10.630185865630393</v>
      </c>
      <c r="W285">
        <f t="shared" si="92"/>
        <v>1.1746684559988978</v>
      </c>
      <c r="X285">
        <f t="shared" si="99"/>
        <v>10.884176159616041</v>
      </c>
      <c r="Y285">
        <f t="shared" si="93"/>
        <v>0.92067816201324959</v>
      </c>
      <c r="Z285">
        <f t="shared" si="100"/>
        <v>11.013362765858007</v>
      </c>
      <c r="AA285">
        <f t="shared" si="94"/>
        <v>0.79149155577128383</v>
      </c>
      <c r="AB285">
        <f t="shared" si="95"/>
        <v>4.7223743216292906</v>
      </c>
      <c r="AC285">
        <f t="shared" si="96"/>
        <v>10.625173881416359</v>
      </c>
      <c r="AD285">
        <f t="shared" si="97"/>
        <v>1.1796804402129322</v>
      </c>
    </row>
    <row r="286" spans="1:30">
      <c r="A286">
        <v>284</v>
      </c>
      <c r="B286">
        <v>11.118028744399448</v>
      </c>
      <c r="C286">
        <f t="shared" si="101"/>
        <v>11.704319545930829</v>
      </c>
      <c r="D286">
        <f t="shared" si="101"/>
        <v>11.149529101061445</v>
      </c>
      <c r="E286">
        <f t="shared" si="102"/>
        <v>11.329847703811252</v>
      </c>
      <c r="F286">
        <f t="shared" si="105"/>
        <v>10.986362308941802</v>
      </c>
      <c r="G286">
        <f t="shared" si="105"/>
        <v>10.539200703527051</v>
      </c>
      <c r="H286">
        <f t="shared" si="105"/>
        <v>10.393582447442434</v>
      </c>
      <c r="I286">
        <f t="shared" si="88"/>
        <v>-0.72444629695701401</v>
      </c>
      <c r="J286">
        <f t="shared" si="103"/>
        <v>11.455516676575744</v>
      </c>
      <c r="K286">
        <f t="shared" si="107"/>
        <v>10.742030013805628</v>
      </c>
      <c r="L286">
        <f t="shared" si="107"/>
        <v>10.459336302600441</v>
      </c>
      <c r="M286">
        <f t="shared" si="107"/>
        <v>10.771820693746573</v>
      </c>
      <c r="N286">
        <f t="shared" si="89"/>
        <v>-0.34620805065287463</v>
      </c>
      <c r="O286">
        <f t="shared" si="104"/>
        <v>11.388019090140485</v>
      </c>
      <c r="P286">
        <f t="shared" si="108"/>
        <v>10.725260127141054</v>
      </c>
      <c r="Q286">
        <f t="shared" si="106"/>
        <v>11.047308147710474</v>
      </c>
      <c r="R286">
        <f t="shared" si="109"/>
        <v>10.619099881449388</v>
      </c>
      <c r="S286">
        <f t="shared" si="109"/>
        <v>10.763939456232221</v>
      </c>
      <c r="T286">
        <f t="shared" si="90"/>
        <v>-0.35408928816722707</v>
      </c>
      <c r="U286">
        <f t="shared" si="91"/>
        <v>0.35408928816722707</v>
      </c>
      <c r="V286">
        <f t="shared" si="98"/>
        <v>10.747652711230282</v>
      </c>
      <c r="W286">
        <f t="shared" si="92"/>
        <v>0.37037603316916545</v>
      </c>
      <c r="X286">
        <f t="shared" si="99"/>
        <v>11.068311792018692</v>
      </c>
      <c r="Y286">
        <f t="shared" si="93"/>
        <v>4.9716952380755686E-2</v>
      </c>
      <c r="Z286">
        <f t="shared" si="100"/>
        <v>11.250810232589393</v>
      </c>
      <c r="AA286">
        <f t="shared" si="94"/>
        <v>-0.13278148818994495</v>
      </c>
      <c r="AB286">
        <f t="shared" si="95"/>
        <v>4.0299887443994473</v>
      </c>
      <c r="AC286">
        <f t="shared" si="96"/>
        <v>10.629053857763923</v>
      </c>
      <c r="AD286">
        <f t="shared" si="97"/>
        <v>0.4889748866355248</v>
      </c>
    </row>
    <row r="287" spans="1:30">
      <c r="A287">
        <v>285</v>
      </c>
      <c r="B287">
        <v>9.561644989415548</v>
      </c>
      <c r="C287">
        <f t="shared" si="101"/>
        <v>11.461441533014369</v>
      </c>
      <c r="D287">
        <f t="shared" si="101"/>
        <v>11.39833197041653</v>
      </c>
      <c r="E287">
        <f t="shared" si="102"/>
        <v>11.508889278753701</v>
      </c>
      <c r="F287">
        <f t="shared" si="105"/>
        <v>11.174722013008987</v>
      </c>
      <c r="G287">
        <f t="shared" si="105"/>
        <v>10.763614861868573</v>
      </c>
      <c r="H287">
        <f t="shared" si="105"/>
        <v>10.406902848536594</v>
      </c>
      <c r="I287">
        <f t="shared" si="88"/>
        <v>0.84525785912104645</v>
      </c>
      <c r="J287">
        <f t="shared" si="103"/>
        <v>11.2768929639583</v>
      </c>
      <c r="K287">
        <f t="shared" si="107"/>
        <v>11.027650585765066</v>
      </c>
      <c r="L287">
        <f t="shared" si="107"/>
        <v>10.519312661405502</v>
      </c>
      <c r="M287">
        <f t="shared" si="107"/>
        <v>10.638624281325418</v>
      </c>
      <c r="N287">
        <f t="shared" si="89"/>
        <v>1.0769792919098702</v>
      </c>
      <c r="O287">
        <f t="shared" si="104"/>
        <v>10.93384336904975</v>
      </c>
      <c r="P287">
        <f t="shared" si="108"/>
        <v>10.985385695115818</v>
      </c>
      <c r="Q287">
        <f t="shared" si="106"/>
        <v>11.182068409539092</v>
      </c>
      <c r="R287">
        <f t="shared" si="109"/>
        <v>10.684170865230934</v>
      </c>
      <c r="S287">
        <f t="shared" si="109"/>
        <v>10.723078403797492</v>
      </c>
      <c r="T287">
        <f t="shared" si="90"/>
        <v>1.1614334143819445</v>
      </c>
      <c r="U287">
        <f t="shared" si="91"/>
        <v>-1.1614334143819445</v>
      </c>
      <c r="V287">
        <f t="shared" si="98"/>
        <v>10.784690314547198</v>
      </c>
      <c r="W287">
        <f t="shared" si="92"/>
        <v>-1.2230453251316504</v>
      </c>
      <c r="X287">
        <f t="shared" si="99"/>
        <v>11.078255182494843</v>
      </c>
      <c r="Y287">
        <f t="shared" si="93"/>
        <v>-1.5166101930792948</v>
      </c>
      <c r="Z287">
        <f t="shared" si="100"/>
        <v>11.210975786132408</v>
      </c>
      <c r="AA287">
        <f t="shared" si="94"/>
        <v>-1.6493307967168604</v>
      </c>
      <c r="AB287">
        <f t="shared" si="95"/>
        <v>2.4680449894155476</v>
      </c>
      <c r="AC287">
        <f t="shared" si="96"/>
        <v>10.632070783573742</v>
      </c>
      <c r="AD287">
        <f t="shared" si="97"/>
        <v>-1.0704257941581936</v>
      </c>
    </row>
    <row r="288" spans="1:30">
      <c r="A288">
        <v>286</v>
      </c>
      <c r="B288">
        <v>10.329460298042752</v>
      </c>
      <c r="C288">
        <f t="shared" si="101"/>
        <v>10.339836866907497</v>
      </c>
      <c r="D288">
        <f t="shared" si="101"/>
        <v>11.582880539472599</v>
      </c>
      <c r="E288">
        <f t="shared" si="102"/>
        <v>10.828176018481429</v>
      </c>
      <c r="F288">
        <f t="shared" si="105"/>
        <v>11.392602592485394</v>
      </c>
      <c r="G288">
        <f t="shared" si="105"/>
        <v>10.964921821437834</v>
      </c>
      <c r="H288">
        <f t="shared" si="105"/>
        <v>10.556214381867266</v>
      </c>
      <c r="I288">
        <f t="shared" si="88"/>
        <v>0.22675408382451323</v>
      </c>
      <c r="J288">
        <f t="shared" si="103"/>
        <v>11.022078206419163</v>
      </c>
      <c r="K288">
        <f t="shared" si="107"/>
        <v>11.123398484233949</v>
      </c>
      <c r="L288">
        <f t="shared" si="107"/>
        <v>10.680362921640786</v>
      </c>
      <c r="M288">
        <f t="shared" si="107"/>
        <v>10.553612852607113</v>
      </c>
      <c r="N288">
        <f t="shared" si="89"/>
        <v>0.22415255456436078</v>
      </c>
      <c r="O288">
        <f t="shared" si="104"/>
        <v>10.883554624743882</v>
      </c>
      <c r="P288">
        <f t="shared" si="108"/>
        <v>11.048767922932921</v>
      </c>
      <c r="Q288">
        <f t="shared" si="106"/>
        <v>11.083623406686328</v>
      </c>
      <c r="R288">
        <f t="shared" si="109"/>
        <v>10.768381662402724</v>
      </c>
      <c r="S288">
        <f t="shared" si="109"/>
        <v>10.694585565212266</v>
      </c>
      <c r="T288">
        <f t="shared" si="90"/>
        <v>0.36512526716951399</v>
      </c>
      <c r="U288">
        <f t="shared" si="91"/>
        <v>-0.36512526716951399</v>
      </c>
      <c r="V288">
        <f t="shared" si="98"/>
        <v>10.662385782034033</v>
      </c>
      <c r="W288">
        <f t="shared" si="92"/>
        <v>-0.3329254839912803</v>
      </c>
      <c r="X288">
        <f t="shared" si="99"/>
        <v>10.774933143878984</v>
      </c>
      <c r="Y288">
        <f t="shared" si="93"/>
        <v>-0.44547284583623181</v>
      </c>
      <c r="Z288">
        <f t="shared" si="100"/>
        <v>10.71617654711735</v>
      </c>
      <c r="AA288">
        <f t="shared" si="94"/>
        <v>-0.38671624907459723</v>
      </c>
      <c r="AB288">
        <f t="shared" si="95"/>
        <v>3.230300298042752</v>
      </c>
      <c r="AC288">
        <f t="shared" si="96"/>
        <v>10.634224029158776</v>
      </c>
      <c r="AD288">
        <f t="shared" si="97"/>
        <v>-0.30476373111602406</v>
      </c>
    </row>
    <row r="289" spans="1:30">
      <c r="A289">
        <v>287</v>
      </c>
      <c r="B289">
        <v>11.71276586058914</v>
      </c>
      <c r="C289">
        <f t="shared" si="101"/>
        <v>9.945552643729151</v>
      </c>
      <c r="D289">
        <f t="shared" si="101"/>
        <v>10.900639199960933</v>
      </c>
      <c r="E289">
        <f t="shared" si="102"/>
        <v>10.336378010619249</v>
      </c>
      <c r="F289">
        <f t="shared" si="105"/>
        <v>11.222304333682127</v>
      </c>
      <c r="G289">
        <f t="shared" si="105"/>
        <v>11.184562304812061</v>
      </c>
      <c r="H289">
        <f t="shared" si="105"/>
        <v>10.75591246227782</v>
      </c>
      <c r="I289">
        <f t="shared" si="88"/>
        <v>-0.95685339831132055</v>
      </c>
      <c r="J289">
        <f t="shared" si="103"/>
        <v>10.70349708837176</v>
      </c>
      <c r="K289">
        <f t="shared" si="107"/>
        <v>11.199217423688665</v>
      </c>
      <c r="L289">
        <f t="shared" si="107"/>
        <v>10.848075928364995</v>
      </c>
      <c r="M289">
        <f t="shared" si="107"/>
        <v>10.551266006617578</v>
      </c>
      <c r="N289">
        <f t="shared" si="89"/>
        <v>-1.1614998539715629</v>
      </c>
      <c r="O289">
        <f t="shared" si="104"/>
        <v>10.905350842815235</v>
      </c>
      <c r="P289">
        <f t="shared" si="108"/>
        <v>11.059218467885568</v>
      </c>
      <c r="Q289">
        <f t="shared" si="106"/>
        <v>10.83311285721525</v>
      </c>
      <c r="R289">
        <f t="shared" si="109"/>
        <v>10.877037196370743</v>
      </c>
      <c r="S289">
        <f t="shared" si="109"/>
        <v>10.683047461139545</v>
      </c>
      <c r="T289">
        <f t="shared" si="90"/>
        <v>-1.029718399449596</v>
      </c>
      <c r="U289">
        <f t="shared" si="91"/>
        <v>1.029718399449596</v>
      </c>
      <c r="V289">
        <f t="shared" si="98"/>
        <v>10.629093233634904</v>
      </c>
      <c r="W289">
        <f t="shared" si="92"/>
        <v>1.0836726269542361</v>
      </c>
      <c r="X289">
        <f t="shared" si="99"/>
        <v>10.685838574711738</v>
      </c>
      <c r="Y289">
        <f t="shared" si="93"/>
        <v>1.0269272858774023</v>
      </c>
      <c r="Z289">
        <f t="shared" si="100"/>
        <v>10.60016167239497</v>
      </c>
      <c r="AA289">
        <f t="shared" si="94"/>
        <v>1.1126041881941706</v>
      </c>
      <c r="AB289">
        <f t="shared" si="95"/>
        <v>4.6080458605891401</v>
      </c>
      <c r="AC289">
        <f t="shared" si="96"/>
        <v>10.635513204737611</v>
      </c>
      <c r="AD289">
        <f t="shared" si="97"/>
        <v>1.0772526558515292</v>
      </c>
    </row>
    <row r="290" spans="1:30">
      <c r="A290">
        <v>288</v>
      </c>
      <c r="B290">
        <v>10.922800000177661</v>
      </c>
      <c r="C290">
        <f t="shared" si="101"/>
        <v>11.021113079315946</v>
      </c>
      <c r="D290">
        <f t="shared" si="101"/>
        <v>10.142694755318324</v>
      </c>
      <c r="E290">
        <f t="shared" si="102"/>
        <v>10.534623716015814</v>
      </c>
      <c r="F290">
        <f t="shared" si="105"/>
        <v>10.891147769284792</v>
      </c>
      <c r="G290">
        <f t="shared" si="105"/>
        <v>11.26320964639217</v>
      </c>
      <c r="H290">
        <f t="shared" si="105"/>
        <v>10.97103299603949</v>
      </c>
      <c r="I290">
        <f t="shared" si="88"/>
        <v>4.8232995861829053E-2</v>
      </c>
      <c r="J290">
        <f t="shared" si="103"/>
        <v>10.680474973111721</v>
      </c>
      <c r="K290">
        <f t="shared" si="107"/>
        <v>11.114496233831243</v>
      </c>
      <c r="L290">
        <f t="shared" si="107"/>
        <v>11.023074126873327</v>
      </c>
      <c r="M290">
        <f t="shared" si="107"/>
        <v>10.626771953502931</v>
      </c>
      <c r="N290">
        <f t="shared" si="89"/>
        <v>-0.29602804667472959</v>
      </c>
      <c r="O290">
        <f t="shared" si="104"/>
        <v>10.72893997852491</v>
      </c>
      <c r="P290">
        <f t="shared" si="108"/>
        <v>11.061128853863275</v>
      </c>
      <c r="Q290">
        <f t="shared" si="106"/>
        <v>11.021756497384757</v>
      </c>
      <c r="R290">
        <f t="shared" si="109"/>
        <v>10.952848232400994</v>
      </c>
      <c r="S290">
        <f t="shared" si="109"/>
        <v>10.698481965467826</v>
      </c>
      <c r="T290">
        <f t="shared" si="90"/>
        <v>-0.22431803470983525</v>
      </c>
      <c r="U290">
        <f t="shared" si="91"/>
        <v>0.22431803470983525</v>
      </c>
      <c r="V290">
        <f t="shared" si="98"/>
        <v>10.737460496330328</v>
      </c>
      <c r="W290">
        <f t="shared" si="92"/>
        <v>0.18533950384733267</v>
      </c>
      <c r="X290">
        <f t="shared" si="99"/>
        <v>10.891224031887219</v>
      </c>
      <c r="Y290">
        <f t="shared" si="93"/>
        <v>3.1575968290441736E-2</v>
      </c>
      <c r="Z290">
        <f t="shared" si="100"/>
        <v>10.93394292885322</v>
      </c>
      <c r="AA290">
        <f t="shared" si="94"/>
        <v>-1.1142928675559105E-2</v>
      </c>
      <c r="AB290">
        <f t="shared" si="95"/>
        <v>3.8125200001776607</v>
      </c>
      <c r="AC290">
        <f t="shared" si="96"/>
        <v>10.635938160542715</v>
      </c>
      <c r="AD290">
        <f t="shared" si="97"/>
        <v>0.28686183963494649</v>
      </c>
    </row>
    <row r="291" spans="1:30">
      <c r="A291">
        <v>289</v>
      </c>
      <c r="B291">
        <v>10.468710504877183</v>
      </c>
      <c r="C291">
        <f t="shared" si="101"/>
        <v>11.317782930383402</v>
      </c>
      <c r="D291">
        <f t="shared" si="101"/>
        <v>10.483332861522548</v>
      </c>
      <c r="E291">
        <f t="shared" si="102"/>
        <v>10.988342052936517</v>
      </c>
      <c r="F291">
        <f t="shared" si="105"/>
        <v>10.566392581705498</v>
      </c>
      <c r="G291">
        <f t="shared" si="105"/>
        <v>11.168684898484104</v>
      </c>
      <c r="H291">
        <f t="shared" si="105"/>
        <v>11.137564590880688</v>
      </c>
      <c r="I291">
        <f t="shared" si="88"/>
        <v>0.66885408600350438</v>
      </c>
      <c r="J291">
        <f t="shared" si="103"/>
        <v>10.631667787056276</v>
      </c>
      <c r="K291">
        <f t="shared" si="107"/>
        <v>10.920735807965237</v>
      </c>
      <c r="L291">
        <f t="shared" si="107"/>
        <v>11.116190681879733</v>
      </c>
      <c r="M291">
        <f t="shared" si="107"/>
        <v>10.767706409571151</v>
      </c>
      <c r="N291">
        <f t="shared" si="89"/>
        <v>0.29899590469396742</v>
      </c>
      <c r="O291">
        <f t="shared" si="104"/>
        <v>10.599076330620457</v>
      </c>
      <c r="P291">
        <f t="shared" si="108"/>
        <v>10.96794158105485</v>
      </c>
      <c r="Q291">
        <f t="shared" si="106"/>
        <v>10.908259035708973</v>
      </c>
      <c r="R291">
        <f t="shared" si="109"/>
        <v>11.021319727259749</v>
      </c>
      <c r="S291">
        <f t="shared" si="109"/>
        <v>10.747521267124478</v>
      </c>
      <c r="T291">
        <f t="shared" si="90"/>
        <v>0.27881076224729462</v>
      </c>
      <c r="U291">
        <f t="shared" si="91"/>
        <v>-0.27881076224729462</v>
      </c>
      <c r="V291">
        <f t="shared" si="98"/>
        <v>10.755994446715061</v>
      </c>
      <c r="W291">
        <f t="shared" si="92"/>
        <v>-0.28728394183787742</v>
      </c>
      <c r="X291">
        <f t="shared" si="99"/>
        <v>10.897539225545307</v>
      </c>
      <c r="Y291">
        <f t="shared" si="93"/>
        <v>-0.42882872066812361</v>
      </c>
      <c r="Z291">
        <f t="shared" si="100"/>
        <v>10.930600050250552</v>
      </c>
      <c r="AA291">
        <f t="shared" si="94"/>
        <v>-0.4618895453733689</v>
      </c>
      <c r="AB291">
        <f t="shared" si="95"/>
        <v>3.352870504877183</v>
      </c>
      <c r="AC291">
        <f t="shared" si="96"/>
        <v>10.635498986862055</v>
      </c>
      <c r="AD291">
        <f t="shared" si="97"/>
        <v>-0.16678848198487195</v>
      </c>
    </row>
    <row r="292" spans="1:30">
      <c r="A292">
        <v>290</v>
      </c>
      <c r="B292">
        <v>10.408386218021764</v>
      </c>
      <c r="C292">
        <f t="shared" si="101"/>
        <v>10.695755252527423</v>
      </c>
      <c r="D292">
        <f t="shared" si="101"/>
        <v>11.169448004849674</v>
      </c>
      <c r="E292">
        <f t="shared" si="102"/>
        <v>11.034758788547995</v>
      </c>
      <c r="F292">
        <f t="shared" si="105"/>
        <v>10.619781259857193</v>
      </c>
      <c r="G292">
        <f t="shared" si="105"/>
        <v>10.893281561557473</v>
      </c>
      <c r="H292">
        <f t="shared" si="105"/>
        <v>11.205485616562777</v>
      </c>
      <c r="I292">
        <f t="shared" si="88"/>
        <v>0.79709939854101286</v>
      </c>
      <c r="J292">
        <f t="shared" si="103"/>
        <v>10.858434165921683</v>
      </c>
      <c r="K292">
        <f t="shared" si="107"/>
        <v>10.759429513739729</v>
      </c>
      <c r="L292">
        <f t="shared" si="107"/>
        <v>11.089461987429774</v>
      </c>
      <c r="M292">
        <f t="shared" si="107"/>
        <v>10.91692591468971</v>
      </c>
      <c r="N292">
        <f t="shared" si="89"/>
        <v>0.50853969666794541</v>
      </c>
      <c r="O292">
        <f t="shared" si="104"/>
        <v>10.768424576341697</v>
      </c>
      <c r="P292">
        <f t="shared" si="108"/>
        <v>10.810153029150847</v>
      </c>
      <c r="Q292">
        <f t="shared" si="106"/>
        <v>10.685568399583621</v>
      </c>
      <c r="R292">
        <f t="shared" si="109"/>
        <v>11.012688059040812</v>
      </c>
      <c r="S292">
        <f t="shared" si="109"/>
        <v>10.820476260852422</v>
      </c>
      <c r="T292">
        <f t="shared" si="90"/>
        <v>0.41209004283065731</v>
      </c>
      <c r="U292">
        <f t="shared" si="91"/>
        <v>-0.41209004283065731</v>
      </c>
      <c r="V292">
        <f t="shared" si="98"/>
        <v>10.727266052531274</v>
      </c>
      <c r="W292">
        <f t="shared" si="92"/>
        <v>-0.31887983450950941</v>
      </c>
      <c r="X292">
        <f t="shared" si="99"/>
        <v>10.811773481411683</v>
      </c>
      <c r="Y292">
        <f t="shared" si="93"/>
        <v>-0.40338726338991826</v>
      </c>
      <c r="Z292">
        <f t="shared" si="100"/>
        <v>10.792033186638541</v>
      </c>
      <c r="AA292">
        <f t="shared" si="94"/>
        <v>-0.38364696861677672</v>
      </c>
      <c r="AB292">
        <f t="shared" si="95"/>
        <v>3.2869862180217639</v>
      </c>
      <c r="AC292">
        <f t="shared" si="96"/>
        <v>10.634196014014007</v>
      </c>
      <c r="AD292">
        <f t="shared" si="97"/>
        <v>-0.22580979599224271</v>
      </c>
    </row>
    <row r="293" spans="1:30">
      <c r="A293">
        <v>291</v>
      </c>
      <c r="B293">
        <v>10.905511264196166</v>
      </c>
      <c r="C293">
        <f t="shared" si="101"/>
        <v>10.438548361449474</v>
      </c>
      <c r="D293">
        <f t="shared" si="101"/>
        <v>11.006769091455412</v>
      </c>
      <c r="E293">
        <f t="shared" si="102"/>
        <v>10.599965574358871</v>
      </c>
      <c r="F293">
        <f t="shared" si="105"/>
        <v>10.85257485250011</v>
      </c>
      <c r="G293">
        <f t="shared" si="105"/>
        <v>10.692440536949162</v>
      </c>
      <c r="H293">
        <f t="shared" si="105"/>
        <v>11.108392035477914</v>
      </c>
      <c r="I293">
        <f t="shared" si="88"/>
        <v>0.2028807712817482</v>
      </c>
      <c r="J293">
        <f t="shared" si="103"/>
        <v>10.878165645916436</v>
      </c>
      <c r="K293">
        <f t="shared" si="107"/>
        <v>10.718518503615361</v>
      </c>
      <c r="L293">
        <f t="shared" si="107"/>
        <v>10.998469744806219</v>
      </c>
      <c r="M293">
        <f t="shared" si="107"/>
        <v>11.019200681136958</v>
      </c>
      <c r="N293">
        <f t="shared" si="89"/>
        <v>0.11368941694079204</v>
      </c>
      <c r="O293">
        <f t="shared" si="104"/>
        <v>10.883634769572382</v>
      </c>
      <c r="P293">
        <f t="shared" si="108"/>
        <v>10.777069270609235</v>
      </c>
      <c r="Q293">
        <f t="shared" si="106"/>
        <v>10.56729464518734</v>
      </c>
      <c r="R293">
        <f t="shared" si="109"/>
        <v>10.95239810101967</v>
      </c>
      <c r="S293">
        <f t="shared" si="109"/>
        <v>10.886074290450992</v>
      </c>
      <c r="T293">
        <f t="shared" si="90"/>
        <v>-1.9436973745174058E-2</v>
      </c>
      <c r="U293">
        <f t="shared" si="91"/>
        <v>1.9436973745174058E-2</v>
      </c>
      <c r="V293">
        <f t="shared" si="98"/>
        <v>10.695378069080324</v>
      </c>
      <c r="W293">
        <f t="shared" si="92"/>
        <v>0.2101331951158425</v>
      </c>
      <c r="X293">
        <f t="shared" si="99"/>
        <v>10.731096028733699</v>
      </c>
      <c r="Y293">
        <f t="shared" si="93"/>
        <v>0.17441523546246707</v>
      </c>
      <c r="Z293">
        <f t="shared" si="100"/>
        <v>10.676939096053507</v>
      </c>
      <c r="AA293">
        <f t="shared" si="94"/>
        <v>0.22857216814265868</v>
      </c>
      <c r="AB293">
        <f t="shared" si="95"/>
        <v>3.7785512641961656</v>
      </c>
      <c r="AC293">
        <f t="shared" si="96"/>
        <v>10.632029812255606</v>
      </c>
      <c r="AD293">
        <f t="shared" si="97"/>
        <v>0.27348145194055995</v>
      </c>
    </row>
    <row r="294" spans="1:30">
      <c r="A294">
        <v>292</v>
      </c>
      <c r="B294">
        <v>9.3608864818054887</v>
      </c>
      <c r="C294">
        <f t="shared" si="101"/>
        <v>10.656948741108966</v>
      </c>
      <c r="D294">
        <f t="shared" si="101"/>
        <v>10.567151806988448</v>
      </c>
      <c r="E294">
        <f t="shared" si="102"/>
        <v>10.594202662365037</v>
      </c>
      <c r="F294">
        <f t="shared" si="105"/>
        <v>10.874355471947794</v>
      </c>
      <c r="G294">
        <f t="shared" si="105"/>
        <v>10.679582898020934</v>
      </c>
      <c r="H294">
        <f t="shared" si="105"/>
        <v>10.918135665663579</v>
      </c>
      <c r="I294">
        <f t="shared" si="88"/>
        <v>1.5572491838580902</v>
      </c>
      <c r="J294">
        <f t="shared" si="103"/>
        <v>10.676351996818195</v>
      </c>
      <c r="K294">
        <f t="shared" si="107"/>
        <v>10.76218564300153</v>
      </c>
      <c r="L294">
        <f t="shared" si="107"/>
        <v>10.878295014787891</v>
      </c>
      <c r="M294">
        <f t="shared" si="107"/>
        <v>11.056799135247264</v>
      </c>
      <c r="N294">
        <f t="shared" si="89"/>
        <v>1.6959126534417752</v>
      </c>
      <c r="O294">
        <f t="shared" si="104"/>
        <v>10.413258893815653</v>
      </c>
      <c r="P294">
        <f t="shared" si="108"/>
        <v>10.777085299574935</v>
      </c>
      <c r="Q294">
        <f t="shared" si="106"/>
        <v>10.791272357650776</v>
      </c>
      <c r="R294">
        <f t="shared" si="109"/>
        <v>10.849935806961044</v>
      </c>
      <c r="S294">
        <f t="shared" si="109"/>
        <v>10.930778829749116</v>
      </c>
      <c r="T294">
        <f t="shared" si="90"/>
        <v>1.5698923479436271</v>
      </c>
      <c r="U294">
        <f t="shared" si="91"/>
        <v>-1.5698923479436271</v>
      </c>
      <c r="V294">
        <f t="shared" si="98"/>
        <v>10.716391388591909</v>
      </c>
      <c r="W294">
        <f t="shared" si="92"/>
        <v>-1.35550490678642</v>
      </c>
      <c r="X294">
        <f t="shared" si="99"/>
        <v>10.765979075826193</v>
      </c>
      <c r="Y294">
        <f t="shared" si="93"/>
        <v>-1.4050925940207044</v>
      </c>
      <c r="Z294">
        <f t="shared" si="100"/>
        <v>10.745510746496304</v>
      </c>
      <c r="AA294">
        <f t="shared" si="94"/>
        <v>-1.3846242646908156</v>
      </c>
      <c r="AB294">
        <f t="shared" si="95"/>
        <v>2.2283664818054882</v>
      </c>
      <c r="AC294">
        <f t="shared" si="96"/>
        <v>10.629001191624145</v>
      </c>
      <c r="AD294">
        <f t="shared" si="97"/>
        <v>-1.268114709818656</v>
      </c>
    </row>
    <row r="295" spans="1:30">
      <c r="A295">
        <v>293</v>
      </c>
      <c r="B295">
        <v>8.9564654889246924</v>
      </c>
      <c r="C295">
        <f t="shared" si="101"/>
        <v>10.133198873000827</v>
      </c>
      <c r="D295">
        <f t="shared" si="101"/>
        <v>10.54774855127922</v>
      </c>
      <c r="E295">
        <f t="shared" si="102"/>
        <v>10.224927988007806</v>
      </c>
      <c r="F295">
        <f t="shared" si="105"/>
        <v>10.742975675090634</v>
      </c>
      <c r="G295">
        <f t="shared" si="105"/>
        <v>10.782237194768365</v>
      </c>
      <c r="H295">
        <f t="shared" si="105"/>
        <v>10.755101665509189</v>
      </c>
      <c r="I295">
        <f t="shared" si="88"/>
        <v>1.7986361765844965</v>
      </c>
      <c r="J295">
        <f t="shared" si="103"/>
        <v>10.28587361722515</v>
      </c>
      <c r="K295">
        <f t="shared" si="107"/>
        <v>10.761154898928147</v>
      </c>
      <c r="L295">
        <f t="shared" si="107"/>
        <v>10.790217367080464</v>
      </c>
      <c r="M295">
        <f t="shared" si="107"/>
        <v>11.020604357225906</v>
      </c>
      <c r="N295">
        <f t="shared" si="89"/>
        <v>2.0641388683012138</v>
      </c>
      <c r="O295">
        <f t="shared" si="104"/>
        <v>10.019991991565059</v>
      </c>
      <c r="P295">
        <f t="shared" si="108"/>
        <v>10.678666909775021</v>
      </c>
      <c r="Q295">
        <f t="shared" si="106"/>
        <v>10.6298433882779</v>
      </c>
      <c r="R295">
        <f t="shared" si="109"/>
        <v>10.801210632121785</v>
      </c>
      <c r="S295">
        <f t="shared" si="109"/>
        <v>10.944371187175504</v>
      </c>
      <c r="T295">
        <f t="shared" si="90"/>
        <v>1.9879056982508114</v>
      </c>
      <c r="U295">
        <f t="shared" si="91"/>
        <v>-1.9879056982508114</v>
      </c>
      <c r="V295">
        <f t="shared" si="98"/>
        <v>10.580840897913266</v>
      </c>
      <c r="W295">
        <f t="shared" si="92"/>
        <v>-1.6243754089885734</v>
      </c>
      <c r="X295">
        <f t="shared" si="99"/>
        <v>10.484960557022053</v>
      </c>
      <c r="Y295">
        <f t="shared" si="93"/>
        <v>-1.5284950680973601</v>
      </c>
      <c r="Z295">
        <f t="shared" si="100"/>
        <v>10.330123467089059</v>
      </c>
      <c r="AA295">
        <f t="shared" si="94"/>
        <v>-1.373657978164367</v>
      </c>
      <c r="AB295">
        <f t="shared" si="95"/>
        <v>1.818385488924692</v>
      </c>
      <c r="AC295">
        <f t="shared" si="96"/>
        <v>10.625111201712167</v>
      </c>
      <c r="AD295">
        <f t="shared" si="97"/>
        <v>-1.668645712787475</v>
      </c>
    </row>
    <row r="296" spans="1:30">
      <c r="A296">
        <v>294</v>
      </c>
      <c r="B296">
        <v>12.099398896735888</v>
      </c>
      <c r="C296">
        <f t="shared" si="101"/>
        <v>9.1586759853650896</v>
      </c>
      <c r="D296">
        <f t="shared" si="101"/>
        <v>10.395073807054896</v>
      </c>
      <c r="E296">
        <f t="shared" si="102"/>
        <v>9.7409544116421163</v>
      </c>
      <c r="F296">
        <f t="shared" si="105"/>
        <v>10.473032074910572</v>
      </c>
      <c r="G296">
        <f t="shared" si="105"/>
        <v>10.82330199984618</v>
      </c>
      <c r="H296">
        <f t="shared" si="105"/>
        <v>10.718086876579486</v>
      </c>
      <c r="I296">
        <f t="shared" si="88"/>
        <v>-1.3813120201564022</v>
      </c>
      <c r="J296">
        <f t="shared" si="103"/>
        <v>9.9078123632370279</v>
      </c>
      <c r="K296">
        <f t="shared" si="107"/>
        <v>10.674706356470367</v>
      </c>
      <c r="L296">
        <f t="shared" si="107"/>
        <v>10.750322139821192</v>
      </c>
      <c r="M296">
        <f t="shared" si="107"/>
        <v>10.939111028526087</v>
      </c>
      <c r="N296">
        <f t="shared" si="89"/>
        <v>-1.1602878682098012</v>
      </c>
      <c r="O296">
        <f t="shared" si="104"/>
        <v>10.346129669936801</v>
      </c>
      <c r="P296">
        <f t="shared" si="108"/>
        <v>10.53687731238305</v>
      </c>
      <c r="Q296">
        <f t="shared" si="106"/>
        <v>10.170459993000494</v>
      </c>
      <c r="R296">
        <f t="shared" si="109"/>
        <v>10.767332387298895</v>
      </c>
      <c r="S296">
        <f t="shared" si="109"/>
        <v>10.931733426467341</v>
      </c>
      <c r="T296">
        <f t="shared" si="90"/>
        <v>-1.1676654702685472</v>
      </c>
      <c r="U296">
        <f t="shared" si="91"/>
        <v>1.1676654702685472</v>
      </c>
      <c r="V296">
        <f t="shared" si="98"/>
        <v>10.418403357014409</v>
      </c>
      <c r="W296">
        <f t="shared" si="92"/>
        <v>1.6809955397214793</v>
      </c>
      <c r="X296">
        <f t="shared" si="99"/>
        <v>10.17926154340258</v>
      </c>
      <c r="Y296">
        <f t="shared" si="93"/>
        <v>1.9201373533333079</v>
      </c>
      <c r="Z296">
        <f t="shared" si="100"/>
        <v>9.9180260736397496</v>
      </c>
      <c r="AA296">
        <f t="shared" si="94"/>
        <v>2.1813728230961384</v>
      </c>
      <c r="AB296">
        <f t="shared" si="95"/>
        <v>4.9557588967358877</v>
      </c>
      <c r="AC296">
        <f t="shared" si="96"/>
        <v>10.620361131375926</v>
      </c>
      <c r="AD296">
        <f t="shared" si="97"/>
        <v>1.479037765359962</v>
      </c>
    </row>
    <row r="297" spans="1:30">
      <c r="A297">
        <v>295</v>
      </c>
      <c r="B297">
        <v>11.30417002782549</v>
      </c>
      <c r="C297">
        <f t="shared" si="101"/>
        <v>10.52793219283029</v>
      </c>
      <c r="D297">
        <f t="shared" si="101"/>
        <v>9.6459374291829576</v>
      </c>
      <c r="E297">
        <f t="shared" si="102"/>
        <v>10.138916955822022</v>
      </c>
      <c r="F297">
        <f t="shared" si="105"/>
        <v>10.186695020671651</v>
      </c>
      <c r="G297">
        <f t="shared" si="105"/>
        <v>10.696787740649667</v>
      </c>
      <c r="H297">
        <f t="shared" si="105"/>
        <v>10.761707364211825</v>
      </c>
      <c r="I297">
        <f t="shared" si="88"/>
        <v>-0.5424626636136658</v>
      </c>
      <c r="J297">
        <f t="shared" si="103"/>
        <v>10.330565532915559</v>
      </c>
      <c r="K297">
        <f t="shared" si="107"/>
        <v>10.437050905799202</v>
      </c>
      <c r="L297">
        <f t="shared" si="107"/>
        <v>10.729141350503852</v>
      </c>
      <c r="M297">
        <f t="shared" si="107"/>
        <v>10.854326066623942</v>
      </c>
      <c r="N297">
        <f t="shared" si="89"/>
        <v>-0.44984396120154813</v>
      </c>
      <c r="O297">
        <f t="shared" si="104"/>
        <v>10.525286431897545</v>
      </c>
      <c r="P297">
        <f t="shared" si="108"/>
        <v>10.486287980246319</v>
      </c>
      <c r="Q297">
        <f t="shared" si="106"/>
        <v>10.36655980909353</v>
      </c>
      <c r="R297">
        <f t="shared" si="109"/>
        <v>10.625449636568183</v>
      </c>
      <c r="S297">
        <f t="shared" si="109"/>
        <v>10.900814118950327</v>
      </c>
      <c r="T297">
        <f t="shared" si="90"/>
        <v>-0.40335590887516304</v>
      </c>
      <c r="U297">
        <f t="shared" si="91"/>
        <v>0.40335590887516304</v>
      </c>
      <c r="V297">
        <f t="shared" si="98"/>
        <v>10.586502910986557</v>
      </c>
      <c r="W297">
        <f t="shared" si="92"/>
        <v>0.71766711683893369</v>
      </c>
      <c r="X297">
        <f t="shared" si="99"/>
        <v>10.563289014069241</v>
      </c>
      <c r="Y297">
        <f t="shared" si="93"/>
        <v>0.74088101375624937</v>
      </c>
      <c r="Z297">
        <f t="shared" si="100"/>
        <v>10.572437920568591</v>
      </c>
      <c r="AA297">
        <f t="shared" si="94"/>
        <v>0.73173210725689941</v>
      </c>
      <c r="AB297">
        <f t="shared" si="95"/>
        <v>4.15497002782549</v>
      </c>
      <c r="AC297">
        <f t="shared" si="96"/>
        <v>10.614752508377373</v>
      </c>
      <c r="AD297">
        <f t="shared" si="97"/>
        <v>0.68941751944811713</v>
      </c>
    </row>
    <row r="298" spans="1:30">
      <c r="A298">
        <v>296</v>
      </c>
      <c r="B298">
        <v>10.904369598219109</v>
      </c>
      <c r="C298">
        <f t="shared" si="101"/>
        <v>11.701784462280688</v>
      </c>
      <c r="D298">
        <f t="shared" si="101"/>
        <v>9.8433040890976891</v>
      </c>
      <c r="E298">
        <f t="shared" si="102"/>
        <v>10.786678137828689</v>
      </c>
      <c r="F298">
        <f t="shared" si="105"/>
        <v>10.034933118490647</v>
      </c>
      <c r="G298">
        <f t="shared" si="105"/>
        <v>10.467567590224284</v>
      </c>
      <c r="H298">
        <f t="shared" si="105"/>
        <v>10.767442311754737</v>
      </c>
      <c r="I298">
        <f t="shared" si="88"/>
        <v>-0.13692728646437224</v>
      </c>
      <c r="J298">
        <f t="shared" si="103"/>
        <v>10.430230223822889</v>
      </c>
      <c r="K298">
        <f t="shared" si="107"/>
        <v>10.300150877548983</v>
      </c>
      <c r="L298">
        <f t="shared" si="107"/>
        <v>10.658774451049812</v>
      </c>
      <c r="M298">
        <f t="shared" si="107"/>
        <v>10.78699396804835</v>
      </c>
      <c r="N298">
        <f t="shared" si="89"/>
        <v>-0.11737563017075914</v>
      </c>
      <c r="O298">
        <f t="shared" si="104"/>
        <v>10.525058098702132</v>
      </c>
      <c r="P298">
        <f t="shared" si="108"/>
        <v>10.437660351357488</v>
      </c>
      <c r="Q298">
        <f t="shared" si="106"/>
        <v>10.505803062918249</v>
      </c>
      <c r="R298">
        <f t="shared" si="109"/>
        <v>10.535166432132277</v>
      </c>
      <c r="S298">
        <f t="shared" si="109"/>
        <v>10.834835770501732</v>
      </c>
      <c r="T298">
        <f t="shared" si="90"/>
        <v>-6.953382771737715E-2</v>
      </c>
      <c r="U298">
        <f t="shared" si="91"/>
        <v>6.953382771737715E-2</v>
      </c>
      <c r="V298">
        <f t="shared" si="98"/>
        <v>10.658269622670449</v>
      </c>
      <c r="W298">
        <f t="shared" si="92"/>
        <v>0.2460999755486597</v>
      </c>
      <c r="X298">
        <f t="shared" si="99"/>
        <v>10.711465216820491</v>
      </c>
      <c r="Y298">
        <f t="shared" si="93"/>
        <v>0.19290438139861799</v>
      </c>
      <c r="Z298">
        <f t="shared" si="100"/>
        <v>10.791957552745661</v>
      </c>
      <c r="AA298">
        <f t="shared" si="94"/>
        <v>0.11241204547344807</v>
      </c>
      <c r="AB298">
        <f t="shared" si="95"/>
        <v>3.7496095982191084</v>
      </c>
      <c r="AC298">
        <f t="shared" si="96"/>
        <v>10.608287098959787</v>
      </c>
      <c r="AD298">
        <f t="shared" si="97"/>
        <v>0.29608249925932206</v>
      </c>
    </row>
    <row r="299" spans="1:30">
      <c r="A299">
        <v>297</v>
      </c>
      <c r="B299">
        <v>11.076911253788898</v>
      </c>
      <c r="C299">
        <f t="shared" si="101"/>
        <v>11.104269813022299</v>
      </c>
      <c r="D299">
        <f t="shared" si="101"/>
        <v>11.114858327555488</v>
      </c>
      <c r="E299">
        <f t="shared" si="102"/>
        <v>11.435979507593496</v>
      </c>
      <c r="F299">
        <f t="shared" si="105"/>
        <v>10.222183168430943</v>
      </c>
      <c r="G299">
        <f t="shared" si="105"/>
        <v>10.231553404690956</v>
      </c>
      <c r="H299">
        <f t="shared" si="105"/>
        <v>10.662552443573377</v>
      </c>
      <c r="I299">
        <f t="shared" si="88"/>
        <v>-0.41435881021552134</v>
      </c>
      <c r="J299">
        <f t="shared" si="103"/>
        <v>10.816101002926295</v>
      </c>
      <c r="K299">
        <f t="shared" si="107"/>
        <v>10.238620434300156</v>
      </c>
      <c r="L299">
        <f t="shared" si="107"/>
        <v>10.543265759686676</v>
      </c>
      <c r="M299">
        <f t="shared" si="107"/>
        <v>10.732113827113828</v>
      </c>
      <c r="N299">
        <f t="shared" si="89"/>
        <v>-0.34479742667507018</v>
      </c>
      <c r="O299">
        <f t="shared" si="104"/>
        <v>10.868263053098817</v>
      </c>
      <c r="P299">
        <f t="shared" si="108"/>
        <v>10.365945017183439</v>
      </c>
      <c r="Q299">
        <f t="shared" si="106"/>
        <v>10.588466959617806</v>
      </c>
      <c r="R299">
        <f t="shared" si="109"/>
        <v>10.505205542688048</v>
      </c>
      <c r="S299">
        <f t="shared" si="109"/>
        <v>10.755248832683641</v>
      </c>
      <c r="T299">
        <f t="shared" si="90"/>
        <v>-0.32166242110525722</v>
      </c>
      <c r="U299">
        <f t="shared" si="91"/>
        <v>0.32166242110525722</v>
      </c>
      <c r="V299">
        <f t="shared" si="98"/>
        <v>10.682879620225314</v>
      </c>
      <c r="W299">
        <f t="shared" si="92"/>
        <v>0.39403163356358384</v>
      </c>
      <c r="X299">
        <f t="shared" si="99"/>
        <v>10.750046093100215</v>
      </c>
      <c r="Y299">
        <f t="shared" si="93"/>
        <v>0.32686516068868343</v>
      </c>
      <c r="Z299">
        <f t="shared" si="100"/>
        <v>10.825681166387696</v>
      </c>
      <c r="AA299">
        <f t="shared" si="94"/>
        <v>0.25123008740120234</v>
      </c>
      <c r="AB299">
        <f t="shared" si="95"/>
        <v>3.9165912537888978</v>
      </c>
      <c r="AC299">
        <f t="shared" si="96"/>
        <v>10.600966907357167</v>
      </c>
      <c r="AD299">
        <f t="shared" si="97"/>
        <v>0.47594434643173145</v>
      </c>
    </row>
    <row r="300" spans="1:30">
      <c r="A300">
        <v>298</v>
      </c>
      <c r="B300">
        <v>9.8801333544960208</v>
      </c>
      <c r="C300">
        <f t="shared" si="101"/>
        <v>10.990640426004003</v>
      </c>
      <c r="D300">
        <f t="shared" si="101"/>
        <v>11.403027137651494</v>
      </c>
      <c r="E300">
        <f t="shared" si="102"/>
        <v>11.095150293277833</v>
      </c>
      <c r="F300">
        <f t="shared" si="105"/>
        <v>10.78719153374807</v>
      </c>
      <c r="G300">
        <f t="shared" si="105"/>
        <v>10.147937102531081</v>
      </c>
      <c r="H300">
        <f t="shared" si="105"/>
        <v>10.46530291185497</v>
      </c>
      <c r="I300">
        <f t="shared" si="88"/>
        <v>0.58516955735894882</v>
      </c>
      <c r="J300">
        <f t="shared" si="103"/>
        <v>11.346212444142347</v>
      </c>
      <c r="K300">
        <f t="shared" si="107"/>
        <v>10.371177280725442</v>
      </c>
      <c r="L300">
        <f t="shared" si="107"/>
        <v>10.412632143529677</v>
      </c>
      <c r="M300">
        <f t="shared" si="107"/>
        <v>10.670375925265382</v>
      </c>
      <c r="N300">
        <f t="shared" si="89"/>
        <v>0.79024257076936166</v>
      </c>
      <c r="O300">
        <f t="shared" si="104"/>
        <v>11.052996626213082</v>
      </c>
      <c r="P300">
        <f t="shared" si="108"/>
        <v>10.456945849040071</v>
      </c>
      <c r="Q300">
        <f t="shared" si="106"/>
        <v>10.617033624549927</v>
      </c>
      <c r="R300">
        <f t="shared" si="109"/>
        <v>10.508734261759791</v>
      </c>
      <c r="S300">
        <f t="shared" si="109"/>
        <v>10.680716739628373</v>
      </c>
      <c r="T300">
        <f t="shared" si="90"/>
        <v>0.80058338513235228</v>
      </c>
      <c r="U300">
        <f t="shared" si="91"/>
        <v>-0.80058338513235228</v>
      </c>
      <c r="V300">
        <f t="shared" si="98"/>
        <v>10.722282783581672</v>
      </c>
      <c r="W300">
        <f t="shared" si="92"/>
        <v>-0.84214942908565149</v>
      </c>
      <c r="X300">
        <f t="shared" si="99"/>
        <v>10.815419125237952</v>
      </c>
      <c r="Y300">
        <f t="shared" si="93"/>
        <v>-0.93528577074193109</v>
      </c>
      <c r="Z300">
        <f t="shared" si="100"/>
        <v>10.901050192608057</v>
      </c>
      <c r="AA300">
        <f t="shared" si="94"/>
        <v>-1.0209168381120364</v>
      </c>
      <c r="AB300">
        <f t="shared" si="95"/>
        <v>2.7142533544960203</v>
      </c>
      <c r="AC300">
        <f t="shared" si="96"/>
        <v>10.592794175237511</v>
      </c>
      <c r="AD300">
        <f t="shared" si="97"/>
        <v>-0.7126608207414904</v>
      </c>
    </row>
    <row r="301" spans="1:30">
      <c r="A301">
        <v>299</v>
      </c>
      <c r="B301">
        <v>11.06877910742635</v>
      </c>
      <c r="C301">
        <f t="shared" si="101"/>
        <v>10.478522304142459</v>
      </c>
      <c r="D301">
        <f t="shared" si="101"/>
        <v>11.047455119513151</v>
      </c>
      <c r="E301">
        <f t="shared" si="102"/>
        <v>10.620471402168009</v>
      </c>
      <c r="F301">
        <f t="shared" si="105"/>
        <v>11.105935979566672</v>
      </c>
      <c r="G301">
        <f t="shared" si="105"/>
        <v>10.348102606889887</v>
      </c>
      <c r="H301">
        <f t="shared" si="105"/>
        <v>10.282352699148774</v>
      </c>
      <c r="I301">
        <f t="shared" si="88"/>
        <v>-0.78642640827757582</v>
      </c>
      <c r="J301">
        <f t="shared" si="103"/>
        <v>10.791396058582379</v>
      </c>
      <c r="K301">
        <f t="shared" si="107"/>
        <v>10.730777300951772</v>
      </c>
      <c r="L301">
        <f t="shared" si="107"/>
        <v>10.336749874593446</v>
      </c>
      <c r="M301">
        <f t="shared" si="107"/>
        <v>10.585953426192503</v>
      </c>
      <c r="N301">
        <f t="shared" si="89"/>
        <v>-0.48282568123384628</v>
      </c>
      <c r="O301">
        <f t="shared" si="104"/>
        <v>10.846872668351173</v>
      </c>
      <c r="P301">
        <f t="shared" si="108"/>
        <v>10.663546775969674</v>
      </c>
      <c r="Q301">
        <f t="shared" si="106"/>
        <v>10.703574769998349</v>
      </c>
      <c r="R301">
        <f t="shared" si="109"/>
        <v>10.479694472909651</v>
      </c>
      <c r="S301">
        <f t="shared" si="109"/>
        <v>10.623849815428164</v>
      </c>
      <c r="T301">
        <f t="shared" si="90"/>
        <v>-0.44492929199818576</v>
      </c>
      <c r="U301">
        <f t="shared" si="91"/>
        <v>0.44492929199818576</v>
      </c>
      <c r="V301">
        <f t="shared" si="98"/>
        <v>10.638067840673108</v>
      </c>
      <c r="W301">
        <f t="shared" si="92"/>
        <v>0.43071126675324223</v>
      </c>
      <c r="X301">
        <f t="shared" si="99"/>
        <v>10.628361971089566</v>
      </c>
      <c r="Y301">
        <f t="shared" si="93"/>
        <v>0.4404171363367837</v>
      </c>
      <c r="Z301">
        <f t="shared" si="100"/>
        <v>10.594775141174447</v>
      </c>
      <c r="AA301">
        <f t="shared" si="94"/>
        <v>0.47400396625190311</v>
      </c>
      <c r="AB301">
        <f t="shared" si="95"/>
        <v>3.8973391074263493</v>
      </c>
      <c r="AC301">
        <f t="shared" si="96"/>
        <v>10.583771381080147</v>
      </c>
      <c r="AD301">
        <f t="shared" si="97"/>
        <v>0.48500772634620226</v>
      </c>
    </row>
    <row r="302" spans="1:30">
      <c r="A302">
        <v>300</v>
      </c>
      <c r="B302">
        <v>9.3093021452425919</v>
      </c>
      <c r="C302">
        <f t="shared" si="101"/>
        <v>10.474456230961184</v>
      </c>
      <c r="D302">
        <f t="shared" si="101"/>
        <v>10.734581365073231</v>
      </c>
      <c r="E302">
        <f t="shared" si="102"/>
        <v>10.675274571903756</v>
      </c>
      <c r="F302">
        <f t="shared" si="105"/>
        <v>11.050533734346445</v>
      </c>
      <c r="G302">
        <f t="shared" si="105"/>
        <v>10.705103560581895</v>
      </c>
      <c r="H302">
        <f t="shared" si="105"/>
        <v>10.242531038037308</v>
      </c>
      <c r="I302">
        <f t="shared" si="88"/>
        <v>0.9332288927947161</v>
      </c>
      <c r="J302">
        <f t="shared" si="103"/>
        <v>10.732548328482594</v>
      </c>
      <c r="K302">
        <f t="shared" si="107"/>
        <v>10.845984932368477</v>
      </c>
      <c r="L302">
        <f t="shared" si="107"/>
        <v>10.410181473381588</v>
      </c>
      <c r="M302">
        <f t="shared" si="107"/>
        <v>10.487855557214903</v>
      </c>
      <c r="N302">
        <f t="shared" si="89"/>
        <v>1.1785534119723113</v>
      </c>
      <c r="O302">
        <f t="shared" si="104"/>
        <v>10.447899091834593</v>
      </c>
      <c r="P302">
        <f t="shared" si="108"/>
        <v>10.763695375652549</v>
      </c>
      <c r="Q302">
        <f t="shared" si="106"/>
        <v>11.055627039748627</v>
      </c>
      <c r="R302">
        <f t="shared" si="109"/>
        <v>10.491983036529724</v>
      </c>
      <c r="S302">
        <f t="shared" si="109"/>
        <v>10.570263788892808</v>
      </c>
      <c r="T302">
        <f t="shared" si="90"/>
        <v>1.2609616436502158</v>
      </c>
      <c r="U302">
        <f t="shared" si="91"/>
        <v>-1.2609616436502158</v>
      </c>
      <c r="V302">
        <f t="shared" si="98"/>
        <v>10.681138967348431</v>
      </c>
      <c r="W302">
        <f t="shared" si="92"/>
        <v>-1.3718368221058395</v>
      </c>
      <c r="X302">
        <f t="shared" si="99"/>
        <v>10.716445398356923</v>
      </c>
      <c r="Y302">
        <f t="shared" si="93"/>
        <v>-1.4071432531143309</v>
      </c>
      <c r="Z302">
        <f t="shared" si="100"/>
        <v>10.736976331050018</v>
      </c>
      <c r="AA302">
        <f t="shared" si="94"/>
        <v>-1.427674185807426</v>
      </c>
      <c r="AB302">
        <f t="shared" si="95"/>
        <v>2.1323021452425914</v>
      </c>
      <c r="AC302">
        <f t="shared" si="96"/>
        <v>10.573901239487281</v>
      </c>
      <c r="AD302">
        <f t="shared" si="97"/>
        <v>-1.264599094244689</v>
      </c>
    </row>
    <row r="303" spans="1:30">
      <c r="A303">
        <v>301</v>
      </c>
      <c r="B303">
        <v>10.939382303677224</v>
      </c>
      <c r="C303">
        <f t="shared" si="101"/>
        <v>10.189040626334471</v>
      </c>
      <c r="D303">
        <f t="shared" si="101"/>
        <v>10.476489267551822</v>
      </c>
      <c r="E303">
        <f t="shared" si="102"/>
        <v>10.086071535721652</v>
      </c>
      <c r="F303">
        <f t="shared" si="105"/>
        <v>10.796965422449865</v>
      </c>
      <c r="G303">
        <f t="shared" si="105"/>
        <v>10.98122041588706</v>
      </c>
      <c r="H303">
        <f t="shared" si="105"/>
        <v>10.400381090000955</v>
      </c>
      <c r="I303">
        <f t="shared" si="88"/>
        <v>-0.53900121367626852</v>
      </c>
      <c r="J303">
        <f t="shared" si="103"/>
        <v>10.333781465238465</v>
      </c>
      <c r="K303">
        <f t="shared" si="107"/>
        <v>10.921564458533403</v>
      </c>
      <c r="L303">
        <f t="shared" si="107"/>
        <v>10.546639987086461</v>
      </c>
      <c r="M303">
        <f t="shared" si="107"/>
        <v>10.425707312797847</v>
      </c>
      <c r="N303">
        <f t="shared" si="89"/>
        <v>-0.51367499087937674</v>
      </c>
      <c r="O303">
        <f t="shared" si="104"/>
        <v>10.454901632926218</v>
      </c>
      <c r="P303">
        <f t="shared" si="108"/>
        <v>10.748217907639958</v>
      </c>
      <c r="Q303">
        <f t="shared" si="106"/>
        <v>10.590610914499743</v>
      </c>
      <c r="R303">
        <f t="shared" si="109"/>
        <v>10.639510877654415</v>
      </c>
      <c r="S303">
        <f t="shared" si="109"/>
        <v>10.524372230431279</v>
      </c>
      <c r="T303">
        <f t="shared" si="90"/>
        <v>-0.41501007324594497</v>
      </c>
      <c r="U303">
        <f t="shared" si="91"/>
        <v>0.41501007324594497</v>
      </c>
      <c r="V303">
        <f t="shared" si="98"/>
        <v>10.543955285137848</v>
      </c>
      <c r="W303">
        <f t="shared" si="92"/>
        <v>0.39542701853937601</v>
      </c>
      <c r="X303">
        <f t="shared" si="99"/>
        <v>10.435016747734057</v>
      </c>
      <c r="Y303">
        <f t="shared" si="93"/>
        <v>0.50436555594316701</v>
      </c>
      <c r="Z303">
        <f t="shared" si="100"/>
        <v>10.30867407530779</v>
      </c>
      <c r="AA303">
        <f t="shared" si="94"/>
        <v>0.63070822836943385</v>
      </c>
      <c r="AB303">
        <f t="shared" si="95"/>
        <v>3.7568223036772235</v>
      </c>
      <c r="AC303">
        <f t="shared" si="96"/>
        <v>10.563186700429954</v>
      </c>
      <c r="AD303">
        <f t="shared" si="97"/>
        <v>0.37619560324726997</v>
      </c>
    </row>
    <row r="304" spans="1:30">
      <c r="A304">
        <v>302</v>
      </c>
      <c r="B304">
        <v>12.149511024464436</v>
      </c>
      <c r="C304">
        <f t="shared" si="101"/>
        <v>10.124342224459909</v>
      </c>
      <c r="D304">
        <f t="shared" si="101"/>
        <v>10.331748428647828</v>
      </c>
      <c r="E304">
        <f t="shared" si="102"/>
        <v>10.439154518782056</v>
      </c>
      <c r="F304">
        <f t="shared" si="105"/>
        <v>10.460605836597805</v>
      </c>
      <c r="G304">
        <f t="shared" si="105"/>
        <v>10.984478378787662</v>
      </c>
      <c r="H304">
        <f t="shared" si="105"/>
        <v>10.678142194452947</v>
      </c>
      <c r="I304">
        <f t="shared" si="88"/>
        <v>-1.4713688300114889</v>
      </c>
      <c r="J304">
        <f t="shared" si="103"/>
        <v>10.299399227710545</v>
      </c>
      <c r="K304">
        <f t="shared" si="107"/>
        <v>10.800984574111446</v>
      </c>
      <c r="L304">
        <f t="shared" si="107"/>
        <v>10.717375993144774</v>
      </c>
      <c r="M304">
        <f t="shared" si="107"/>
        <v>10.426550869647793</v>
      </c>
      <c r="N304">
        <f t="shared" si="89"/>
        <v>-1.7229601548166436</v>
      </c>
      <c r="O304">
        <f t="shared" si="104"/>
        <v>10.669421587061324</v>
      </c>
      <c r="P304">
        <f t="shared" si="108"/>
        <v>10.734186614484775</v>
      </c>
      <c r="Q304">
        <f t="shared" si="106"/>
        <v>10.529812960475033</v>
      </c>
      <c r="R304">
        <f t="shared" si="109"/>
        <v>10.676852728555451</v>
      </c>
      <c r="S304">
        <f t="shared" si="109"/>
        <v>10.526715770612318</v>
      </c>
      <c r="T304">
        <f t="shared" si="90"/>
        <v>-1.622795253852118</v>
      </c>
      <c r="U304">
        <f t="shared" si="91"/>
        <v>1.622795253852118</v>
      </c>
      <c r="V304">
        <f t="shared" si="98"/>
        <v>10.583497986991786</v>
      </c>
      <c r="W304">
        <f t="shared" si="92"/>
        <v>1.5660130374726506</v>
      </c>
      <c r="X304">
        <f t="shared" si="99"/>
        <v>10.53588985892269</v>
      </c>
      <c r="Y304">
        <f t="shared" si="93"/>
        <v>1.6136211655417458</v>
      </c>
      <c r="Z304">
        <f t="shared" si="100"/>
        <v>10.49788654381862</v>
      </c>
      <c r="AA304">
        <f t="shared" si="94"/>
        <v>1.6516244806458165</v>
      </c>
      <c r="AB304">
        <f t="shared" si="95"/>
        <v>4.9613910244644357</v>
      </c>
      <c r="AC304">
        <f t="shared" si="96"/>
        <v>10.551630948428633</v>
      </c>
      <c r="AD304">
        <f t="shared" si="97"/>
        <v>1.5978800760358034</v>
      </c>
    </row>
    <row r="305" spans="1:30">
      <c r="A305">
        <v>303</v>
      </c>
      <c r="B305">
        <v>11.693788512704991</v>
      </c>
      <c r="C305">
        <f t="shared" si="101"/>
        <v>11.544446664070829</v>
      </c>
      <c r="D305">
        <f t="shared" si="101"/>
        <v>10.15669142539719</v>
      </c>
      <c r="E305">
        <f t="shared" si="102"/>
        <v>10.799398491128086</v>
      </c>
      <c r="F305">
        <f t="shared" si="105"/>
        <v>10.400166875469154</v>
      </c>
      <c r="G305">
        <f t="shared" si="105"/>
        <v>10.769368331131373</v>
      </c>
      <c r="H305">
        <f t="shared" si="105"/>
        <v>10.890267451752207</v>
      </c>
      <c r="I305">
        <f t="shared" si="88"/>
        <v>-0.80352106095278408</v>
      </c>
      <c r="J305">
        <f t="shared" si="103"/>
        <v>10.86674364520265</v>
      </c>
      <c r="K305">
        <f t="shared" si="107"/>
        <v>10.539281270003496</v>
      </c>
      <c r="L305">
        <f t="shared" si="107"/>
        <v>10.824827816491274</v>
      </c>
      <c r="M305">
        <f t="shared" si="107"/>
        <v>10.502736832051568</v>
      </c>
      <c r="N305">
        <f t="shared" si="89"/>
        <v>-1.1910516806534233</v>
      </c>
      <c r="O305">
        <f t="shared" si="104"/>
        <v>11.032152618703119</v>
      </c>
      <c r="P305">
        <f t="shared" si="108"/>
        <v>10.694418321277277</v>
      </c>
      <c r="Q305">
        <f t="shared" si="106"/>
        <v>10.73733653151592</v>
      </c>
      <c r="R305">
        <f t="shared" si="109"/>
        <v>10.680854378148247</v>
      </c>
      <c r="S305">
        <f t="shared" si="109"/>
        <v>10.550330153349513</v>
      </c>
      <c r="T305">
        <f t="shared" si="90"/>
        <v>-1.1434583593554777</v>
      </c>
      <c r="U305">
        <f t="shared" si="91"/>
        <v>1.1434583593554777</v>
      </c>
      <c r="V305">
        <f t="shared" si="98"/>
        <v>10.740099290739051</v>
      </c>
      <c r="W305">
        <f t="shared" si="92"/>
        <v>0.95368922196593964</v>
      </c>
      <c r="X305">
        <f t="shared" si="99"/>
        <v>10.85861409203104</v>
      </c>
      <c r="Y305">
        <f t="shared" si="93"/>
        <v>0.83517442067395109</v>
      </c>
      <c r="Z305">
        <f t="shared" si="100"/>
        <v>10.993373888012364</v>
      </c>
      <c r="AA305">
        <f t="shared" si="94"/>
        <v>0.70041462469262683</v>
      </c>
      <c r="AB305">
        <f t="shared" si="95"/>
        <v>4.5001085127049905</v>
      </c>
      <c r="AC305">
        <f t="shared" si="96"/>
        <v>10.539237401668638</v>
      </c>
      <c r="AD305">
        <f t="shared" si="97"/>
        <v>1.1545511110363531</v>
      </c>
    </row>
    <row r="306" spans="1:30">
      <c r="A306">
        <v>304</v>
      </c>
      <c r="B306">
        <v>10.216854884553634</v>
      </c>
      <c r="C306">
        <f t="shared" si="101"/>
        <v>11.921649768584714</v>
      </c>
      <c r="D306">
        <f t="shared" si="101"/>
        <v>10.834394444265369</v>
      </c>
      <c r="E306">
        <f t="shared" si="102"/>
        <v>11.594227280282217</v>
      </c>
      <c r="F306">
        <f t="shared" si="105"/>
        <v>10.441541515210597</v>
      </c>
      <c r="G306">
        <f t="shared" si="105"/>
        <v>10.552579378172275</v>
      </c>
      <c r="H306">
        <f t="shared" si="105"/>
        <v>10.911689041935366</v>
      </c>
      <c r="I306">
        <f t="shared" si="88"/>
        <v>0.69483415738173271</v>
      </c>
      <c r="J306">
        <f t="shared" si="103"/>
        <v>11.022995996522312</v>
      </c>
      <c r="K306">
        <f t="shared" si="107"/>
        <v>10.558118166658563</v>
      </c>
      <c r="L306">
        <f t="shared" si="107"/>
        <v>10.776953808754207</v>
      </c>
      <c r="M306">
        <f t="shared" si="107"/>
        <v>10.624756317526025</v>
      </c>
      <c r="N306">
        <f t="shared" si="89"/>
        <v>0.40790143297239112</v>
      </c>
      <c r="O306">
        <f t="shared" si="104"/>
        <v>10.861767774128577</v>
      </c>
      <c r="P306">
        <f t="shared" si="108"/>
        <v>10.690249519775284</v>
      </c>
      <c r="Q306">
        <f t="shared" si="106"/>
        <v>10.840149408001935</v>
      </c>
      <c r="R306">
        <f t="shared" si="109"/>
        <v>10.705665973464599</v>
      </c>
      <c r="S306">
        <f t="shared" si="109"/>
        <v>10.579604959259546</v>
      </c>
      <c r="T306">
        <f t="shared" si="90"/>
        <v>0.3627500747059127</v>
      </c>
      <c r="U306">
        <f t="shared" si="91"/>
        <v>-0.3627500747059127</v>
      </c>
      <c r="V306">
        <f t="shared" si="98"/>
        <v>10.835468212935645</v>
      </c>
      <c r="W306">
        <f t="shared" si="92"/>
        <v>-0.61861332838201122</v>
      </c>
      <c r="X306">
        <f t="shared" si="99"/>
        <v>11.025648976165829</v>
      </c>
      <c r="Y306">
        <f t="shared" si="93"/>
        <v>-0.80879409161219584</v>
      </c>
      <c r="Z306">
        <f t="shared" si="100"/>
        <v>11.203498275420152</v>
      </c>
      <c r="AA306">
        <f t="shared" si="94"/>
        <v>-0.98664339086651864</v>
      </c>
      <c r="AB306">
        <f t="shared" si="95"/>
        <v>3.017614884553633</v>
      </c>
      <c r="AC306">
        <f t="shared" si="96"/>
        <v>10.526009711050666</v>
      </c>
      <c r="AD306">
        <f t="shared" si="97"/>
        <v>-0.30915482649703208</v>
      </c>
    </row>
    <row r="307" spans="1:30">
      <c r="A307">
        <v>305</v>
      </c>
      <c r="B307">
        <v>11.909496436718776</v>
      </c>
      <c r="C307">
        <f t="shared" si="101"/>
        <v>10.955321698629312</v>
      </c>
      <c r="D307">
        <f t="shared" si="101"/>
        <v>11.733048216327772</v>
      </c>
      <c r="E307">
        <f t="shared" si="102"/>
        <v>11.353384807241021</v>
      </c>
      <c r="F307">
        <f t="shared" si="105"/>
        <v>10.944260096730787</v>
      </c>
      <c r="G307">
        <f t="shared" si="105"/>
        <v>10.434104742425852</v>
      </c>
      <c r="H307">
        <f t="shared" si="105"/>
        <v>10.768808696030439</v>
      </c>
      <c r="I307">
        <f t="shared" si="88"/>
        <v>-1.1406877406883371</v>
      </c>
      <c r="J307">
        <f t="shared" si="103"/>
        <v>11.249884181350071</v>
      </c>
      <c r="K307">
        <f t="shared" si="107"/>
        <v>10.630730083668492</v>
      </c>
      <c r="L307">
        <f t="shared" si="107"/>
        <v>10.704987117326727</v>
      </c>
      <c r="M307">
        <f t="shared" si="107"/>
        <v>10.716449401369179</v>
      </c>
      <c r="N307">
        <f t="shared" si="89"/>
        <v>-1.193047035349597</v>
      </c>
      <c r="O307">
        <f t="shared" si="104"/>
        <v>11.381806632423812</v>
      </c>
      <c r="P307">
        <f t="shared" si="108"/>
        <v>10.693228540930766</v>
      </c>
      <c r="Q307">
        <f t="shared" si="106"/>
        <v>10.896269663011537</v>
      </c>
      <c r="R307">
        <f t="shared" si="109"/>
        <v>10.742851937373269</v>
      </c>
      <c r="S307">
        <f t="shared" si="109"/>
        <v>10.612426911210347</v>
      </c>
      <c r="T307">
        <f t="shared" si="90"/>
        <v>-1.2970695255084284</v>
      </c>
      <c r="U307">
        <f t="shared" si="91"/>
        <v>1.2970695255084284</v>
      </c>
      <c r="V307">
        <f t="shared" si="98"/>
        <v>10.773606880097443</v>
      </c>
      <c r="W307">
        <f t="shared" si="92"/>
        <v>1.1358895566213327</v>
      </c>
      <c r="X307">
        <f t="shared" si="99"/>
        <v>10.86389015784339</v>
      </c>
      <c r="Y307">
        <f t="shared" si="93"/>
        <v>1.0456062788753862</v>
      </c>
      <c r="Z307">
        <f t="shared" si="100"/>
        <v>10.907505258160196</v>
      </c>
      <c r="AA307">
        <f t="shared" si="94"/>
        <v>1.0019911785585798</v>
      </c>
      <c r="AB307">
        <f t="shared" si="95"/>
        <v>4.7046964367187751</v>
      </c>
      <c r="AC307">
        <f t="shared" si="96"/>
        <v>10.51195175917668</v>
      </c>
      <c r="AD307">
        <f t="shared" si="97"/>
        <v>1.3975446775420952</v>
      </c>
    </row>
    <row r="308" spans="1:30">
      <c r="A308">
        <v>306</v>
      </c>
      <c r="B308">
        <v>11.949694179361895</v>
      </c>
      <c r="C308">
        <f t="shared" si="101"/>
        <v>11.063175660636205</v>
      </c>
      <c r="D308">
        <f t="shared" si="101"/>
        <v>11.438485733607013</v>
      </c>
      <c r="E308">
        <f t="shared" si="102"/>
        <v>11.273379944659133</v>
      </c>
      <c r="F308">
        <f t="shared" si="105"/>
        <v>11.249003526217109</v>
      </c>
      <c r="G308">
        <f t="shared" si="105"/>
        <v>10.595322829136846</v>
      </c>
      <c r="H308">
        <f t="shared" si="105"/>
        <v>10.585350817243167</v>
      </c>
      <c r="I308">
        <f t="shared" si="88"/>
        <v>-1.3643433621187278</v>
      </c>
      <c r="J308">
        <f t="shared" si="103"/>
        <v>11.49241271461046</v>
      </c>
      <c r="K308">
        <f t="shared" si="107"/>
        <v>10.859755762696395</v>
      </c>
      <c r="L308">
        <f t="shared" si="107"/>
        <v>10.632278523610498</v>
      </c>
      <c r="M308">
        <f t="shared" si="107"/>
        <v>10.756036183929247</v>
      </c>
      <c r="N308">
        <f t="shared" si="89"/>
        <v>-1.1936579954326483</v>
      </c>
      <c r="O308">
        <f t="shared" si="104"/>
        <v>11.583869007560747</v>
      </c>
      <c r="P308">
        <f t="shared" si="108"/>
        <v>10.880010049048609</v>
      </c>
      <c r="Q308">
        <f t="shared" si="106"/>
        <v>11.036389217893609</v>
      </c>
      <c r="R308">
        <f t="shared" si="109"/>
        <v>10.774967752875467</v>
      </c>
      <c r="S308">
        <f t="shared" si="109"/>
        <v>10.656286488620951</v>
      </c>
      <c r="T308">
        <f t="shared" si="90"/>
        <v>-1.2934076907409437</v>
      </c>
      <c r="U308">
        <f t="shared" si="91"/>
        <v>1.2934076907409437</v>
      </c>
      <c r="V308">
        <f t="shared" si="98"/>
        <v>10.887195835759576</v>
      </c>
      <c r="W308">
        <f t="shared" si="92"/>
        <v>1.0624983436023197</v>
      </c>
      <c r="X308">
        <f t="shared" si="99"/>
        <v>11.073011413618467</v>
      </c>
      <c r="Y308">
        <f t="shared" si="93"/>
        <v>0.8766827657434284</v>
      </c>
      <c r="Z308">
        <f t="shared" si="100"/>
        <v>11.208102611727769</v>
      </c>
      <c r="AA308">
        <f t="shared" si="94"/>
        <v>0.74159156763412604</v>
      </c>
      <c r="AB308">
        <f t="shared" si="95"/>
        <v>4.7393341793618946</v>
      </c>
      <c r="AC308">
        <f t="shared" si="96"/>
        <v>10.49706765927143</v>
      </c>
      <c r="AD308">
        <f t="shared" si="97"/>
        <v>1.4526265200904653</v>
      </c>
    </row>
    <row r="309" spans="1:30">
      <c r="A309">
        <v>307</v>
      </c>
      <c r="B309">
        <v>11.616256421095301</v>
      </c>
      <c r="C309">
        <f t="shared" si="101"/>
        <v>11.929595308040335</v>
      </c>
      <c r="D309">
        <f t="shared" si="101"/>
        <v>11.009248679632758</v>
      </c>
      <c r="E309">
        <f t="shared" si="102"/>
        <v>11.35868183354477</v>
      </c>
      <c r="F309">
        <f t="shared" si="105"/>
        <v>11.406997344060791</v>
      </c>
      <c r="G309">
        <f t="shared" si="105"/>
        <v>10.878268379386164</v>
      </c>
      <c r="H309">
        <f t="shared" si="105"/>
        <v>10.527335649911658</v>
      </c>
      <c r="I309">
        <f t="shared" si="88"/>
        <v>-1.0889207711836431</v>
      </c>
      <c r="J309">
        <f t="shared" si="103"/>
        <v>11.442458503334823</v>
      </c>
      <c r="K309">
        <f t="shared" si="107"/>
        <v>11.158009134421373</v>
      </c>
      <c r="L309">
        <f t="shared" si="107"/>
        <v>10.646971320756737</v>
      </c>
      <c r="M309">
        <f t="shared" si="107"/>
        <v>10.734761816545674</v>
      </c>
      <c r="N309">
        <f t="shared" si="89"/>
        <v>-0.88149460454962636</v>
      </c>
      <c r="O309">
        <f t="shared" si="104"/>
        <v>11.477218086886918</v>
      </c>
      <c r="P309">
        <f t="shared" si="108"/>
        <v>11.105803523975515</v>
      </c>
      <c r="Q309">
        <f t="shared" si="106"/>
        <v>11.476454556913493</v>
      </c>
      <c r="R309">
        <f t="shared" si="109"/>
        <v>10.771761449232963</v>
      </c>
      <c r="S309">
        <f t="shared" si="109"/>
        <v>10.703450608011908</v>
      </c>
      <c r="T309">
        <f t="shared" si="90"/>
        <v>-0.91280581308339315</v>
      </c>
      <c r="U309">
        <f t="shared" si="91"/>
        <v>0.91280581308339315</v>
      </c>
      <c r="V309">
        <f t="shared" si="98"/>
        <v>10.993445670119808</v>
      </c>
      <c r="W309">
        <f t="shared" si="92"/>
        <v>0.62281075097549277</v>
      </c>
      <c r="X309">
        <f t="shared" si="99"/>
        <v>11.248347966767152</v>
      </c>
      <c r="Y309">
        <f t="shared" si="93"/>
        <v>0.36790845432814834</v>
      </c>
      <c r="Z309">
        <f t="shared" si="100"/>
        <v>11.430580082018007</v>
      </c>
      <c r="AA309">
        <f t="shared" si="94"/>
        <v>0.18567633907729331</v>
      </c>
      <c r="AB309">
        <f t="shared" si="95"/>
        <v>4.4003364210953002</v>
      </c>
      <c r="AC309">
        <f t="shared" si="96"/>
        <v>10.481361754039916</v>
      </c>
      <c r="AD309">
        <f t="shared" si="97"/>
        <v>1.1348946670553843</v>
      </c>
    </row>
    <row r="310" spans="1:30">
      <c r="A310">
        <v>308</v>
      </c>
      <c r="B310">
        <v>11.392075085667177</v>
      </c>
      <c r="C310">
        <f t="shared" si="101"/>
        <v>11.782975300228598</v>
      </c>
      <c r="D310">
        <f t="shared" si="101"/>
        <v>11.496385484338269</v>
      </c>
      <c r="E310">
        <f t="shared" si="102"/>
        <v>11.825149012391989</v>
      </c>
      <c r="F310">
        <f t="shared" si="105"/>
        <v>11.328482195148309</v>
      </c>
      <c r="G310">
        <f t="shared" si="105"/>
        <v>11.200086989002896</v>
      </c>
      <c r="H310">
        <f t="shared" si="105"/>
        <v>10.635898650316287</v>
      </c>
      <c r="I310">
        <f t="shared" si="88"/>
        <v>-0.75617643535088952</v>
      </c>
      <c r="J310">
        <f t="shared" si="103"/>
        <v>11.423075480432402</v>
      </c>
      <c r="K310">
        <f t="shared" si="107"/>
        <v>11.301937848954417</v>
      </c>
      <c r="L310">
        <f t="shared" si="107"/>
        <v>10.801653286861207</v>
      </c>
      <c r="M310">
        <f t="shared" si="107"/>
        <v>10.690297692612042</v>
      </c>
      <c r="N310">
        <f t="shared" si="89"/>
        <v>-0.70177739305513498</v>
      </c>
      <c r="O310">
        <f t="shared" si="104"/>
        <v>11.416875401479356</v>
      </c>
      <c r="P310">
        <f t="shared" si="108"/>
        <v>11.267362823940635</v>
      </c>
      <c r="Q310">
        <f t="shared" si="106"/>
        <v>11.589266909816507</v>
      </c>
      <c r="R310">
        <f t="shared" si="109"/>
        <v>10.919402056301919</v>
      </c>
      <c r="S310">
        <f t="shared" si="109"/>
        <v>10.725492369941668</v>
      </c>
      <c r="T310">
        <f t="shared" si="90"/>
        <v>-0.66658271572550909</v>
      </c>
      <c r="U310">
        <f t="shared" si="91"/>
        <v>0.66658271572550909</v>
      </c>
      <c r="V310">
        <f t="shared" si="98"/>
        <v>11.055726745217358</v>
      </c>
      <c r="W310">
        <f t="shared" si="92"/>
        <v>0.33634834044981865</v>
      </c>
      <c r="X310">
        <f t="shared" si="99"/>
        <v>11.321929657632783</v>
      </c>
      <c r="Y310">
        <f t="shared" si="93"/>
        <v>7.0145428034393831E-2</v>
      </c>
      <c r="Z310">
        <f t="shared" si="100"/>
        <v>11.486282983741196</v>
      </c>
      <c r="AA310">
        <f t="shared" si="94"/>
        <v>-9.4207898074019525E-2</v>
      </c>
      <c r="AB310">
        <f t="shared" si="95"/>
        <v>4.1705950856671761</v>
      </c>
      <c r="AC310">
        <f t="shared" si="96"/>
        <v>10.464838614461117</v>
      </c>
      <c r="AD310">
        <f t="shared" si="97"/>
        <v>0.92723647120605968</v>
      </c>
    </row>
    <row r="311" spans="1:30">
      <c r="A311">
        <v>309</v>
      </c>
      <c r="B311">
        <v>8.695569415430958</v>
      </c>
      <c r="C311">
        <f t="shared" si="101"/>
        <v>11.504165753381239</v>
      </c>
      <c r="D311">
        <f t="shared" si="101"/>
        <v>11.856285304134467</v>
      </c>
      <c r="E311">
        <f t="shared" si="102"/>
        <v>11.652675228708125</v>
      </c>
      <c r="F311">
        <f t="shared" si="105"/>
        <v>11.485736930198632</v>
      </c>
      <c r="G311">
        <f t="shared" si="105"/>
        <v>11.328161021808738</v>
      </c>
      <c r="H311">
        <f t="shared" si="105"/>
        <v>10.89122606584197</v>
      </c>
      <c r="I311">
        <f t="shared" si="88"/>
        <v>2.1956566504110118</v>
      </c>
      <c r="J311">
        <f t="shared" si="103"/>
        <v>11.716880530710785</v>
      </c>
      <c r="K311">
        <f t="shared" si="107"/>
        <v>11.401957719931939</v>
      </c>
      <c r="L311">
        <f t="shared" si="107"/>
        <v>10.987608207435169</v>
      </c>
      <c r="M311">
        <f t="shared" si="107"/>
        <v>10.696472562138792</v>
      </c>
      <c r="N311">
        <f t="shared" si="89"/>
        <v>2.0009031467078344</v>
      </c>
      <c r="O311">
        <f t="shared" si="104"/>
        <v>11.11261830765482</v>
      </c>
      <c r="P311">
        <f t="shared" si="108"/>
        <v>11.344307380495882</v>
      </c>
      <c r="Q311">
        <f t="shared" si="106"/>
        <v>11.463027586683628</v>
      </c>
      <c r="R311">
        <f t="shared" si="109"/>
        <v>11.095977714525501</v>
      </c>
      <c r="S311">
        <f t="shared" si="109"/>
        <v>10.76591725789941</v>
      </c>
      <c r="T311">
        <f t="shared" si="90"/>
        <v>2.0703478424684523</v>
      </c>
      <c r="U311">
        <f t="shared" si="91"/>
        <v>-2.0703478424684523</v>
      </c>
      <c r="V311">
        <f t="shared" si="98"/>
        <v>11.08936157926234</v>
      </c>
      <c r="W311">
        <f t="shared" si="92"/>
        <v>-2.3937921638313817</v>
      </c>
      <c r="X311">
        <f t="shared" si="99"/>
        <v>11.335958743239662</v>
      </c>
      <c r="Y311">
        <f t="shared" si="93"/>
        <v>-2.6403893278087036</v>
      </c>
      <c r="Z311">
        <f t="shared" si="100"/>
        <v>11.45802061431899</v>
      </c>
      <c r="AA311">
        <f t="shared" si="94"/>
        <v>-2.7624511988880318</v>
      </c>
      <c r="AB311">
        <f t="shared" si="95"/>
        <v>1.4685294154309574</v>
      </c>
      <c r="AC311">
        <f t="shared" si="96"/>
        <v>10.447503038518294</v>
      </c>
      <c r="AD311">
        <f t="shared" si="97"/>
        <v>-1.7519336230873357</v>
      </c>
    </row>
    <row r="312" spans="1:30">
      <c r="A312">
        <v>310</v>
      </c>
      <c r="B312">
        <v>8.8042291868029583</v>
      </c>
      <c r="C312">
        <f t="shared" si="101"/>
        <v>10.043822250549066</v>
      </c>
      <c r="D312">
        <f t="shared" si="101"/>
        <v>11.643570526804918</v>
      </c>
      <c r="E312">
        <f t="shared" si="102"/>
        <v>10.567966974064477</v>
      </c>
      <c r="F312">
        <f t="shared" si="105"/>
        <v>11.612168691548296</v>
      </c>
      <c r="G312">
        <f t="shared" si="105"/>
        <v>11.407072156469246</v>
      </c>
      <c r="H312">
        <f t="shared" si="105"/>
        <v>11.135505463399268</v>
      </c>
      <c r="I312">
        <f t="shared" si="88"/>
        <v>2.3312762765963093</v>
      </c>
      <c r="J312">
        <f t="shared" si="103"/>
        <v>10.913398775388833</v>
      </c>
      <c r="K312">
        <f t="shared" si="107"/>
        <v>11.518706807272117</v>
      </c>
      <c r="L312">
        <f t="shared" si="107"/>
        <v>11.180415116501031</v>
      </c>
      <c r="M312">
        <f t="shared" si="107"/>
        <v>10.767127834665903</v>
      </c>
      <c r="N312">
        <f t="shared" si="89"/>
        <v>1.9628986478629447</v>
      </c>
      <c r="O312">
        <f t="shared" si="104"/>
        <v>10.491564857671658</v>
      </c>
      <c r="P312">
        <f t="shared" si="108"/>
        <v>11.394477487201131</v>
      </c>
      <c r="Q312">
        <f t="shared" si="106"/>
        <v>10.963324403804622</v>
      </c>
      <c r="R312">
        <f t="shared" si="109"/>
        <v>11.216926223720117</v>
      </c>
      <c r="S312">
        <f t="shared" si="109"/>
        <v>10.835104480628951</v>
      </c>
      <c r="T312">
        <f t="shared" si="90"/>
        <v>2.0308752938259929</v>
      </c>
      <c r="U312">
        <f t="shared" si="91"/>
        <v>-2.0308752938259929</v>
      </c>
      <c r="V312">
        <f t="shared" si="98"/>
        <v>10.849982362879201</v>
      </c>
      <c r="W312">
        <f t="shared" si="92"/>
        <v>-2.0457531760762429</v>
      </c>
      <c r="X312">
        <f t="shared" si="99"/>
        <v>10.80788087767792</v>
      </c>
      <c r="Y312">
        <f t="shared" si="93"/>
        <v>-2.0036516908749622</v>
      </c>
      <c r="Z312">
        <f t="shared" si="100"/>
        <v>10.629285254652579</v>
      </c>
      <c r="AA312">
        <f t="shared" si="94"/>
        <v>-1.825056067849621</v>
      </c>
      <c r="AB312">
        <f t="shared" si="95"/>
        <v>1.5716291868029577</v>
      </c>
      <c r="AC312">
        <f t="shared" si="96"/>
        <v>10.429360049866249</v>
      </c>
      <c r="AD312">
        <f t="shared" si="97"/>
        <v>-1.6251308630632906</v>
      </c>
    </row>
    <row r="313" spans="1:30">
      <c r="A313">
        <v>311</v>
      </c>
      <c r="B313">
        <v>8.766339553095392</v>
      </c>
      <c r="C313">
        <f t="shared" si="101"/>
        <v>8.7498993011169581</v>
      </c>
      <c r="D313">
        <f t="shared" si="101"/>
        <v>10.773994001965153</v>
      </c>
      <c r="E313">
        <f t="shared" si="102"/>
        <v>9.630624562633697</v>
      </c>
      <c r="F313">
        <f t="shared" si="105"/>
        <v>11.34859707172153</v>
      </c>
      <c r="G313">
        <f t="shared" si="105"/>
        <v>11.475462605631746</v>
      </c>
      <c r="H313">
        <f t="shared" si="105"/>
        <v>11.311773389093625</v>
      </c>
      <c r="I313">
        <f t="shared" si="88"/>
        <v>2.5454338359982334</v>
      </c>
      <c r="J313">
        <f t="shared" si="103"/>
        <v>10.127032527249098</v>
      </c>
      <c r="K313">
        <f t="shared" si="107"/>
        <v>11.373953322466711</v>
      </c>
      <c r="L313">
        <f t="shared" si="107"/>
        <v>11.345152877644962</v>
      </c>
      <c r="M313">
        <f t="shared" si="107"/>
        <v>10.904161982888537</v>
      </c>
      <c r="N313">
        <f t="shared" si="89"/>
        <v>2.137822429793145</v>
      </c>
      <c r="O313">
        <f t="shared" si="104"/>
        <v>9.8548939324183564</v>
      </c>
      <c r="P313">
        <f t="shared" si="108"/>
        <v>11.216429132250699</v>
      </c>
      <c r="Q313">
        <f t="shared" si="106"/>
        <v>10.727886787512844</v>
      </c>
      <c r="R313">
        <f t="shared" si="109"/>
        <v>11.237455389687234</v>
      </c>
      <c r="S313">
        <f t="shared" si="109"/>
        <v>10.920314522338208</v>
      </c>
      <c r="T313">
        <f t="shared" si="90"/>
        <v>2.1539749692428156</v>
      </c>
      <c r="U313">
        <f t="shared" si="91"/>
        <v>-2.1539749692428156</v>
      </c>
      <c r="V313">
        <f t="shared" si="98"/>
        <v>10.645407045271577</v>
      </c>
      <c r="W313">
        <f t="shared" si="92"/>
        <v>-1.8790674921761852</v>
      </c>
      <c r="X313">
        <f t="shared" si="99"/>
        <v>10.407150539502927</v>
      </c>
      <c r="Y313">
        <f t="shared" si="93"/>
        <v>-1.6408109864075353</v>
      </c>
      <c r="Z313">
        <f t="shared" si="100"/>
        <v>10.081768434297693</v>
      </c>
      <c r="AA313">
        <f t="shared" si="94"/>
        <v>-1.3154288812023012</v>
      </c>
      <c r="AB313">
        <f t="shared" si="95"/>
        <v>1.5281795530953914</v>
      </c>
      <c r="AC313">
        <f t="shared" si="96"/>
        <v>10.410414896435908</v>
      </c>
      <c r="AD313">
        <f t="shared" si="97"/>
        <v>-1.644075343340516</v>
      </c>
    </row>
    <row r="314" spans="1:30">
      <c r="A314">
        <v>312</v>
      </c>
      <c r="B314">
        <v>10.700967970760736</v>
      </c>
      <c r="C314">
        <f t="shared" si="101"/>
        <v>8.7852843699491743</v>
      </c>
      <c r="D314">
        <f t="shared" si="101"/>
        <v>9.3968607758330123</v>
      </c>
      <c r="E314">
        <f t="shared" si="102"/>
        <v>8.7553793851097694</v>
      </c>
      <c r="F314">
        <f t="shared" si="105"/>
        <v>10.6170889218021</v>
      </c>
      <c r="G314">
        <f t="shared" si="105"/>
        <v>11.482167564489487</v>
      </c>
      <c r="H314">
        <f t="shared" si="105"/>
        <v>11.403565261303243</v>
      </c>
      <c r="I314">
        <f t="shared" si="88"/>
        <v>0.70259729054250641</v>
      </c>
      <c r="J314">
        <f t="shared" si="103"/>
        <v>9.4145533102491203</v>
      </c>
      <c r="K314">
        <f t="shared" si="107"/>
        <v>11.04509682844528</v>
      </c>
      <c r="L314">
        <f t="shared" si="107"/>
        <v>11.399138924656297</v>
      </c>
      <c r="M314">
        <f t="shared" si="107"/>
        <v>11.078707372110593</v>
      </c>
      <c r="N314">
        <f t="shared" si="89"/>
        <v>0.37773940134985651</v>
      </c>
      <c r="O314">
        <f t="shared" si="104"/>
        <v>9.6718362423514428</v>
      </c>
      <c r="P314">
        <f t="shared" si="108"/>
        <v>10.870634117222222</v>
      </c>
      <c r="Q314">
        <f t="shared" si="106"/>
        <v>10.204027306908946</v>
      </c>
      <c r="R314">
        <f t="shared" si="109"/>
        <v>11.209391577104119</v>
      </c>
      <c r="S314">
        <f t="shared" si="109"/>
        <v>11.002748431057199</v>
      </c>
      <c r="T314">
        <f t="shared" si="90"/>
        <v>0.3017804602964631</v>
      </c>
      <c r="U314">
        <f t="shared" si="91"/>
        <v>-0.3017804602964631</v>
      </c>
      <c r="V314">
        <f t="shared" si="98"/>
        <v>10.457500296053958</v>
      </c>
      <c r="W314">
        <f t="shared" si="92"/>
        <v>0.24346767470677833</v>
      </c>
      <c r="X314">
        <f t="shared" si="99"/>
        <v>10.07898834222142</v>
      </c>
      <c r="Y314">
        <f t="shared" si="93"/>
        <v>0.62197962853931621</v>
      </c>
      <c r="Z314">
        <f t="shared" si="100"/>
        <v>9.6871397699370032</v>
      </c>
      <c r="AA314">
        <f t="shared" si="94"/>
        <v>1.0138282008237329</v>
      </c>
      <c r="AB314">
        <f t="shared" si="95"/>
        <v>3.4572479707607355</v>
      </c>
      <c r="AC314">
        <f t="shared" si="96"/>
        <v>10.390673048976581</v>
      </c>
      <c r="AD314">
        <f t="shared" si="97"/>
        <v>0.31029492178415552</v>
      </c>
    </row>
    <row r="315" spans="1:30">
      <c r="A315">
        <v>313</v>
      </c>
      <c r="B315">
        <v>8.5556341049033033</v>
      </c>
      <c r="C315">
        <f t="shared" si="101"/>
        <v>9.7336537619280641</v>
      </c>
      <c r="D315">
        <f t="shared" si="101"/>
        <v>8.7675918355330662</v>
      </c>
      <c r="E315">
        <f t="shared" si="102"/>
        <v>9.4238455702196955</v>
      </c>
      <c r="F315">
        <f t="shared" si="105"/>
        <v>9.6513236406026479</v>
      </c>
      <c r="G315">
        <f t="shared" si="105"/>
        <v>11.192618228357309</v>
      </c>
      <c r="H315">
        <f t="shared" si="105"/>
        <v>11.454900775530158</v>
      </c>
      <c r="I315">
        <f t="shared" si="88"/>
        <v>2.8992666706268544</v>
      </c>
      <c r="J315">
        <f t="shared" si="103"/>
        <v>9.2417765315225111</v>
      </c>
      <c r="K315">
        <f t="shared" si="107"/>
        <v>10.542966285899459</v>
      </c>
      <c r="L315">
        <f t="shared" si="107"/>
        <v>11.334928669529013</v>
      </c>
      <c r="M315">
        <f t="shared" si="107"/>
        <v>11.228078781559365</v>
      </c>
      <c r="N315">
        <f t="shared" si="89"/>
        <v>2.6724446766560614</v>
      </c>
      <c r="O315">
        <f t="shared" si="104"/>
        <v>9.1045480461986692</v>
      </c>
      <c r="P315">
        <f t="shared" si="108"/>
        <v>10.509557748315126</v>
      </c>
      <c r="Q315">
        <f t="shared" si="106"/>
        <v>9.9959062721420864</v>
      </c>
      <c r="R315">
        <f t="shared" si="109"/>
        <v>11.070664591940007</v>
      </c>
      <c r="S315">
        <f t="shared" si="109"/>
        <v>11.075152401761976</v>
      </c>
      <c r="T315">
        <f t="shared" si="90"/>
        <v>2.5195182968586725</v>
      </c>
      <c r="U315">
        <f t="shared" si="91"/>
        <v>-2.5195182968586725</v>
      </c>
      <c r="V315">
        <f t="shared" si="98"/>
        <v>10.481847063524636</v>
      </c>
      <c r="W315">
        <f t="shared" si="92"/>
        <v>-1.926212958621333</v>
      </c>
      <c r="X315">
        <f t="shared" si="99"/>
        <v>10.203384267929284</v>
      </c>
      <c r="Y315">
        <f t="shared" si="93"/>
        <v>-1.6477501630259805</v>
      </c>
      <c r="Z315">
        <f t="shared" si="100"/>
        <v>9.9912882301841233</v>
      </c>
      <c r="AA315">
        <f t="shared" si="94"/>
        <v>-1.4356541252808199</v>
      </c>
      <c r="AB315">
        <f t="shared" si="95"/>
        <v>1.3063541049033027</v>
      </c>
      <c r="AC315">
        <f t="shared" si="96"/>
        <v>10.370140199536358</v>
      </c>
      <c r="AD315">
        <f t="shared" si="97"/>
        <v>-1.8145060946330549</v>
      </c>
    </row>
    <row r="316" spans="1:30">
      <c r="A316">
        <v>314</v>
      </c>
      <c r="B316">
        <v>11.319400571594246</v>
      </c>
      <c r="C316">
        <f t="shared" si="101"/>
        <v>9.6283010378320206</v>
      </c>
      <c r="D316">
        <f t="shared" si="101"/>
        <v>9.2594690659386192</v>
      </c>
      <c r="E316">
        <f t="shared" si="102"/>
        <v>9.3409805429198105</v>
      </c>
      <c r="F316">
        <f t="shared" si="105"/>
        <v>9.2699498393210558</v>
      </c>
      <c r="G316">
        <f t="shared" si="105"/>
        <v>10.539003211375425</v>
      </c>
      <c r="H316">
        <f t="shared" si="105"/>
        <v>11.383416132826182</v>
      </c>
      <c r="I316">
        <f t="shared" si="88"/>
        <v>6.4015561231936857E-2</v>
      </c>
      <c r="J316">
        <f t="shared" si="103"/>
        <v>9.2067927038905975</v>
      </c>
      <c r="K316">
        <f t="shared" si="107"/>
        <v>9.924190286102391</v>
      </c>
      <c r="L316">
        <f t="shared" si="107"/>
        <v>11.120180811020893</v>
      </c>
      <c r="M316">
        <f t="shared" si="107"/>
        <v>11.314908897082827</v>
      </c>
      <c r="N316">
        <f t="shared" si="89"/>
        <v>-4.4916745114189638E-3</v>
      </c>
      <c r="O316">
        <f t="shared" si="104"/>
        <v>9.6293142774313267</v>
      </c>
      <c r="P316">
        <f t="shared" si="108"/>
        <v>10.047092277258988</v>
      </c>
      <c r="Q316">
        <f t="shared" si="106"/>
        <v>9.4858025527767538</v>
      </c>
      <c r="R316">
        <f t="shared" si="109"/>
        <v>10.823906544478106</v>
      </c>
      <c r="S316">
        <f t="shared" si="109"/>
        <v>11.12496959221315</v>
      </c>
      <c r="T316">
        <f t="shared" si="90"/>
        <v>-0.19443097938109588</v>
      </c>
      <c r="U316">
        <f t="shared" si="91"/>
        <v>0.19443097938109588</v>
      </c>
      <c r="V316">
        <f t="shared" si="98"/>
        <v>10.289225767662503</v>
      </c>
      <c r="W316">
        <f t="shared" si="92"/>
        <v>1.0301748039317431</v>
      </c>
      <c r="X316">
        <f t="shared" si="99"/>
        <v>9.8738342353240878</v>
      </c>
      <c r="Y316">
        <f t="shared" si="93"/>
        <v>1.4455663362701578</v>
      </c>
      <c r="Z316">
        <f t="shared" si="100"/>
        <v>9.5605919925998766</v>
      </c>
      <c r="AA316">
        <f t="shared" si="94"/>
        <v>1.758808578994369</v>
      </c>
      <c r="AB316">
        <f t="shared" si="95"/>
        <v>4.064560571594245</v>
      </c>
      <c r="AC316">
        <f t="shared" si="96"/>
        <v>10.348822259881011</v>
      </c>
      <c r="AD316">
        <f t="shared" si="97"/>
        <v>0.9705783117132345</v>
      </c>
    </row>
    <row r="317" spans="1:30">
      <c r="A317">
        <v>315</v>
      </c>
      <c r="B317">
        <v>10.031538390953529</v>
      </c>
      <c r="C317">
        <f t="shared" si="101"/>
        <v>9.9375173382487745</v>
      </c>
      <c r="D317">
        <f t="shared" si="101"/>
        <v>9.6809773998800424</v>
      </c>
      <c r="E317">
        <f t="shared" si="102"/>
        <v>10.192000882419428</v>
      </c>
      <c r="F317">
        <f t="shared" si="105"/>
        <v>9.1734018327497591</v>
      </c>
      <c r="G317">
        <f t="shared" si="105"/>
        <v>9.8461208005752692</v>
      </c>
      <c r="H317">
        <f t="shared" si="105"/>
        <v>11.071263001407408</v>
      </c>
      <c r="I317">
        <f t="shared" si="88"/>
        <v>1.0397246104538791</v>
      </c>
      <c r="J317">
        <f t="shared" si="103"/>
        <v>9.8355855500884193</v>
      </c>
      <c r="K317">
        <f t="shared" si="107"/>
        <v>9.4975387682278321</v>
      </c>
      <c r="L317">
        <f t="shared" si="107"/>
        <v>10.72155168072846</v>
      </c>
      <c r="M317">
        <f t="shared" si="107"/>
        <v>11.299850320712791</v>
      </c>
      <c r="N317">
        <f t="shared" si="89"/>
        <v>1.2683119297592622</v>
      </c>
      <c r="O317">
        <f t="shared" si="104"/>
        <v>9.8747761182614404</v>
      </c>
      <c r="P317">
        <f t="shared" si="108"/>
        <v>9.7504314712142914</v>
      </c>
      <c r="Q317">
        <f t="shared" si="106"/>
        <v>9.4736901337645989</v>
      </c>
      <c r="R317">
        <f t="shared" si="109"/>
        <v>10.473329151638147</v>
      </c>
      <c r="S317">
        <f t="shared" si="109"/>
        <v>11.109053673575849</v>
      </c>
      <c r="T317">
        <f t="shared" si="90"/>
        <v>1.0775152826223202</v>
      </c>
      <c r="U317">
        <f t="shared" si="91"/>
        <v>-1.0775152826223202</v>
      </c>
      <c r="V317">
        <f t="shared" si="98"/>
        <v>10.392243248055676</v>
      </c>
      <c r="W317">
        <f t="shared" si="92"/>
        <v>-0.36070485710214761</v>
      </c>
      <c r="X317">
        <f t="shared" si="99"/>
        <v>10.162947502578119</v>
      </c>
      <c r="Y317">
        <f t="shared" si="93"/>
        <v>-0.13140911162459012</v>
      </c>
      <c r="Z317">
        <f t="shared" si="100"/>
        <v>10.088234566298187</v>
      </c>
      <c r="AA317">
        <f t="shared" si="94"/>
        <v>-5.6696175344658428E-2</v>
      </c>
      <c r="AB317">
        <f t="shared" si="95"/>
        <v>2.7711383909535279</v>
      </c>
      <c r="AC317">
        <f t="shared" si="96"/>
        <v>10.326725359851881</v>
      </c>
      <c r="AD317">
        <f t="shared" si="97"/>
        <v>-0.29518696889835283</v>
      </c>
    </row>
    <row r="318" spans="1:30">
      <c r="A318">
        <v>316</v>
      </c>
      <c r="B318">
        <v>8.4581349117616806</v>
      </c>
      <c r="C318">
        <f t="shared" si="101"/>
        <v>10.675469481273886</v>
      </c>
      <c r="D318">
        <f t="shared" si="101"/>
        <v>9.7829091880403976</v>
      </c>
      <c r="E318">
        <f t="shared" si="102"/>
        <v>9.9688576891503597</v>
      </c>
      <c r="F318">
        <f t="shared" si="105"/>
        <v>9.6522756651863109</v>
      </c>
      <c r="G318">
        <f t="shared" si="105"/>
        <v>9.3648917708911554</v>
      </c>
      <c r="H318">
        <f t="shared" si="105"/>
        <v>10.525914080102668</v>
      </c>
      <c r="I318">
        <f t="shared" si="88"/>
        <v>2.0677791683409872</v>
      </c>
      <c r="J318">
        <f t="shared" si="103"/>
        <v>10.151885259552953</v>
      </c>
      <c r="K318">
        <f t="shared" si="107"/>
        <v>9.4246770239376616</v>
      </c>
      <c r="L318">
        <f t="shared" si="107"/>
        <v>10.252448042168741</v>
      </c>
      <c r="M318">
        <f t="shared" si="107"/>
        <v>11.143950021483667</v>
      </c>
      <c r="N318">
        <f t="shared" si="89"/>
        <v>2.685815109721986</v>
      </c>
      <c r="O318">
        <f t="shared" si="104"/>
        <v>9.8131351899946999</v>
      </c>
      <c r="P318">
        <f t="shared" si="108"/>
        <v>9.6270737233322485</v>
      </c>
      <c r="Q318">
        <f t="shared" si="106"/>
        <v>9.6963516296850276</v>
      </c>
      <c r="R318">
        <f t="shared" si="109"/>
        <v>10.141772909484976</v>
      </c>
      <c r="S318">
        <f t="shared" si="109"/>
        <v>11.005278913094623</v>
      </c>
      <c r="T318">
        <f t="shared" si="90"/>
        <v>2.5471440013329421</v>
      </c>
      <c r="U318">
        <f t="shared" si="91"/>
        <v>-2.5471440013329421</v>
      </c>
      <c r="V318">
        <f t="shared" si="98"/>
        <v>10.356172762345462</v>
      </c>
      <c r="W318">
        <f t="shared" si="92"/>
        <v>-1.8980378505837816</v>
      </c>
      <c r="X318">
        <f t="shared" si="99"/>
        <v>10.1366656802532</v>
      </c>
      <c r="Y318">
        <f t="shared" si="93"/>
        <v>-1.6785307684915196</v>
      </c>
      <c r="Z318">
        <f t="shared" si="100"/>
        <v>10.071225713694789</v>
      </c>
      <c r="AA318">
        <f t="shared" si="94"/>
        <v>-1.6130908019331081</v>
      </c>
      <c r="AB318">
        <f t="shared" si="95"/>
        <v>1.1921749117616809</v>
      </c>
      <c r="AC318">
        <f t="shared" si="96"/>
        <v>10.303855845663186</v>
      </c>
      <c r="AD318">
        <f t="shared" si="97"/>
        <v>-1.8457209339015055</v>
      </c>
    </row>
    <row r="319" spans="1:30">
      <c r="A319">
        <v>317</v>
      </c>
      <c r="B319">
        <v>10.343501501903303</v>
      </c>
      <c r="C319">
        <f t="shared" si="101"/>
        <v>9.2448366513576055</v>
      </c>
      <c r="D319">
        <f t="shared" si="101"/>
        <v>10.30649340976133</v>
      </c>
      <c r="E319">
        <f t="shared" si="102"/>
        <v>9.9363579581031516</v>
      </c>
      <c r="F319">
        <f t="shared" si="105"/>
        <v>9.8339463714965323</v>
      </c>
      <c r="G319">
        <f t="shared" si="105"/>
        <v>9.3652091124190431</v>
      </c>
      <c r="H319">
        <f t="shared" si="105"/>
        <v>9.9166719276139492</v>
      </c>
      <c r="I319">
        <f t="shared" si="88"/>
        <v>-0.42682957428935353</v>
      </c>
      <c r="J319">
        <f t="shared" si="103"/>
        <v>9.59117699480319</v>
      </c>
      <c r="K319">
        <f t="shared" si="107"/>
        <v>9.6090100112636208</v>
      </c>
      <c r="L319">
        <f t="shared" si="107"/>
        <v>9.8473430910418358</v>
      </c>
      <c r="M319">
        <f t="shared" si="107"/>
        <v>10.857277300861778</v>
      </c>
      <c r="N319">
        <f t="shared" si="89"/>
        <v>0.51377579895847525</v>
      </c>
      <c r="O319">
        <f t="shared" si="104"/>
        <v>9.7416418962232125</v>
      </c>
      <c r="P319">
        <f t="shared" si="108"/>
        <v>9.6187219748475137</v>
      </c>
      <c r="Q319">
        <f t="shared" si="106"/>
        <v>9.6386692505114819</v>
      </c>
      <c r="R319">
        <f t="shared" si="109"/>
        <v>9.9306107804650434</v>
      </c>
      <c r="S319">
        <f t="shared" si="109"/>
        <v>10.826086694055432</v>
      </c>
      <c r="T319">
        <f t="shared" si="90"/>
        <v>0.48258519215212914</v>
      </c>
      <c r="U319">
        <f t="shared" si="91"/>
        <v>-0.48258519215212914</v>
      </c>
      <c r="V319">
        <f t="shared" si="98"/>
        <v>10.166368977287084</v>
      </c>
      <c r="W319">
        <f t="shared" si="92"/>
        <v>0.1771325246162192</v>
      </c>
      <c r="X319">
        <f t="shared" si="99"/>
        <v>9.8009595265548963</v>
      </c>
      <c r="Y319">
        <f t="shared" si="93"/>
        <v>0.54254197534840642</v>
      </c>
      <c r="Z319">
        <f t="shared" si="100"/>
        <v>9.5872984731148563</v>
      </c>
      <c r="AA319">
        <f t="shared" si="94"/>
        <v>0.75620302878844647</v>
      </c>
      <c r="AB319">
        <f t="shared" si="95"/>
        <v>3.0719815019033021</v>
      </c>
      <c r="AC319">
        <f t="shared" si="96"/>
        <v>10.280220278139211</v>
      </c>
      <c r="AD319">
        <f t="shared" si="97"/>
        <v>6.3281223764091621E-2</v>
      </c>
    </row>
    <row r="320" spans="1:30">
      <c r="A320">
        <v>318</v>
      </c>
      <c r="B320">
        <v>11.043283294237909</v>
      </c>
      <c r="C320">
        <f t="shared" si="101"/>
        <v>9.4008182068324917</v>
      </c>
      <c r="D320">
        <f t="shared" si="101"/>
        <v>9.9601530663157458</v>
      </c>
      <c r="E320">
        <f t="shared" si="102"/>
        <v>9.6110582682061718</v>
      </c>
      <c r="F320">
        <f t="shared" si="105"/>
        <v>10.03240550989098</v>
      </c>
      <c r="G320">
        <f t="shared" si="105"/>
        <v>9.5532079564775341</v>
      </c>
      <c r="H320">
        <f t="shared" si="105"/>
        <v>9.5254072279618232</v>
      </c>
      <c r="I320">
        <f t="shared" si="88"/>
        <v>-1.5178760662760862</v>
      </c>
      <c r="J320">
        <f t="shared" si="103"/>
        <v>10.03814384405319</v>
      </c>
      <c r="K320">
        <f t="shared" si="107"/>
        <v>9.6963601270837909</v>
      </c>
      <c r="L320">
        <f t="shared" si="107"/>
        <v>9.6138540223828759</v>
      </c>
      <c r="M320">
        <f t="shared" si="107"/>
        <v>10.485380906239982</v>
      </c>
      <c r="N320">
        <f t="shared" si="89"/>
        <v>-0.55790238799792746</v>
      </c>
      <c r="O320">
        <f t="shared" si="104"/>
        <v>10.239171734090133</v>
      </c>
      <c r="P320">
        <f t="shared" si="108"/>
        <v>9.6326831056218705</v>
      </c>
      <c r="Q320">
        <f t="shared" si="106"/>
        <v>9.9015295753128001</v>
      </c>
      <c r="R320">
        <f t="shared" si="109"/>
        <v>9.74907452429815</v>
      </c>
      <c r="S320">
        <f t="shared" si="109"/>
        <v>10.608279259185068</v>
      </c>
      <c r="T320">
        <f t="shared" si="90"/>
        <v>-0.43500403505284169</v>
      </c>
      <c r="U320">
        <f t="shared" si="91"/>
        <v>0.43500403505284169</v>
      </c>
      <c r="V320">
        <f t="shared" si="98"/>
        <v>10.184082229748705</v>
      </c>
      <c r="W320">
        <f t="shared" si="92"/>
        <v>0.85920106448920386</v>
      </c>
      <c r="X320">
        <f t="shared" si="99"/>
        <v>9.9094679216245769</v>
      </c>
      <c r="Y320">
        <f t="shared" si="93"/>
        <v>1.1338153726133324</v>
      </c>
      <c r="Z320">
        <f t="shared" si="100"/>
        <v>9.8141593817513897</v>
      </c>
      <c r="AA320">
        <f t="shared" si="94"/>
        <v>1.2291239124865196</v>
      </c>
      <c r="AB320">
        <f t="shared" si="95"/>
        <v>3.7662032942379096</v>
      </c>
      <c r="AC320">
        <f t="shared" si="96"/>
        <v>10.255825430891919</v>
      </c>
      <c r="AD320">
        <f t="shared" si="97"/>
        <v>0.78745786334599011</v>
      </c>
    </row>
    <row r="321" spans="1:30">
      <c r="A321">
        <v>319</v>
      </c>
      <c r="B321">
        <v>8.5364076350741431</v>
      </c>
      <c r="C321">
        <f t="shared" si="101"/>
        <v>10.693392398070607</v>
      </c>
      <c r="D321">
        <f t="shared" si="101"/>
        <v>9.3228274290950495</v>
      </c>
      <c r="E321">
        <f t="shared" si="102"/>
        <v>9.9483065693009642</v>
      </c>
      <c r="F321">
        <f t="shared" si="105"/>
        <v>9.838757971819895</v>
      </c>
      <c r="G321">
        <f t="shared" si="105"/>
        <v>9.8395425155246077</v>
      </c>
      <c r="H321">
        <f t="shared" si="105"/>
        <v>9.4277696132625781</v>
      </c>
      <c r="I321">
        <f t="shared" si="88"/>
        <v>0.89136197818843499</v>
      </c>
      <c r="J321">
        <f t="shared" si="103"/>
        <v>9.9691145247141062</v>
      </c>
      <c r="K321">
        <f t="shared" si="107"/>
        <v>9.9041979121244381</v>
      </c>
      <c r="L321">
        <f t="shared" si="107"/>
        <v>9.5568964826282272</v>
      </c>
      <c r="M321">
        <f t="shared" si="107"/>
        <v>10.108799209080479</v>
      </c>
      <c r="N321">
        <f t="shared" si="89"/>
        <v>1.5723915740063354</v>
      </c>
      <c r="O321">
        <f t="shared" si="104"/>
        <v>9.6825731467861136</v>
      </c>
      <c r="P321">
        <f t="shared" si="108"/>
        <v>9.8596078432001626</v>
      </c>
      <c r="Q321">
        <f t="shared" si="106"/>
        <v>9.9585821292256629</v>
      </c>
      <c r="R321">
        <f t="shared" si="109"/>
        <v>9.698658235698792</v>
      </c>
      <c r="S321">
        <f t="shared" si="109"/>
        <v>10.364893083717407</v>
      </c>
      <c r="T321">
        <f t="shared" si="90"/>
        <v>1.8284854486432636</v>
      </c>
      <c r="U321">
        <f t="shared" si="91"/>
        <v>-1.8284854486432636</v>
      </c>
      <c r="V321">
        <f t="shared" si="98"/>
        <v>10.270002336197626</v>
      </c>
      <c r="W321">
        <f t="shared" si="92"/>
        <v>-1.7335947011234829</v>
      </c>
      <c r="X321">
        <f t="shared" si="99"/>
        <v>10.136230996147244</v>
      </c>
      <c r="Y321">
        <f t="shared" si="93"/>
        <v>-1.599823361073101</v>
      </c>
      <c r="Z321">
        <f t="shared" si="100"/>
        <v>10.182896555497345</v>
      </c>
      <c r="AA321">
        <f t="shared" si="94"/>
        <v>-1.6464889204232023</v>
      </c>
      <c r="AB321">
        <f t="shared" si="95"/>
        <v>1.2537676350741425</v>
      </c>
      <c r="AC321">
        <f t="shared" si="96"/>
        <v>10.230678288439416</v>
      </c>
      <c r="AD321">
        <f t="shared" si="97"/>
        <v>-1.6942706533652725</v>
      </c>
    </row>
    <row r="322" spans="1:30">
      <c r="A322">
        <v>320</v>
      </c>
      <c r="B322">
        <v>9.7660288696900182</v>
      </c>
      <c r="C322">
        <f t="shared" si="101"/>
        <v>9.7898454646560253</v>
      </c>
      <c r="D322">
        <f t="shared" si="101"/>
        <v>10.047105302451548</v>
      </c>
      <c r="E322">
        <f t="shared" si="102"/>
        <v>9.9743974770717845</v>
      </c>
      <c r="F322">
        <f t="shared" si="105"/>
        <v>9.8319075985367625</v>
      </c>
      <c r="G322">
        <f t="shared" si="105"/>
        <v>9.9017032844024691</v>
      </c>
      <c r="H322">
        <f t="shared" si="105"/>
        <v>9.5859865281403955</v>
      </c>
      <c r="I322">
        <f t="shared" si="88"/>
        <v>-0.18004234154962262</v>
      </c>
      <c r="J322">
        <f t="shared" si="103"/>
        <v>9.5953318357442594</v>
      </c>
      <c r="K322">
        <f t="shared" si="107"/>
        <v>9.9375801557808607</v>
      </c>
      <c r="L322">
        <f t="shared" si="107"/>
        <v>9.6585612686023783</v>
      </c>
      <c r="M322">
        <f t="shared" si="107"/>
        <v>9.8176354095554199</v>
      </c>
      <c r="N322">
        <f t="shared" si="89"/>
        <v>5.1606539865401757E-2</v>
      </c>
      <c r="O322">
        <f t="shared" si="104"/>
        <v>9.6294712425334108</v>
      </c>
      <c r="P322">
        <f t="shared" si="108"/>
        <v>9.8702596170711203</v>
      </c>
      <c r="Q322">
        <f t="shared" si="106"/>
        <v>9.9553777175874689</v>
      </c>
      <c r="R322">
        <f t="shared" si="109"/>
        <v>9.6924375452127212</v>
      </c>
      <c r="S322">
        <f t="shared" si="109"/>
        <v>10.136225357677203</v>
      </c>
      <c r="T322">
        <f t="shared" si="90"/>
        <v>0.37019648798718485</v>
      </c>
      <c r="U322">
        <f t="shared" si="91"/>
        <v>-0.37019648798718485</v>
      </c>
      <c r="V322">
        <f t="shared" si="98"/>
        <v>10.096642866085277</v>
      </c>
      <c r="W322">
        <f t="shared" si="92"/>
        <v>-0.33061399639525924</v>
      </c>
      <c r="X322">
        <f t="shared" si="99"/>
        <v>9.8162663239326235</v>
      </c>
      <c r="Y322">
        <f t="shared" si="93"/>
        <v>-5.0237454242605395E-2</v>
      </c>
      <c r="Z322">
        <f t="shared" si="100"/>
        <v>9.6889498793703854</v>
      </c>
      <c r="AA322">
        <f t="shared" si="94"/>
        <v>7.7078990319632723E-2</v>
      </c>
      <c r="AB322">
        <f t="shared" si="95"/>
        <v>2.4778288696900184</v>
      </c>
      <c r="AC322">
        <f t="shared" si="96"/>
        <v>10.204786044265866</v>
      </c>
      <c r="AD322">
        <f t="shared" si="97"/>
        <v>-0.43875717457584784</v>
      </c>
    </row>
    <row r="323" spans="1:30">
      <c r="A323">
        <v>321</v>
      </c>
      <c r="B323">
        <v>9.0492761757730307</v>
      </c>
      <c r="C323">
        <f t="shared" si="101"/>
        <v>9.1512182523820798</v>
      </c>
      <c r="D323">
        <f t="shared" si="101"/>
        <v>10.241618931363316</v>
      </c>
      <c r="E323">
        <f t="shared" si="102"/>
        <v>9.7819065996673569</v>
      </c>
      <c r="F323">
        <f t="shared" si="105"/>
        <v>9.8445874381929741</v>
      </c>
      <c r="G323">
        <f t="shared" si="105"/>
        <v>9.901023693415878</v>
      </c>
      <c r="H323">
        <f t="shared" si="105"/>
        <v>9.7648179188015369</v>
      </c>
      <c r="I323">
        <f t="shared" ref="I323:I386" si="110">H323-B323</f>
        <v>0.71554174302850626</v>
      </c>
      <c r="J323">
        <f t="shared" si="103"/>
        <v>9.9223053252263433</v>
      </c>
      <c r="K323">
        <f t="shared" si="107"/>
        <v>9.7984417998286872</v>
      </c>
      <c r="L323">
        <f t="shared" si="107"/>
        <v>9.7867870515631772</v>
      </c>
      <c r="M323">
        <f t="shared" si="107"/>
        <v>9.669163716163828</v>
      </c>
      <c r="N323">
        <f t="shared" ref="N323:N386" si="111">M323-B323</f>
        <v>0.6198875403907973</v>
      </c>
      <c r="O323">
        <f t="shared" si="104"/>
        <v>9.7476994953356808</v>
      </c>
      <c r="P323">
        <f t="shared" si="108"/>
        <v>9.8211986419255144</v>
      </c>
      <c r="Q323">
        <f t="shared" si="106"/>
        <v>9.6964824339367635</v>
      </c>
      <c r="R323">
        <f t="shared" si="109"/>
        <v>9.7707000726811728</v>
      </c>
      <c r="S323">
        <f t="shared" si="109"/>
        <v>9.9476471911329725</v>
      </c>
      <c r="T323">
        <f t="shared" ref="T323:T386" si="112">S323-B323</f>
        <v>0.89837101535994179</v>
      </c>
      <c r="U323">
        <f t="shared" ref="U323:U386" si="113">B323-S323</f>
        <v>-0.89837101535994179</v>
      </c>
      <c r="V323">
        <f t="shared" si="98"/>
        <v>10.063581466445751</v>
      </c>
      <c r="W323">
        <f t="shared" ref="W323:W386" si="114">B323-V323</f>
        <v>-1.0143052906727199</v>
      </c>
      <c r="X323">
        <f t="shared" si="99"/>
        <v>9.8062188330841025</v>
      </c>
      <c r="Y323">
        <f t="shared" ref="Y323:Y386" si="115">B323-X323</f>
        <v>-0.7569426573110718</v>
      </c>
      <c r="Z323">
        <f t="shared" si="100"/>
        <v>9.7120735764662758</v>
      </c>
      <c r="AA323">
        <f t="shared" ref="AA323:AA386" si="116">B323-Z323</f>
        <v>-0.66279740069324511</v>
      </c>
      <c r="AB323">
        <f t="shared" ref="AB323:AB386" si="117">B323- ((0.00556 * A323)  +5.509)</f>
        <v>1.75551617577303</v>
      </c>
      <c r="AC323">
        <f t="shared" ref="AC323:AC386" si="118">0.00075*A323 + 5.509 + ($AI$6*SIN((A323/$AI$7)+ $AI$8))+ ($AI$6*COS((A323/$AI$7) + $AI$8))+ $AI$9</f>
        <v>10.178156098823344</v>
      </c>
      <c r="AD323">
        <f t="shared" ref="AD323:AD386" si="119">B323-AC323</f>
        <v>-1.128879923050313</v>
      </c>
    </row>
    <row r="324" spans="1:30">
      <c r="A324">
        <v>322</v>
      </c>
      <c r="B324">
        <v>9.738129325756077</v>
      </c>
      <c r="C324">
        <f t="shared" si="101"/>
        <v>9.4076525227315244</v>
      </c>
      <c r="D324">
        <f t="shared" si="101"/>
        <v>9.4705318585190525</v>
      </c>
      <c r="E324">
        <f t="shared" si="102"/>
        <v>9.1172375601790634</v>
      </c>
      <c r="F324">
        <f t="shared" si="105"/>
        <v>9.9015368820133691</v>
      </c>
      <c r="G324">
        <f t="shared" si="105"/>
        <v>9.8384176695165433</v>
      </c>
      <c r="H324">
        <f t="shared" si="105"/>
        <v>9.8807564977809861</v>
      </c>
      <c r="I324">
        <f t="shared" si="110"/>
        <v>0.14262717202490904</v>
      </c>
      <c r="J324">
        <f t="shared" si="103"/>
        <v>9.5987489936937749</v>
      </c>
      <c r="K324">
        <f t="shared" si="107"/>
        <v>9.881223882434476</v>
      </c>
      <c r="L324">
        <f t="shared" si="107"/>
        <v>9.8341449987044456</v>
      </c>
      <c r="M324">
        <f t="shared" si="107"/>
        <v>9.654024706294166</v>
      </c>
      <c r="N324">
        <f t="shared" si="111"/>
        <v>-8.4104619461911057E-2</v>
      </c>
      <c r="O324">
        <f t="shared" si="104"/>
        <v>9.6266250601062353</v>
      </c>
      <c r="P324">
        <f t="shared" si="108"/>
        <v>9.8081115029937109</v>
      </c>
      <c r="Q324">
        <f t="shared" si="106"/>
        <v>9.5327720647400138</v>
      </c>
      <c r="R324">
        <f t="shared" si="109"/>
        <v>9.8078321227098666</v>
      </c>
      <c r="S324">
        <f t="shared" si="109"/>
        <v>9.8305423446401416</v>
      </c>
      <c r="T324">
        <f t="shared" si="112"/>
        <v>9.2413018884064613E-2</v>
      </c>
      <c r="U324">
        <f t="shared" si="113"/>
        <v>-9.2413018884064613E-2</v>
      </c>
      <c r="V324">
        <f t="shared" ref="V324:V387" si="120">V323+0.1*(B323-V323)</f>
        <v>9.9621509373784782</v>
      </c>
      <c r="W324">
        <f t="shared" si="114"/>
        <v>-0.2240216116224012</v>
      </c>
      <c r="X324">
        <f t="shared" ref="X324:X387" si="121">X323+0.2*(B323-X323)</f>
        <v>9.6548303016218888</v>
      </c>
      <c r="Y324">
        <f t="shared" si="115"/>
        <v>8.3299024134188215E-2</v>
      </c>
      <c r="Z324">
        <f t="shared" ref="Z324:Z387" si="122">Z323+0.3*(B323-Z323)</f>
        <v>9.5132343562583017</v>
      </c>
      <c r="AA324">
        <f t="shared" si="116"/>
        <v>0.22489496949777532</v>
      </c>
      <c r="AB324">
        <f t="shared" si="117"/>
        <v>2.4388093257560772</v>
      </c>
      <c r="AC324">
        <f t="shared" si="118"/>
        <v>10.150796057476194</v>
      </c>
      <c r="AD324">
        <f t="shared" si="119"/>
        <v>-0.41266673172011714</v>
      </c>
    </row>
    <row r="325" spans="1:30">
      <c r="A325">
        <v>323</v>
      </c>
      <c r="B325">
        <v>8.7807460321604776</v>
      </c>
      <c r="C325">
        <f t="shared" ref="C325:D388" si="123">AVERAGE(B323:B324)</f>
        <v>9.3937027507645539</v>
      </c>
      <c r="D325">
        <f t="shared" si="123"/>
        <v>9.2794353875568021</v>
      </c>
      <c r="E325">
        <f t="shared" si="102"/>
        <v>9.5178114570730425</v>
      </c>
      <c r="F325">
        <f t="shared" si="105"/>
        <v>9.6245138789727349</v>
      </c>
      <c r="G325">
        <f t="shared" si="105"/>
        <v>9.8593439729143686</v>
      </c>
      <c r="H325">
        <f t="shared" si="105"/>
        <v>9.8803815491116307</v>
      </c>
      <c r="I325">
        <f t="shared" si="110"/>
        <v>1.0996355169511531</v>
      </c>
      <c r="J325">
        <f t="shared" si="103"/>
        <v>9.2724605015733168</v>
      </c>
      <c r="K325">
        <f t="shared" si="107"/>
        <v>9.771375169844621</v>
      </c>
      <c r="L325">
        <f t="shared" si="107"/>
        <v>9.8803609375421146</v>
      </c>
      <c r="M325">
        <f t="shared" si="107"/>
        <v>9.7090974503745571</v>
      </c>
      <c r="N325">
        <f t="shared" si="111"/>
        <v>0.92835141821407952</v>
      </c>
      <c r="O325">
        <f t="shared" si="104"/>
        <v>9.17411760769075</v>
      </c>
      <c r="P325">
        <f t="shared" si="108"/>
        <v>9.7851081357703151</v>
      </c>
      <c r="Q325">
        <f t="shared" si="106"/>
        <v>9.7461044670724135</v>
      </c>
      <c r="R325">
        <f t="shared" si="109"/>
        <v>9.7805688618856994</v>
      </c>
      <c r="S325">
        <f t="shared" si="109"/>
        <v>9.7748855468442901</v>
      </c>
      <c r="T325">
        <f t="shared" si="112"/>
        <v>0.99413951468381256</v>
      </c>
      <c r="U325">
        <f t="shared" si="113"/>
        <v>-0.99413951468381256</v>
      </c>
      <c r="V325">
        <f t="shared" si="120"/>
        <v>9.9397487762162378</v>
      </c>
      <c r="W325">
        <f t="shared" si="114"/>
        <v>-1.1590027440557602</v>
      </c>
      <c r="X325">
        <f t="shared" si="121"/>
        <v>9.6714901064487258</v>
      </c>
      <c r="Y325">
        <f t="shared" si="115"/>
        <v>-0.8907440742882482</v>
      </c>
      <c r="Z325">
        <f t="shared" si="122"/>
        <v>9.5807028471076343</v>
      </c>
      <c r="AA325">
        <f t="shared" si="116"/>
        <v>-0.79995681494715676</v>
      </c>
      <c r="AB325">
        <f t="shared" si="117"/>
        <v>1.4758660321604768</v>
      </c>
      <c r="AC325">
        <f t="shared" si="118"/>
        <v>10.12271372838849</v>
      </c>
      <c r="AD325">
        <f t="shared" si="119"/>
        <v>-1.3419676962280125</v>
      </c>
    </row>
    <row r="326" spans="1:30">
      <c r="A326">
        <v>324</v>
      </c>
      <c r="B326">
        <v>10.89811708748096</v>
      </c>
      <c r="C326">
        <f t="shared" si="123"/>
        <v>9.2594376789582782</v>
      </c>
      <c r="D326">
        <f t="shared" si="123"/>
        <v>9.4006776367480391</v>
      </c>
      <c r="E326">
        <f t="shared" ref="E326:E389" si="124">AVERAGE(B323:B325)</f>
        <v>9.1893838445631957</v>
      </c>
      <c r="F326">
        <f t="shared" si="105"/>
        <v>9.4723185389731555</v>
      </c>
      <c r="G326">
        <f t="shared" si="105"/>
        <v>9.7902127330596915</v>
      </c>
      <c r="H326">
        <f t="shared" si="105"/>
        <v>9.8662617786155966</v>
      </c>
      <c r="I326">
        <f t="shared" si="110"/>
        <v>-1.0318553088653637</v>
      </c>
      <c r="J326">
        <f t="shared" si="103"/>
        <v>9.3335451008449013</v>
      </c>
      <c r="K326">
        <f t="shared" si="107"/>
        <v>9.5972116640594223</v>
      </c>
      <c r="L326">
        <f t="shared" si="107"/>
        <v>9.8471552519721612</v>
      </c>
      <c r="M326">
        <f t="shared" si="107"/>
        <v>9.7899635641030294</v>
      </c>
      <c r="N326">
        <f t="shared" si="111"/>
        <v>-1.1081535233779309</v>
      </c>
      <c r="O326">
        <f t="shared" si="104"/>
        <v>9.6464594981721135</v>
      </c>
      <c r="P326">
        <f t="shared" si="108"/>
        <v>9.5720973104904381</v>
      </c>
      <c r="Q326">
        <f t="shared" si="106"/>
        <v>9.4856452221152754</v>
      </c>
      <c r="R326">
        <f t="shared" si="109"/>
        <v>9.7984747313125204</v>
      </c>
      <c r="S326">
        <f t="shared" si="109"/>
        <v>9.7498785604144</v>
      </c>
      <c r="T326">
        <f t="shared" si="112"/>
        <v>-1.1482385270665603</v>
      </c>
      <c r="U326">
        <f t="shared" si="113"/>
        <v>1.1482385270665603</v>
      </c>
      <c r="V326">
        <f t="shared" si="120"/>
        <v>9.8238485018106623</v>
      </c>
      <c r="W326">
        <f t="shared" si="114"/>
        <v>1.074268585670298</v>
      </c>
      <c r="X326">
        <f t="shared" si="121"/>
        <v>9.4933412915910758</v>
      </c>
      <c r="Y326">
        <f t="shared" si="115"/>
        <v>1.4047757958898845</v>
      </c>
      <c r="Z326">
        <f t="shared" si="122"/>
        <v>9.3407158026234871</v>
      </c>
      <c r="AA326">
        <f t="shared" si="116"/>
        <v>1.5574012848574732</v>
      </c>
      <c r="AB326">
        <f t="shared" si="117"/>
        <v>3.5876770874809605</v>
      </c>
      <c r="AC326">
        <f t="shared" si="118"/>
        <v>10.093917120355144</v>
      </c>
      <c r="AD326">
        <f t="shared" si="119"/>
        <v>0.80419996712581643</v>
      </c>
    </row>
    <row r="327" spans="1:30">
      <c r="A327">
        <v>325</v>
      </c>
      <c r="B327">
        <v>9.0988968058387361</v>
      </c>
      <c r="C327">
        <f t="shared" si="123"/>
        <v>9.8394315598207189</v>
      </c>
      <c r="D327">
        <f t="shared" si="123"/>
        <v>9.326570214861416</v>
      </c>
      <c r="E327">
        <f t="shared" si="124"/>
        <v>9.8056641484658389</v>
      </c>
      <c r="F327">
        <f t="shared" si="105"/>
        <v>9.2748109539384345</v>
      </c>
      <c r="G327">
        <f t="shared" si="105"/>
        <v>9.6661230999864198</v>
      </c>
      <c r="H327">
        <f t="shared" si="105"/>
        <v>9.8293247918302011</v>
      </c>
      <c r="I327">
        <f t="shared" si="110"/>
        <v>0.73042798599146508</v>
      </c>
      <c r="J327">
        <f t="shared" ref="J327:J390" si="125">AVERAGE(B323:B326)</f>
        <v>9.6165671552926373</v>
      </c>
      <c r="K327">
        <f t="shared" si="107"/>
        <v>9.5317649803345841</v>
      </c>
      <c r="L327">
        <f t="shared" si="107"/>
        <v>9.7620631290418025</v>
      </c>
      <c r="M327">
        <f t="shared" si="107"/>
        <v>9.8371120599454756</v>
      </c>
      <c r="N327">
        <f t="shared" si="111"/>
        <v>0.73821525410673949</v>
      </c>
      <c r="O327">
        <f t="shared" ref="O327:O390" si="126">AVERAGE(B323:B327)</f>
        <v>9.5130330854018563</v>
      </c>
      <c r="P327">
        <f t="shared" si="108"/>
        <v>9.5648745807676381</v>
      </c>
      <c r="Q327">
        <f t="shared" si="106"/>
        <v>9.461450854322452</v>
      </c>
      <c r="R327">
        <f t="shared" si="109"/>
        <v>9.729160672446266</v>
      </c>
      <c r="S327">
        <f t="shared" si="109"/>
        <v>9.7581119282501287</v>
      </c>
      <c r="T327">
        <f t="shared" si="112"/>
        <v>0.65921512241139268</v>
      </c>
      <c r="U327">
        <f t="shared" si="113"/>
        <v>-0.65921512241139268</v>
      </c>
      <c r="V327">
        <f t="shared" si="120"/>
        <v>9.9312753603776915</v>
      </c>
      <c r="W327">
        <f t="shared" si="114"/>
        <v>-0.83237855453895548</v>
      </c>
      <c r="X327">
        <f t="shared" si="121"/>
        <v>9.774296450769052</v>
      </c>
      <c r="Y327">
        <f t="shared" si="115"/>
        <v>-0.6753996449303159</v>
      </c>
      <c r="Z327">
        <f t="shared" si="122"/>
        <v>9.8079361880807294</v>
      </c>
      <c r="AA327">
        <f t="shared" si="116"/>
        <v>-0.70903938224199337</v>
      </c>
      <c r="AB327">
        <f t="shared" si="117"/>
        <v>1.7828968058387353</v>
      </c>
      <c r="AC327">
        <f t="shared" si="118"/>
        <v>10.06441444057729</v>
      </c>
      <c r="AD327">
        <f t="shared" si="119"/>
        <v>-0.96551763473855345</v>
      </c>
    </row>
    <row r="328" spans="1:30">
      <c r="A328">
        <v>326</v>
      </c>
      <c r="B328">
        <v>11.715065639668552</v>
      </c>
      <c r="C328">
        <f t="shared" si="123"/>
        <v>9.9985069466598482</v>
      </c>
      <c r="D328">
        <f t="shared" si="123"/>
        <v>9.5494346193894977</v>
      </c>
      <c r="E328">
        <f t="shared" si="124"/>
        <v>9.5925866418267258</v>
      </c>
      <c r="F328">
        <f t="shared" si="105"/>
        <v>9.504286483367359</v>
      </c>
      <c r="G328">
        <f t="shared" si="105"/>
        <v>9.4572144572947749</v>
      </c>
      <c r="H328">
        <f t="shared" si="105"/>
        <v>9.7718932686534927</v>
      </c>
      <c r="I328">
        <f t="shared" si="110"/>
        <v>-1.9431723710150592</v>
      </c>
      <c r="J328">
        <f t="shared" si="125"/>
        <v>9.6289723128090632</v>
      </c>
      <c r="K328">
        <f t="shared" si="107"/>
        <v>9.455330437851158</v>
      </c>
      <c r="L328">
        <f t="shared" si="107"/>
        <v>9.6953939241682754</v>
      </c>
      <c r="M328">
        <f t="shared" si="107"/>
        <v>9.8309310793151319</v>
      </c>
      <c r="N328">
        <f t="shared" si="111"/>
        <v>-1.8841345603534201</v>
      </c>
      <c r="O328">
        <f t="shared" si="126"/>
        <v>10.046190978180961</v>
      </c>
      <c r="P328">
        <f t="shared" si="108"/>
        <v>9.5415869493413279</v>
      </c>
      <c r="Q328">
        <f t="shared" si="106"/>
        <v>9.5551990494498842</v>
      </c>
      <c r="R328">
        <f t="shared" si="109"/>
        <v>9.646305459962397</v>
      </c>
      <c r="S328">
        <f t="shared" si="109"/>
        <v>9.7631956677080414</v>
      </c>
      <c r="T328">
        <f t="shared" si="112"/>
        <v>-1.9518699719605106</v>
      </c>
      <c r="U328">
        <f t="shared" si="113"/>
        <v>1.9518699719605106</v>
      </c>
      <c r="V328">
        <f t="shared" si="120"/>
        <v>9.8480375049237967</v>
      </c>
      <c r="W328">
        <f t="shared" si="114"/>
        <v>1.8670281347447553</v>
      </c>
      <c r="X328">
        <f t="shared" si="121"/>
        <v>9.6392165217829895</v>
      </c>
      <c r="Y328">
        <f t="shared" si="115"/>
        <v>2.0758491178855625</v>
      </c>
      <c r="Z328">
        <f t="shared" si="122"/>
        <v>9.5952243734081311</v>
      </c>
      <c r="AA328">
        <f t="shared" si="116"/>
        <v>2.1198412662604209</v>
      </c>
      <c r="AB328">
        <f t="shared" si="117"/>
        <v>4.3935056396685521</v>
      </c>
      <c r="AC328">
        <f t="shared" si="118"/>
        <v>10.034214092382564</v>
      </c>
      <c r="AD328">
        <f t="shared" si="119"/>
        <v>1.6808515472859877</v>
      </c>
    </row>
    <row r="329" spans="1:30">
      <c r="A329">
        <v>327</v>
      </c>
      <c r="B329">
        <v>11.817274222673934</v>
      </c>
      <c r="C329">
        <f t="shared" si="123"/>
        <v>10.406981222753643</v>
      </c>
      <c r="D329">
        <f t="shared" si="123"/>
        <v>9.9189692532402844</v>
      </c>
      <c r="E329">
        <f t="shared" si="124"/>
        <v>10.570693177662749</v>
      </c>
      <c r="F329">
        <f t="shared" ref="F329:H392" si="127">AVERAGE(E326:E328)</f>
        <v>9.5292115449519201</v>
      </c>
      <c r="G329">
        <f t="shared" si="127"/>
        <v>9.4171386587596491</v>
      </c>
      <c r="H329">
        <f t="shared" si="127"/>
        <v>9.637850096780296</v>
      </c>
      <c r="I329">
        <f t="shared" si="110"/>
        <v>-2.1794241258936378</v>
      </c>
      <c r="J329">
        <f t="shared" si="125"/>
        <v>10.123206391287182</v>
      </c>
      <c r="K329">
        <f t="shared" si="107"/>
        <v>9.4628862676299796</v>
      </c>
      <c r="L329">
        <f t="shared" si="107"/>
        <v>9.5889205630224463</v>
      </c>
      <c r="M329">
        <f t="shared" si="107"/>
        <v>9.7962433106810884</v>
      </c>
      <c r="N329">
        <f t="shared" si="111"/>
        <v>-2.0210309119928453</v>
      </c>
      <c r="O329">
        <f t="shared" si="126"/>
        <v>10.462019957564532</v>
      </c>
      <c r="P329">
        <f t="shared" si="108"/>
        <v>9.6012852459103826</v>
      </c>
      <c r="Q329">
        <f t="shared" ref="Q329:Q392" si="128">AVERAGE(B323:B328)</f>
        <v>9.8800385111129732</v>
      </c>
      <c r="R329">
        <f t="shared" si="109"/>
        <v>9.5796090152727995</v>
      </c>
      <c r="S329">
        <f t="shared" si="109"/>
        <v>9.7555069868329873</v>
      </c>
      <c r="T329">
        <f t="shared" si="112"/>
        <v>-2.0617672358409465</v>
      </c>
      <c r="U329">
        <f t="shared" si="113"/>
        <v>2.0617672358409465</v>
      </c>
      <c r="V329">
        <f t="shared" si="120"/>
        <v>10.034740318398272</v>
      </c>
      <c r="W329">
        <f t="shared" si="114"/>
        <v>1.7825339042756614</v>
      </c>
      <c r="X329">
        <f t="shared" si="121"/>
        <v>10.054386345360102</v>
      </c>
      <c r="Y329">
        <f t="shared" si="115"/>
        <v>1.7628878773138315</v>
      </c>
      <c r="Z329">
        <f t="shared" si="122"/>
        <v>10.231176753286258</v>
      </c>
      <c r="AA329">
        <f t="shared" si="116"/>
        <v>1.5860974693876759</v>
      </c>
      <c r="AB329">
        <f t="shared" si="117"/>
        <v>4.490154222673933</v>
      </c>
      <c r="AC329">
        <f t="shared" si="118"/>
        <v>10.003324672890903</v>
      </c>
      <c r="AD329">
        <f t="shared" si="119"/>
        <v>1.8139495497830307</v>
      </c>
    </row>
    <row r="330" spans="1:30">
      <c r="A330">
        <v>328</v>
      </c>
      <c r="B330">
        <v>10.775575014860127</v>
      </c>
      <c r="C330">
        <f t="shared" si="123"/>
        <v>11.766169931171243</v>
      </c>
      <c r="D330">
        <f t="shared" si="123"/>
        <v>10.202744084706746</v>
      </c>
      <c r="E330">
        <f t="shared" si="124"/>
        <v>10.877078889393738</v>
      </c>
      <c r="F330">
        <f t="shared" si="127"/>
        <v>9.9896479893184367</v>
      </c>
      <c r="G330">
        <f t="shared" si="127"/>
        <v>9.4361029940859051</v>
      </c>
      <c r="H330">
        <f t="shared" si="127"/>
        <v>9.513492072013614</v>
      </c>
      <c r="I330">
        <f t="shared" si="110"/>
        <v>-1.2620829428465132</v>
      </c>
      <c r="J330">
        <f t="shared" si="125"/>
        <v>10.882338438915546</v>
      </c>
      <c r="K330">
        <f t="shared" si="107"/>
        <v>9.6755727400584455</v>
      </c>
      <c r="L330">
        <f t="shared" si="107"/>
        <v>9.511798337468786</v>
      </c>
      <c r="M330">
        <f t="shared" si="107"/>
        <v>9.7233832170511718</v>
      </c>
      <c r="N330">
        <f t="shared" si="111"/>
        <v>-1.0521917978089554</v>
      </c>
      <c r="O330">
        <f t="shared" si="126"/>
        <v>10.860985754104462</v>
      </c>
      <c r="P330">
        <f t="shared" si="108"/>
        <v>9.768364225402042</v>
      </c>
      <c r="Q330">
        <f t="shared" si="128"/>
        <v>10.34137151892979</v>
      </c>
      <c r="R330">
        <f t="shared" si="109"/>
        <v>9.6102016948021678</v>
      </c>
      <c r="S330">
        <f t="shared" si="109"/>
        <v>9.7236584772649248</v>
      </c>
      <c r="T330">
        <f t="shared" si="112"/>
        <v>-1.0519165375952024</v>
      </c>
      <c r="U330">
        <f t="shared" si="113"/>
        <v>1.0519165375952024</v>
      </c>
      <c r="V330">
        <f t="shared" si="120"/>
        <v>10.212993708825838</v>
      </c>
      <c r="W330">
        <f t="shared" si="114"/>
        <v>0.56258130603428924</v>
      </c>
      <c r="X330">
        <f t="shared" si="121"/>
        <v>10.406963920822868</v>
      </c>
      <c r="Y330">
        <f t="shared" si="115"/>
        <v>0.36861109403725933</v>
      </c>
      <c r="Z330">
        <f t="shared" si="122"/>
        <v>10.707005994102561</v>
      </c>
      <c r="AA330">
        <f t="shared" si="116"/>
        <v>6.8569020757566435E-2</v>
      </c>
      <c r="AB330">
        <f t="shared" si="117"/>
        <v>3.4428950148601274</v>
      </c>
      <c r="AC330">
        <f t="shared" si="118"/>
        <v>9.9717549706264972</v>
      </c>
      <c r="AD330">
        <f t="shared" si="119"/>
        <v>0.80382004423363007</v>
      </c>
    </row>
    <row r="331" spans="1:30">
      <c r="A331">
        <v>329</v>
      </c>
      <c r="B331">
        <v>10.889592071925428</v>
      </c>
      <c r="C331">
        <f t="shared" si="123"/>
        <v>11.296424618767031</v>
      </c>
      <c r="D331">
        <f t="shared" si="123"/>
        <v>11.086575576962442</v>
      </c>
      <c r="E331">
        <f t="shared" si="124"/>
        <v>11.435971625734204</v>
      </c>
      <c r="F331">
        <f t="shared" si="127"/>
        <v>10.346786236294404</v>
      </c>
      <c r="G331">
        <f t="shared" si="127"/>
        <v>9.674382005879238</v>
      </c>
      <c r="H331">
        <f t="shared" si="127"/>
        <v>9.4368187033801103</v>
      </c>
      <c r="I331">
        <f t="shared" si="110"/>
        <v>-1.4527733685453175</v>
      </c>
      <c r="J331">
        <f t="shared" si="125"/>
        <v>10.851702920760335</v>
      </c>
      <c r="K331">
        <f t="shared" ref="K331:M394" si="129">AVERAGE(J327:J330)</f>
        <v>10.062771074576107</v>
      </c>
      <c r="L331">
        <f t="shared" si="129"/>
        <v>9.5313886064685427</v>
      </c>
      <c r="M331">
        <f t="shared" si="129"/>
        <v>9.6395439884253271</v>
      </c>
      <c r="N331">
        <f t="shared" si="111"/>
        <v>-1.2500480835001007</v>
      </c>
      <c r="O331">
        <f t="shared" si="126"/>
        <v>10.859280750993353</v>
      </c>
      <c r="P331">
        <f t="shared" si="108"/>
        <v>10.105737854684785</v>
      </c>
      <c r="Q331">
        <f t="shared" si="128"/>
        <v>10.514279133780464</v>
      </c>
      <c r="R331">
        <f t="shared" si="109"/>
        <v>9.744968270500463</v>
      </c>
      <c r="S331">
        <f t="shared" si="109"/>
        <v>9.690720072613642</v>
      </c>
      <c r="T331">
        <f t="shared" si="112"/>
        <v>-1.1988719993117858</v>
      </c>
      <c r="U331">
        <f t="shared" si="113"/>
        <v>1.1988719993117858</v>
      </c>
      <c r="V331">
        <f t="shared" si="120"/>
        <v>10.269251839429266</v>
      </c>
      <c r="W331">
        <f t="shared" si="114"/>
        <v>0.62034023249616155</v>
      </c>
      <c r="X331">
        <f t="shared" si="121"/>
        <v>10.48068613963032</v>
      </c>
      <c r="Y331">
        <f t="shared" si="115"/>
        <v>0.40890593229510763</v>
      </c>
      <c r="Z331">
        <f t="shared" si="122"/>
        <v>10.727576700329831</v>
      </c>
      <c r="AA331">
        <f t="shared" si="116"/>
        <v>0.1620153715955972</v>
      </c>
      <c r="AB331">
        <f t="shared" si="117"/>
        <v>3.551352071925427</v>
      </c>
      <c r="AC331">
        <f t="shared" si="118"/>
        <v>9.9395139630766085</v>
      </c>
      <c r="AD331">
        <f t="shared" si="119"/>
        <v>0.95007810884881927</v>
      </c>
    </row>
    <row r="332" spans="1:30">
      <c r="A332">
        <v>330</v>
      </c>
      <c r="B332">
        <v>11.330625548110788</v>
      </c>
      <c r="C332">
        <f t="shared" si="123"/>
        <v>10.832583543392778</v>
      </c>
      <c r="D332">
        <f t="shared" si="123"/>
        <v>11.531297274969138</v>
      </c>
      <c r="E332">
        <f t="shared" si="124"/>
        <v>11.16081376981983</v>
      </c>
      <c r="F332">
        <f t="shared" si="127"/>
        <v>10.961247897596897</v>
      </c>
      <c r="G332">
        <f t="shared" si="127"/>
        <v>9.9552152568549204</v>
      </c>
      <c r="H332">
        <f t="shared" si="127"/>
        <v>9.5092078862415974</v>
      </c>
      <c r="I332">
        <f t="shared" si="110"/>
        <v>-1.8214176618691909</v>
      </c>
      <c r="J332">
        <f t="shared" si="125"/>
        <v>11.29937673728201</v>
      </c>
      <c r="K332">
        <f t="shared" si="129"/>
        <v>10.371555015943031</v>
      </c>
      <c r="L332">
        <f t="shared" si="129"/>
        <v>9.6641401300289225</v>
      </c>
      <c r="M332">
        <f t="shared" si="129"/>
        <v>9.5818753577820122</v>
      </c>
      <c r="N332">
        <f t="shared" si="111"/>
        <v>-1.7487501903287761</v>
      </c>
      <c r="O332">
        <f t="shared" si="126"/>
        <v>11.305626499447765</v>
      </c>
      <c r="P332">
        <f t="shared" si="108"/>
        <v>10.348302105249033</v>
      </c>
      <c r="Q332">
        <f t="shared" si="128"/>
        <v>10.865753473741288</v>
      </c>
      <c r="R332">
        <f t="shared" si="109"/>
        <v>9.8729973816184735</v>
      </c>
      <c r="S332">
        <f t="shared" si="109"/>
        <v>9.6847866407161032</v>
      </c>
      <c r="T332">
        <f t="shared" si="112"/>
        <v>-1.6458389073946851</v>
      </c>
      <c r="U332">
        <f t="shared" si="113"/>
        <v>1.6458389073946851</v>
      </c>
      <c r="V332">
        <f t="shared" si="120"/>
        <v>10.331285862678882</v>
      </c>
      <c r="W332">
        <f t="shared" si="114"/>
        <v>0.99933968543190588</v>
      </c>
      <c r="X332">
        <f t="shared" si="121"/>
        <v>10.562467326089342</v>
      </c>
      <c r="Y332">
        <f t="shared" si="115"/>
        <v>0.76815822202144624</v>
      </c>
      <c r="Z332">
        <f t="shared" si="122"/>
        <v>10.776181311808509</v>
      </c>
      <c r="AA332">
        <f t="shared" si="116"/>
        <v>0.55444423630227924</v>
      </c>
      <c r="AB332">
        <f t="shared" si="117"/>
        <v>3.9868255481107884</v>
      </c>
      <c r="AC332">
        <f t="shared" si="118"/>
        <v>9.906610814197867</v>
      </c>
      <c r="AD332">
        <f t="shared" si="119"/>
        <v>1.4240147339129212</v>
      </c>
    </row>
    <row r="333" spans="1:30">
      <c r="A333">
        <v>331</v>
      </c>
      <c r="B333">
        <v>9.8541593205655076</v>
      </c>
      <c r="C333">
        <f t="shared" si="123"/>
        <v>11.110108810018108</v>
      </c>
      <c r="D333">
        <f t="shared" si="123"/>
        <v>11.064504081079903</v>
      </c>
      <c r="E333">
        <f t="shared" si="124"/>
        <v>10.998597544965449</v>
      </c>
      <c r="F333">
        <f t="shared" si="127"/>
        <v>11.157954761649258</v>
      </c>
      <c r="G333">
        <f t="shared" si="127"/>
        <v>10.432560707736579</v>
      </c>
      <c r="H333">
        <f t="shared" si="127"/>
        <v>9.6885667522733545</v>
      </c>
      <c r="I333">
        <f t="shared" si="110"/>
        <v>-0.16559256829215308</v>
      </c>
      <c r="J333">
        <f t="shared" si="125"/>
        <v>11.203266714392569</v>
      </c>
      <c r="K333">
        <f t="shared" si="129"/>
        <v>10.789156122061268</v>
      </c>
      <c r="L333">
        <f t="shared" si="129"/>
        <v>9.8931962745518902</v>
      </c>
      <c r="M333">
        <f t="shared" si="129"/>
        <v>9.5740619092471739</v>
      </c>
      <c r="N333">
        <f t="shared" si="111"/>
        <v>-0.28009741131833366</v>
      </c>
      <c r="O333">
        <f t="shared" si="126"/>
        <v>10.933445235627158</v>
      </c>
      <c r="P333">
        <f t="shared" ref="P333:P396" si="130">AVERAGE(O328:O332)</f>
        <v>10.706820788058215</v>
      </c>
      <c r="Q333">
        <f t="shared" si="128"/>
        <v>10.937838217179594</v>
      </c>
      <c r="R333">
        <f t="shared" si="109"/>
        <v>10.103015423556142</v>
      </c>
      <c r="S333">
        <f t="shared" si="109"/>
        <v>9.6972070824337617</v>
      </c>
      <c r="T333">
        <f t="shared" si="112"/>
        <v>-0.15695223813174586</v>
      </c>
      <c r="U333">
        <f t="shared" si="113"/>
        <v>0.15695223813174586</v>
      </c>
      <c r="V333">
        <f t="shared" si="120"/>
        <v>10.431219831222073</v>
      </c>
      <c r="W333">
        <f t="shared" si="114"/>
        <v>-0.57706051065656538</v>
      </c>
      <c r="X333">
        <f t="shared" si="121"/>
        <v>10.716098970493631</v>
      </c>
      <c r="Y333">
        <f t="shared" si="115"/>
        <v>-0.86193964992812333</v>
      </c>
      <c r="Z333">
        <f t="shared" si="122"/>
        <v>10.942514582699193</v>
      </c>
      <c r="AA333">
        <f t="shared" si="116"/>
        <v>-1.0883552621336854</v>
      </c>
      <c r="AB333">
        <f t="shared" si="117"/>
        <v>2.5047993205655068</v>
      </c>
      <c r="AC333">
        <f t="shared" si="118"/>
        <v>9.8730548718707976</v>
      </c>
      <c r="AD333">
        <f t="shared" si="119"/>
        <v>-1.889555130528997E-2</v>
      </c>
    </row>
    <row r="334" spans="1:30">
      <c r="A334">
        <v>332</v>
      </c>
      <c r="B334">
        <v>10.942044874075837</v>
      </c>
      <c r="C334">
        <f t="shared" si="123"/>
        <v>10.592392434338148</v>
      </c>
      <c r="D334">
        <f t="shared" si="123"/>
        <v>10.971346176705442</v>
      </c>
      <c r="E334">
        <f t="shared" si="124"/>
        <v>10.691458980200574</v>
      </c>
      <c r="F334">
        <f t="shared" si="127"/>
        <v>11.198460980173161</v>
      </c>
      <c r="G334">
        <f t="shared" si="127"/>
        <v>10.82199629851352</v>
      </c>
      <c r="H334">
        <f t="shared" si="127"/>
        <v>10.020719323490246</v>
      </c>
      <c r="I334">
        <f t="shared" si="110"/>
        <v>-0.92132555058559085</v>
      </c>
      <c r="J334">
        <f t="shared" si="125"/>
        <v>10.712487988865464</v>
      </c>
      <c r="K334">
        <f t="shared" si="129"/>
        <v>11.059171202837614</v>
      </c>
      <c r="L334">
        <f t="shared" si="129"/>
        <v>10.224763738159712</v>
      </c>
      <c r="M334">
        <f t="shared" si="129"/>
        <v>9.6501308371295345</v>
      </c>
      <c r="N334">
        <f t="shared" si="111"/>
        <v>-1.2919140369463022</v>
      </c>
      <c r="O334">
        <f t="shared" si="126"/>
        <v>10.75839936590754</v>
      </c>
      <c r="P334">
        <f t="shared" si="130"/>
        <v>10.884271639547455</v>
      </c>
      <c r="Q334">
        <f t="shared" si="128"/>
        <v>11.06371530296739</v>
      </c>
      <c r="R334">
        <f t="shared" si="109"/>
        <v>10.349079984032333</v>
      </c>
      <c r="S334">
        <f t="shared" si="109"/>
        <v>9.7595162076187414</v>
      </c>
      <c r="T334">
        <f t="shared" si="112"/>
        <v>-1.1825286664570953</v>
      </c>
      <c r="U334">
        <f t="shared" si="113"/>
        <v>1.1825286664570953</v>
      </c>
      <c r="V334">
        <f t="shared" si="120"/>
        <v>10.373513780156417</v>
      </c>
      <c r="W334">
        <f t="shared" si="114"/>
        <v>0.56853109391941992</v>
      </c>
      <c r="X334">
        <f t="shared" si="121"/>
        <v>10.543711040508006</v>
      </c>
      <c r="Y334">
        <f t="shared" si="115"/>
        <v>0.39833383356783081</v>
      </c>
      <c r="Z334">
        <f t="shared" si="122"/>
        <v>10.616008004059088</v>
      </c>
      <c r="AA334">
        <f t="shared" si="116"/>
        <v>0.32603687001674864</v>
      </c>
      <c r="AB334">
        <f t="shared" si="117"/>
        <v>3.5871248740758368</v>
      </c>
      <c r="AC334">
        <f t="shared" si="118"/>
        <v>9.8388556653032335</v>
      </c>
      <c r="AD334">
        <f t="shared" si="119"/>
        <v>1.1031892087726032</v>
      </c>
    </row>
    <row r="335" spans="1:30">
      <c r="A335">
        <v>333</v>
      </c>
      <c r="B335">
        <v>10.498535393918042</v>
      </c>
      <c r="C335">
        <f t="shared" si="123"/>
        <v>10.398102097320672</v>
      </c>
      <c r="D335">
        <f t="shared" si="123"/>
        <v>10.851250622178128</v>
      </c>
      <c r="E335">
        <f t="shared" si="124"/>
        <v>10.708943247584045</v>
      </c>
      <c r="F335">
        <f t="shared" si="127"/>
        <v>10.950290098328617</v>
      </c>
      <c r="G335">
        <f t="shared" si="127"/>
        <v>11.105887879806438</v>
      </c>
      <c r="H335">
        <f t="shared" si="127"/>
        <v>10.403257421035006</v>
      </c>
      <c r="I335">
        <f t="shared" si="110"/>
        <v>-9.5277972883035744E-2</v>
      </c>
      <c r="J335">
        <f t="shared" si="125"/>
        <v>10.754105453669389</v>
      </c>
      <c r="K335">
        <f t="shared" si="129"/>
        <v>11.016708590325095</v>
      </c>
      <c r="L335">
        <f t="shared" si="129"/>
        <v>10.570663353854505</v>
      </c>
      <c r="M335">
        <f t="shared" si="129"/>
        <v>9.8283721873022678</v>
      </c>
      <c r="N335">
        <f t="shared" si="111"/>
        <v>-0.67016320661577389</v>
      </c>
      <c r="O335">
        <f t="shared" si="126"/>
        <v>10.702991441719119</v>
      </c>
      <c r="P335">
        <f t="shared" si="130"/>
        <v>10.943547521216056</v>
      </c>
      <c r="Q335">
        <f t="shared" si="128"/>
        <v>10.934878508701937</v>
      </c>
      <c r="R335">
        <f t="shared" ref="R335:S398" si="131">AVERAGE(Q329:Q334)</f>
        <v>10.600499359618583</v>
      </c>
      <c r="S335">
        <f t="shared" si="131"/>
        <v>9.8766452949637298</v>
      </c>
      <c r="T335">
        <f t="shared" si="112"/>
        <v>-0.62189009895431191</v>
      </c>
      <c r="U335">
        <f t="shared" si="113"/>
        <v>0.62189009895431191</v>
      </c>
      <c r="V335">
        <f t="shared" si="120"/>
        <v>10.43036688954836</v>
      </c>
      <c r="W335">
        <f t="shared" si="114"/>
        <v>6.8168504369682026E-2</v>
      </c>
      <c r="X335">
        <f t="shared" si="121"/>
        <v>10.623377807221573</v>
      </c>
      <c r="Y335">
        <f t="shared" si="115"/>
        <v>-0.12484241330353107</v>
      </c>
      <c r="Z335">
        <f t="shared" si="122"/>
        <v>10.713819065064113</v>
      </c>
      <c r="AA335">
        <f t="shared" si="116"/>
        <v>-0.2152836711460715</v>
      </c>
      <c r="AB335">
        <f t="shared" si="117"/>
        <v>3.1380553939180409</v>
      </c>
      <c r="AC335">
        <f t="shared" si="118"/>
        <v>9.8040229023833891</v>
      </c>
      <c r="AD335">
        <f t="shared" si="119"/>
        <v>0.69451249153465255</v>
      </c>
    </row>
    <row r="336" spans="1:30">
      <c r="A336">
        <v>334</v>
      </c>
      <c r="B336">
        <v>8.0922893381213807</v>
      </c>
      <c r="C336">
        <f t="shared" si="123"/>
        <v>10.72029013399694</v>
      </c>
      <c r="D336">
        <f t="shared" si="123"/>
        <v>10.495247265829409</v>
      </c>
      <c r="E336">
        <f t="shared" si="124"/>
        <v>10.431579862853129</v>
      </c>
      <c r="F336">
        <f t="shared" si="127"/>
        <v>10.799666590916688</v>
      </c>
      <c r="G336">
        <f t="shared" si="127"/>
        <v>11.102235280050344</v>
      </c>
      <c r="H336">
        <f t="shared" si="127"/>
        <v>10.786814962018846</v>
      </c>
      <c r="I336">
        <f t="shared" si="110"/>
        <v>2.6945256238974657</v>
      </c>
      <c r="J336">
        <f t="shared" si="125"/>
        <v>10.656341284167544</v>
      </c>
      <c r="K336">
        <f t="shared" si="129"/>
        <v>10.992309223552358</v>
      </c>
      <c r="L336">
        <f t="shared" si="129"/>
        <v>10.809147732791752</v>
      </c>
      <c r="M336">
        <f t="shared" si="129"/>
        <v>10.088190874148758</v>
      </c>
      <c r="N336">
        <f t="shared" si="111"/>
        <v>1.9959015360273771</v>
      </c>
      <c r="O336">
        <f t="shared" si="126"/>
        <v>10.143530894958312</v>
      </c>
      <c r="P336">
        <f t="shared" si="130"/>
        <v>10.911948658738988</v>
      </c>
      <c r="Q336">
        <f t="shared" si="128"/>
        <v>10.71508870390929</v>
      </c>
      <c r="R336">
        <f t="shared" si="131"/>
        <v>10.776306025883409</v>
      </c>
      <c r="S336">
        <f t="shared" si="131"/>
        <v>10.046793685688028</v>
      </c>
      <c r="T336">
        <f t="shared" si="112"/>
        <v>1.9545043475666475</v>
      </c>
      <c r="U336">
        <f t="shared" si="113"/>
        <v>-1.9545043475666475</v>
      </c>
      <c r="V336">
        <f t="shared" si="120"/>
        <v>10.437183739985327</v>
      </c>
      <c r="W336">
        <f t="shared" si="114"/>
        <v>-2.3448944018639466</v>
      </c>
      <c r="X336">
        <f t="shared" si="121"/>
        <v>10.598409324560867</v>
      </c>
      <c r="Y336">
        <f t="shared" si="115"/>
        <v>-2.5061199864394865</v>
      </c>
      <c r="Z336">
        <f t="shared" si="122"/>
        <v>10.649233963720292</v>
      </c>
      <c r="AA336">
        <f t="shared" si="116"/>
        <v>-2.556944625598911</v>
      </c>
      <c r="AB336">
        <f t="shared" si="117"/>
        <v>0.72624933812138082</v>
      </c>
      <c r="AC336">
        <f t="shared" si="118"/>
        <v>9.7685664669832821</v>
      </c>
      <c r="AD336">
        <f t="shared" si="119"/>
        <v>-1.6762771288619014</v>
      </c>
    </row>
    <row r="337" spans="1:30">
      <c r="A337">
        <v>335</v>
      </c>
      <c r="B337">
        <v>8.0851067279084106</v>
      </c>
      <c r="C337">
        <f t="shared" si="123"/>
        <v>9.2954123660197112</v>
      </c>
      <c r="D337">
        <f t="shared" si="123"/>
        <v>10.559196115658807</v>
      </c>
      <c r="E337">
        <f t="shared" si="124"/>
        <v>9.8442898687050882</v>
      </c>
      <c r="F337">
        <f t="shared" si="127"/>
        <v>10.610660696879249</v>
      </c>
      <c r="G337">
        <f t="shared" si="127"/>
        <v>10.982805889806157</v>
      </c>
      <c r="H337">
        <f t="shared" si="127"/>
        <v>11.010039819456766</v>
      </c>
      <c r="I337">
        <f t="shared" si="110"/>
        <v>2.9249330915483558</v>
      </c>
      <c r="J337">
        <f t="shared" si="125"/>
        <v>9.8467572316701926</v>
      </c>
      <c r="K337">
        <f t="shared" si="129"/>
        <v>10.831550360273742</v>
      </c>
      <c r="L337">
        <f t="shared" si="129"/>
        <v>10.964336284694085</v>
      </c>
      <c r="M337">
        <f t="shared" si="129"/>
        <v>10.374442774839464</v>
      </c>
      <c r="N337">
        <f t="shared" si="111"/>
        <v>2.2893360469310533</v>
      </c>
      <c r="O337">
        <f t="shared" si="126"/>
        <v>9.4944271309178365</v>
      </c>
      <c r="P337">
        <f t="shared" si="130"/>
        <v>10.76879868753198</v>
      </c>
      <c r="Q337">
        <f t="shared" si="128"/>
        <v>10.267874424452829</v>
      </c>
      <c r="R337">
        <f t="shared" si="131"/>
        <v>10.838592223379992</v>
      </c>
      <c r="S337">
        <f t="shared" si="131"/>
        <v>10.2411444075349</v>
      </c>
      <c r="T337">
        <f t="shared" si="112"/>
        <v>2.1560376796264897</v>
      </c>
      <c r="U337">
        <f t="shared" si="113"/>
        <v>-2.1560376796264897</v>
      </c>
      <c r="V337">
        <f t="shared" si="120"/>
        <v>10.202694299798933</v>
      </c>
      <c r="W337">
        <f t="shared" si="114"/>
        <v>-2.1175875718905228</v>
      </c>
      <c r="X337">
        <f t="shared" si="121"/>
        <v>10.097185327272969</v>
      </c>
      <c r="Y337">
        <f t="shared" si="115"/>
        <v>-2.0120785993645587</v>
      </c>
      <c r="Z337">
        <f t="shared" si="122"/>
        <v>9.882150576040619</v>
      </c>
      <c r="AA337">
        <f t="shared" si="116"/>
        <v>-1.7970438481322084</v>
      </c>
      <c r="AB337">
        <f t="shared" si="117"/>
        <v>0.71350672790840974</v>
      </c>
      <c r="AC337">
        <f t="shared" si="118"/>
        <v>9.7324964162132677</v>
      </c>
      <c r="AD337">
        <f t="shared" si="119"/>
        <v>-1.6473896883048571</v>
      </c>
    </row>
    <row r="338" spans="1:30">
      <c r="A338">
        <v>336</v>
      </c>
      <c r="B338">
        <v>11.018359950999582</v>
      </c>
      <c r="C338">
        <f t="shared" si="123"/>
        <v>8.0886980330148965</v>
      </c>
      <c r="D338">
        <f t="shared" si="123"/>
        <v>10.007851250008326</v>
      </c>
      <c r="E338">
        <f t="shared" si="124"/>
        <v>8.8919771533159437</v>
      </c>
      <c r="F338">
        <f t="shared" si="127"/>
        <v>10.32827099304742</v>
      </c>
      <c r="G338">
        <f t="shared" si="127"/>
        <v>10.786872462041517</v>
      </c>
      <c r="H338">
        <f t="shared" si="127"/>
        <v>11.063643016554314</v>
      </c>
      <c r="I338">
        <f t="shared" si="110"/>
        <v>4.5283065554732715E-2</v>
      </c>
      <c r="J338">
        <f t="shared" si="125"/>
        <v>9.4044940835059183</v>
      </c>
      <c r="K338">
        <f t="shared" si="129"/>
        <v>10.492422989593148</v>
      </c>
      <c r="L338">
        <f t="shared" si="129"/>
        <v>10.974934844247201</v>
      </c>
      <c r="M338">
        <f t="shared" si="129"/>
        <v>10.642227777375012</v>
      </c>
      <c r="N338">
        <f t="shared" si="111"/>
        <v>-0.37613217362456908</v>
      </c>
      <c r="O338">
        <f t="shared" si="126"/>
        <v>9.7272672570046517</v>
      </c>
      <c r="P338">
        <f t="shared" si="130"/>
        <v>10.406558813825992</v>
      </c>
      <c r="Q338">
        <f t="shared" si="128"/>
        <v>9.8004602004499954</v>
      </c>
      <c r="R338">
        <f t="shared" si="131"/>
        <v>10.797524771825387</v>
      </c>
      <c r="S338">
        <f t="shared" si="131"/>
        <v>10.423415066348154</v>
      </c>
      <c r="T338">
        <f t="shared" si="112"/>
        <v>-0.59494488465142759</v>
      </c>
      <c r="U338">
        <f t="shared" si="113"/>
        <v>0.59494488465142759</v>
      </c>
      <c r="V338">
        <f t="shared" si="120"/>
        <v>9.9909355426098809</v>
      </c>
      <c r="W338">
        <f t="shared" si="114"/>
        <v>1.0274244083897006</v>
      </c>
      <c r="X338">
        <f t="shared" si="121"/>
        <v>9.6947696074000582</v>
      </c>
      <c r="Y338">
        <f t="shared" si="115"/>
        <v>1.3235903435995233</v>
      </c>
      <c r="Z338">
        <f t="shared" si="122"/>
        <v>9.3430374216009557</v>
      </c>
      <c r="AA338">
        <f t="shared" si="116"/>
        <v>1.6753225293986258</v>
      </c>
      <c r="AB338">
        <f t="shared" si="117"/>
        <v>3.6411999509995816</v>
      </c>
      <c r="AC338">
        <f t="shared" si="118"/>
        <v>9.6958229776284774</v>
      </c>
      <c r="AD338">
        <f t="shared" si="119"/>
        <v>1.3225369733711041</v>
      </c>
    </row>
    <row r="339" spans="1:30">
      <c r="A339">
        <v>337</v>
      </c>
      <c r="B339">
        <v>8.3849493415820771</v>
      </c>
      <c r="C339">
        <f t="shared" si="123"/>
        <v>9.5517333394539961</v>
      </c>
      <c r="D339">
        <f t="shared" si="123"/>
        <v>8.6920551995173039</v>
      </c>
      <c r="E339">
        <f t="shared" si="124"/>
        <v>9.0652520056764576</v>
      </c>
      <c r="F339">
        <f t="shared" si="127"/>
        <v>9.7226156282913863</v>
      </c>
      <c r="G339">
        <f t="shared" si="127"/>
        <v>10.579532760281118</v>
      </c>
      <c r="H339">
        <f t="shared" si="127"/>
        <v>10.957304543966005</v>
      </c>
      <c r="I339">
        <f t="shared" si="110"/>
        <v>2.5723552023839282</v>
      </c>
      <c r="J339">
        <f t="shared" si="125"/>
        <v>9.4235728527368536</v>
      </c>
      <c r="K339">
        <f t="shared" si="129"/>
        <v>10.165424513253262</v>
      </c>
      <c r="L339">
        <f t="shared" si="129"/>
        <v>10.833247790936085</v>
      </c>
      <c r="M339">
        <f t="shared" si="129"/>
        <v>10.829770553896886</v>
      </c>
      <c r="N339">
        <f t="shared" si="111"/>
        <v>2.4448212123148085</v>
      </c>
      <c r="O339">
        <f t="shared" si="126"/>
        <v>9.2158481505058987</v>
      </c>
      <c r="P339">
        <f t="shared" si="130"/>
        <v>10.165323218101491</v>
      </c>
      <c r="Q339">
        <f t="shared" si="128"/>
        <v>9.7484159342647931</v>
      </c>
      <c r="R339">
        <f t="shared" si="131"/>
        <v>10.619975892943506</v>
      </c>
      <c r="S339">
        <f t="shared" si="131"/>
        <v>10.577502964715974</v>
      </c>
      <c r="T339">
        <f t="shared" si="112"/>
        <v>2.1925536231338967</v>
      </c>
      <c r="U339">
        <f t="shared" si="113"/>
        <v>-2.1925536231338967</v>
      </c>
      <c r="V339">
        <f t="shared" si="120"/>
        <v>10.093677983448851</v>
      </c>
      <c r="W339">
        <f t="shared" si="114"/>
        <v>-1.7087286418667738</v>
      </c>
      <c r="X339">
        <f t="shared" si="121"/>
        <v>9.9594876761199629</v>
      </c>
      <c r="Y339">
        <f t="shared" si="115"/>
        <v>-1.5745383345378858</v>
      </c>
      <c r="Z339">
        <f t="shared" si="122"/>
        <v>9.8456341804205429</v>
      </c>
      <c r="AA339">
        <f t="shared" si="116"/>
        <v>-1.4606848388384659</v>
      </c>
      <c r="AB339">
        <f t="shared" si="117"/>
        <v>1.0022293415820762</v>
      </c>
      <c r="AC339">
        <f t="shared" si="118"/>
        <v>9.6585565463878851</v>
      </c>
      <c r="AD339">
        <f t="shared" si="119"/>
        <v>-1.273607204805808</v>
      </c>
    </row>
    <row r="340" spans="1:30">
      <c r="A340">
        <v>338</v>
      </c>
      <c r="B340">
        <v>10.202778136546865</v>
      </c>
      <c r="C340">
        <f t="shared" si="123"/>
        <v>9.7016546462908302</v>
      </c>
      <c r="D340">
        <f t="shared" si="123"/>
        <v>8.8202156862344463</v>
      </c>
      <c r="E340">
        <f t="shared" si="124"/>
        <v>9.1628053401633576</v>
      </c>
      <c r="F340">
        <f t="shared" si="127"/>
        <v>9.2671730092324953</v>
      </c>
      <c r="G340">
        <f t="shared" si="127"/>
        <v>10.220515772739352</v>
      </c>
      <c r="H340">
        <f t="shared" si="127"/>
        <v>10.783070370709597</v>
      </c>
      <c r="I340">
        <f t="shared" si="110"/>
        <v>0.5802922341627319</v>
      </c>
      <c r="J340">
        <f t="shared" si="125"/>
        <v>8.8951763396528634</v>
      </c>
      <c r="K340">
        <f t="shared" si="129"/>
        <v>9.8327913630201262</v>
      </c>
      <c r="L340">
        <f t="shared" si="129"/>
        <v>10.620426771668127</v>
      </c>
      <c r="M340">
        <f t="shared" si="129"/>
        <v>10.89541666316728</v>
      </c>
      <c r="N340">
        <f t="shared" si="111"/>
        <v>0.69263852662041536</v>
      </c>
      <c r="O340">
        <f t="shared" si="126"/>
        <v>9.1566966990316647</v>
      </c>
      <c r="P340">
        <f t="shared" si="130"/>
        <v>9.8568129750211639</v>
      </c>
      <c r="Q340">
        <f t="shared" si="128"/>
        <v>9.5035476044342229</v>
      </c>
      <c r="R340">
        <f t="shared" si="131"/>
        <v>10.421738845791038</v>
      </c>
      <c r="S340">
        <f t="shared" si="131"/>
        <v>10.663663042947201</v>
      </c>
      <c r="T340">
        <f t="shared" si="112"/>
        <v>0.46088490640033619</v>
      </c>
      <c r="U340">
        <f t="shared" si="113"/>
        <v>-0.46088490640033619</v>
      </c>
      <c r="V340">
        <f t="shared" si="120"/>
        <v>9.9228051192621738</v>
      </c>
      <c r="W340">
        <f t="shared" si="114"/>
        <v>0.27997301728469104</v>
      </c>
      <c r="X340">
        <f t="shared" si="121"/>
        <v>9.644580009212385</v>
      </c>
      <c r="Y340">
        <f t="shared" si="115"/>
        <v>0.55819812733447982</v>
      </c>
      <c r="Z340">
        <f t="shared" si="122"/>
        <v>9.4074287287690037</v>
      </c>
      <c r="AA340">
        <f t="shared" si="116"/>
        <v>0.79534940777786112</v>
      </c>
      <c r="AB340">
        <f t="shared" si="117"/>
        <v>2.8144981365468649</v>
      </c>
      <c r="AC340">
        <f t="shared" si="118"/>
        <v>9.6207076823668327</v>
      </c>
      <c r="AD340">
        <f t="shared" si="119"/>
        <v>0.58207045418003212</v>
      </c>
    </row>
    <row r="341" spans="1:30">
      <c r="A341">
        <v>339</v>
      </c>
      <c r="B341">
        <v>7.0174804283604599</v>
      </c>
      <c r="C341">
        <f t="shared" si="123"/>
        <v>9.2938637390644701</v>
      </c>
      <c r="D341">
        <f t="shared" si="123"/>
        <v>9.6266939928724131</v>
      </c>
      <c r="E341">
        <f t="shared" si="124"/>
        <v>9.868695809709509</v>
      </c>
      <c r="F341">
        <f t="shared" si="127"/>
        <v>9.0400114997185863</v>
      </c>
      <c r="G341">
        <f t="shared" si="127"/>
        <v>9.7726865435237666</v>
      </c>
      <c r="H341">
        <f t="shared" si="127"/>
        <v>10.528973665020663</v>
      </c>
      <c r="I341">
        <f t="shared" si="110"/>
        <v>3.5114932366602032</v>
      </c>
      <c r="J341">
        <f t="shared" si="125"/>
        <v>9.4227985392592331</v>
      </c>
      <c r="K341">
        <f t="shared" si="129"/>
        <v>9.3925001268914574</v>
      </c>
      <c r="L341">
        <f t="shared" si="129"/>
        <v>10.33054730653507</v>
      </c>
      <c r="M341">
        <f t="shared" si="129"/>
        <v>10.848236422886375</v>
      </c>
      <c r="N341">
        <f t="shared" si="111"/>
        <v>3.8307559945259149</v>
      </c>
      <c r="O341">
        <f t="shared" si="126"/>
        <v>8.9417349170794775</v>
      </c>
      <c r="P341">
        <f t="shared" si="130"/>
        <v>9.547554026483672</v>
      </c>
      <c r="Q341">
        <f t="shared" si="128"/>
        <v>9.3803364815127264</v>
      </c>
      <c r="R341">
        <f t="shared" si="131"/>
        <v>10.161710896035512</v>
      </c>
      <c r="S341">
        <f t="shared" si="131"/>
        <v>10.67577285324032</v>
      </c>
      <c r="T341">
        <f t="shared" si="112"/>
        <v>3.6582924248798596</v>
      </c>
      <c r="U341">
        <f t="shared" si="113"/>
        <v>-3.6582924248798596</v>
      </c>
      <c r="V341">
        <f t="shared" si="120"/>
        <v>9.9508024209906427</v>
      </c>
      <c r="W341">
        <f t="shared" si="114"/>
        <v>-2.9333219926301828</v>
      </c>
      <c r="X341">
        <f t="shared" si="121"/>
        <v>9.7562196346792813</v>
      </c>
      <c r="Y341">
        <f t="shared" si="115"/>
        <v>-2.7387392063188214</v>
      </c>
      <c r="Z341">
        <f t="shared" si="122"/>
        <v>9.6460335511023629</v>
      </c>
      <c r="AA341">
        <f t="shared" si="116"/>
        <v>-2.628553122741903</v>
      </c>
      <c r="AB341">
        <f t="shared" si="117"/>
        <v>-0.37635957163954004</v>
      </c>
      <c r="AC341">
        <f t="shared" si="118"/>
        <v>9.5822871072238058</v>
      </c>
      <c r="AD341">
        <f t="shared" si="119"/>
        <v>-2.5648066788633459</v>
      </c>
    </row>
    <row r="342" spans="1:30">
      <c r="A342">
        <v>340</v>
      </c>
      <c r="B342">
        <v>9.2633839656123449</v>
      </c>
      <c r="C342">
        <f t="shared" si="123"/>
        <v>8.6101292824536628</v>
      </c>
      <c r="D342">
        <f t="shared" si="123"/>
        <v>9.4977591926776501</v>
      </c>
      <c r="E342">
        <f t="shared" si="124"/>
        <v>8.5350693021631336</v>
      </c>
      <c r="F342">
        <f t="shared" si="127"/>
        <v>9.3655843851831069</v>
      </c>
      <c r="G342">
        <f t="shared" si="127"/>
        <v>9.343266712414156</v>
      </c>
      <c r="H342">
        <f t="shared" si="127"/>
        <v>10.190911692181414</v>
      </c>
      <c r="I342">
        <f t="shared" si="110"/>
        <v>0.92752772656906934</v>
      </c>
      <c r="J342">
        <f t="shared" si="125"/>
        <v>9.1558919643722465</v>
      </c>
      <c r="K342">
        <f t="shared" si="129"/>
        <v>9.2865104537887166</v>
      </c>
      <c r="L342">
        <f t="shared" si="129"/>
        <v>9.970784748189498</v>
      </c>
      <c r="M342">
        <f t="shared" si="129"/>
        <v>10.689789178346622</v>
      </c>
      <c r="N342">
        <f t="shared" si="111"/>
        <v>1.4264052127342772</v>
      </c>
      <c r="O342">
        <f t="shared" si="126"/>
        <v>9.1773903646202655</v>
      </c>
      <c r="P342">
        <f t="shared" si="130"/>
        <v>9.3071948309079069</v>
      </c>
      <c r="Q342">
        <f t="shared" si="128"/>
        <v>8.8001606539197965</v>
      </c>
      <c r="R342">
        <f t="shared" si="131"/>
        <v>9.9026205581706428</v>
      </c>
      <c r="S342">
        <f t="shared" si="131"/>
        <v>10.60264144264314</v>
      </c>
      <c r="T342">
        <f t="shared" si="112"/>
        <v>1.3392574770307952</v>
      </c>
      <c r="U342">
        <f t="shared" si="113"/>
        <v>-1.3392574770307952</v>
      </c>
      <c r="V342">
        <f t="shared" si="120"/>
        <v>9.6574702217276247</v>
      </c>
      <c r="W342">
        <f t="shared" si="114"/>
        <v>-0.39408625611527981</v>
      </c>
      <c r="X342">
        <f t="shared" si="121"/>
        <v>9.2084717934155176</v>
      </c>
      <c r="Y342">
        <f t="shared" si="115"/>
        <v>5.4912172196827314E-2</v>
      </c>
      <c r="Z342">
        <f t="shared" si="122"/>
        <v>8.8574676142797912</v>
      </c>
      <c r="AA342">
        <f t="shared" si="116"/>
        <v>0.40591635133255366</v>
      </c>
      <c r="AB342">
        <f t="shared" si="117"/>
        <v>1.8639839656123449</v>
      </c>
      <c r="AC342">
        <f t="shared" si="118"/>
        <v>9.5433057014222555</v>
      </c>
      <c r="AD342">
        <f t="shared" si="119"/>
        <v>-0.27992173580991064</v>
      </c>
    </row>
    <row r="343" spans="1:30">
      <c r="A343">
        <v>341</v>
      </c>
      <c r="B343">
        <v>9.0342429322604207</v>
      </c>
      <c r="C343">
        <f t="shared" si="123"/>
        <v>8.1404321969864029</v>
      </c>
      <c r="D343">
        <f t="shared" si="123"/>
        <v>8.9519965107590664</v>
      </c>
      <c r="E343">
        <f t="shared" si="124"/>
        <v>8.8278808435065574</v>
      </c>
      <c r="F343">
        <f t="shared" si="127"/>
        <v>9.188856817345334</v>
      </c>
      <c r="G343">
        <f t="shared" si="127"/>
        <v>9.2242562980447289</v>
      </c>
      <c r="H343">
        <f t="shared" si="127"/>
        <v>9.7788230095590922</v>
      </c>
      <c r="I343">
        <f t="shared" si="110"/>
        <v>0.74458007729867148</v>
      </c>
      <c r="J343">
        <f t="shared" si="125"/>
        <v>8.7171479680254365</v>
      </c>
      <c r="K343">
        <f t="shared" si="129"/>
        <v>9.2243599240052987</v>
      </c>
      <c r="L343">
        <f t="shared" si="129"/>
        <v>9.6693066142383906</v>
      </c>
      <c r="M343">
        <f t="shared" si="129"/>
        <v>10.438751654332195</v>
      </c>
      <c r="N343">
        <f t="shared" si="111"/>
        <v>1.4045087220717747</v>
      </c>
      <c r="O343">
        <f t="shared" si="126"/>
        <v>8.7805669608724326</v>
      </c>
      <c r="P343">
        <f t="shared" si="130"/>
        <v>9.243787477648393</v>
      </c>
      <c r="Q343">
        <f t="shared" si="128"/>
        <v>8.9953430918349557</v>
      </c>
      <c r="R343">
        <f t="shared" si="131"/>
        <v>9.5834658831723942</v>
      </c>
      <c r="S343">
        <f t="shared" si="131"/>
        <v>10.457027198024347</v>
      </c>
      <c r="T343">
        <f t="shared" si="112"/>
        <v>1.4227842657639265</v>
      </c>
      <c r="U343">
        <f t="shared" si="113"/>
        <v>-1.4227842657639265</v>
      </c>
      <c r="V343">
        <f t="shared" si="120"/>
        <v>9.618061596116096</v>
      </c>
      <c r="W343">
        <f t="shared" si="114"/>
        <v>-0.58381866385567527</v>
      </c>
      <c r="X343">
        <f t="shared" si="121"/>
        <v>9.2194542278548823</v>
      </c>
      <c r="Y343">
        <f t="shared" si="115"/>
        <v>-0.18521129559446159</v>
      </c>
      <c r="Z343">
        <f t="shared" si="122"/>
        <v>8.9792425196795573</v>
      </c>
      <c r="AA343">
        <f t="shared" si="116"/>
        <v>5.5000412580863411E-2</v>
      </c>
      <c r="AB343">
        <f t="shared" si="117"/>
        <v>1.6292829322604208</v>
      </c>
      <c r="AC343">
        <f t="shared" si="118"/>
        <v>9.5037745012083228</v>
      </c>
      <c r="AD343">
        <f t="shared" si="119"/>
        <v>-0.46953156894790204</v>
      </c>
    </row>
    <row r="344" spans="1:30">
      <c r="A344">
        <v>342</v>
      </c>
      <c r="B344">
        <v>10.633980678331815</v>
      </c>
      <c r="C344">
        <f t="shared" si="123"/>
        <v>9.1488134489363837</v>
      </c>
      <c r="D344">
        <f t="shared" si="123"/>
        <v>8.3752807397200328</v>
      </c>
      <c r="E344">
        <f t="shared" si="124"/>
        <v>8.4383691087444088</v>
      </c>
      <c r="F344">
        <f t="shared" si="127"/>
        <v>9.077215318459734</v>
      </c>
      <c r="G344">
        <f t="shared" si="127"/>
        <v>9.1981509007490079</v>
      </c>
      <c r="H344">
        <f t="shared" si="127"/>
        <v>9.4467365179942178</v>
      </c>
      <c r="I344">
        <f t="shared" si="110"/>
        <v>-1.1872441603375972</v>
      </c>
      <c r="J344">
        <f t="shared" si="125"/>
        <v>8.8794713656950233</v>
      </c>
      <c r="K344">
        <f t="shared" si="129"/>
        <v>9.0477537028274444</v>
      </c>
      <c r="L344">
        <f t="shared" si="129"/>
        <v>9.4340404669263993</v>
      </c>
      <c r="M344">
        <f t="shared" si="129"/>
        <v>10.147766360157771</v>
      </c>
      <c r="N344">
        <f t="shared" si="111"/>
        <v>-0.48621431817404392</v>
      </c>
      <c r="O344">
        <f t="shared" si="126"/>
        <v>9.2303732282223816</v>
      </c>
      <c r="P344">
        <f t="shared" si="130"/>
        <v>9.0544474184219474</v>
      </c>
      <c r="Q344">
        <f t="shared" si="128"/>
        <v>9.1535324592269571</v>
      </c>
      <c r="R344">
        <f t="shared" si="131"/>
        <v>9.3713773277360826</v>
      </c>
      <c r="S344">
        <f t="shared" si="131"/>
        <v>10.247839474656415</v>
      </c>
      <c r="T344">
        <f t="shared" si="112"/>
        <v>-0.38614120367540039</v>
      </c>
      <c r="U344">
        <f t="shared" si="113"/>
        <v>0.38614120367540039</v>
      </c>
      <c r="V344">
        <f t="shared" si="120"/>
        <v>9.5596797297305294</v>
      </c>
      <c r="W344">
        <f t="shared" si="114"/>
        <v>1.0743009486012856</v>
      </c>
      <c r="X344">
        <f t="shared" si="121"/>
        <v>9.1824119687359893</v>
      </c>
      <c r="Y344">
        <f t="shared" si="115"/>
        <v>1.4515687095958256</v>
      </c>
      <c r="Z344">
        <f t="shared" si="122"/>
        <v>8.9957426434538164</v>
      </c>
      <c r="AA344">
        <f t="shared" si="116"/>
        <v>1.6382380348779986</v>
      </c>
      <c r="AB344">
        <f t="shared" si="117"/>
        <v>3.2234606783318149</v>
      </c>
      <c r="AC344">
        <f t="shared" si="118"/>
        <v>9.4637046955452764</v>
      </c>
      <c r="AD344">
        <f t="shared" si="119"/>
        <v>1.1702759827865385</v>
      </c>
    </row>
    <row r="345" spans="1:30">
      <c r="A345">
        <v>343</v>
      </c>
      <c r="B345">
        <v>8.4615531369853834</v>
      </c>
      <c r="C345">
        <f t="shared" si="123"/>
        <v>9.8341118052961178</v>
      </c>
      <c r="D345">
        <f t="shared" si="123"/>
        <v>8.6446228229613933</v>
      </c>
      <c r="E345">
        <f t="shared" si="124"/>
        <v>9.6438691920681947</v>
      </c>
      <c r="F345">
        <f t="shared" si="127"/>
        <v>8.6004397514713684</v>
      </c>
      <c r="G345">
        <f t="shared" si="127"/>
        <v>9.2105521736627249</v>
      </c>
      <c r="H345">
        <f t="shared" si="127"/>
        <v>9.255224637069297</v>
      </c>
      <c r="I345">
        <f t="shared" si="110"/>
        <v>0.79367150008391363</v>
      </c>
      <c r="J345">
        <f t="shared" si="125"/>
        <v>8.9872720011412603</v>
      </c>
      <c r="K345">
        <f t="shared" si="129"/>
        <v>9.0438274593379848</v>
      </c>
      <c r="L345">
        <f t="shared" si="129"/>
        <v>9.2377810518782297</v>
      </c>
      <c r="M345">
        <f t="shared" si="129"/>
        <v>9.85116978397234</v>
      </c>
      <c r="N345">
        <f t="shared" si="111"/>
        <v>1.3896166469869566</v>
      </c>
      <c r="O345">
        <f t="shared" si="126"/>
        <v>8.8821282283100853</v>
      </c>
      <c r="P345">
        <f t="shared" si="130"/>
        <v>9.0573524339652458</v>
      </c>
      <c r="Q345">
        <f t="shared" si="128"/>
        <v>9.0894692471156642</v>
      </c>
      <c r="R345">
        <f t="shared" si="131"/>
        <v>9.2635560375322417</v>
      </c>
      <c r="S345">
        <f t="shared" si="131"/>
        <v>10.010148233974862</v>
      </c>
      <c r="T345">
        <f t="shared" si="112"/>
        <v>1.5485950969894784</v>
      </c>
      <c r="U345">
        <f t="shared" si="113"/>
        <v>-1.5485950969894784</v>
      </c>
      <c r="V345">
        <f t="shared" si="120"/>
        <v>9.667109824590657</v>
      </c>
      <c r="W345">
        <f t="shared" si="114"/>
        <v>-1.2055566876052737</v>
      </c>
      <c r="X345">
        <f t="shared" si="121"/>
        <v>9.4727257106551548</v>
      </c>
      <c r="Y345">
        <f t="shared" si="115"/>
        <v>-1.0111725736697714</v>
      </c>
      <c r="Z345">
        <f t="shared" si="122"/>
        <v>9.4872140539172154</v>
      </c>
      <c r="AA345">
        <f t="shared" si="116"/>
        <v>-1.025660916931832</v>
      </c>
      <c r="AB345">
        <f t="shared" si="117"/>
        <v>1.0454731369853834</v>
      </c>
      <c r="AC345">
        <f t="shared" si="118"/>
        <v>9.4231076230055582</v>
      </c>
      <c r="AD345">
        <f t="shared" si="119"/>
        <v>-0.96155448602017479</v>
      </c>
    </row>
    <row r="346" spans="1:30">
      <c r="A346">
        <v>344</v>
      </c>
      <c r="B346">
        <v>10.108038721622448</v>
      </c>
      <c r="C346">
        <f t="shared" si="123"/>
        <v>9.5477669076585983</v>
      </c>
      <c r="D346">
        <f t="shared" si="123"/>
        <v>9.4914626271162508</v>
      </c>
      <c r="E346">
        <f t="shared" si="124"/>
        <v>9.3765922491925391</v>
      </c>
      <c r="F346">
        <f t="shared" si="127"/>
        <v>8.9700397147730531</v>
      </c>
      <c r="G346">
        <f t="shared" si="127"/>
        <v>8.95550396242548</v>
      </c>
      <c r="H346">
        <f t="shared" si="127"/>
        <v>9.2109864574854878</v>
      </c>
      <c r="I346">
        <f t="shared" si="110"/>
        <v>-0.89705226413695982</v>
      </c>
      <c r="J346">
        <f t="shared" si="125"/>
        <v>9.3482901782974928</v>
      </c>
      <c r="K346">
        <f t="shared" si="129"/>
        <v>8.9349458248084908</v>
      </c>
      <c r="L346">
        <f t="shared" si="129"/>
        <v>9.1506128849898598</v>
      </c>
      <c r="M346">
        <f t="shared" si="129"/>
        <v>9.577978220308129</v>
      </c>
      <c r="N346">
        <f t="shared" si="111"/>
        <v>-0.5300605013143187</v>
      </c>
      <c r="O346">
        <f t="shared" si="126"/>
        <v>9.5002398869624844</v>
      </c>
      <c r="P346">
        <f t="shared" si="130"/>
        <v>9.0024387398209296</v>
      </c>
      <c r="Q346">
        <f t="shared" si="128"/>
        <v>9.10223654634955</v>
      </c>
      <c r="R346">
        <f t="shared" si="131"/>
        <v>9.1537315896740541</v>
      </c>
      <c r="S346">
        <f t="shared" si="131"/>
        <v>9.7840782580729861</v>
      </c>
      <c r="T346">
        <f t="shared" si="112"/>
        <v>-0.32396046354946151</v>
      </c>
      <c r="U346">
        <f t="shared" si="113"/>
        <v>0.32396046354946151</v>
      </c>
      <c r="V346">
        <f t="shared" si="120"/>
        <v>9.5465541558301297</v>
      </c>
      <c r="W346">
        <f t="shared" si="114"/>
        <v>0.56148456579231798</v>
      </c>
      <c r="X346">
        <f t="shared" si="121"/>
        <v>9.2704911959212009</v>
      </c>
      <c r="Y346">
        <f t="shared" si="115"/>
        <v>0.8375475257012468</v>
      </c>
      <c r="Z346">
        <f t="shared" si="122"/>
        <v>9.1795157788376649</v>
      </c>
      <c r="AA346">
        <f t="shared" si="116"/>
        <v>0.92852294278478276</v>
      </c>
      <c r="AB346">
        <f t="shared" si="117"/>
        <v>2.6863987216224476</v>
      </c>
      <c r="AC346">
        <f t="shared" si="118"/>
        <v>9.3819947686212295</v>
      </c>
      <c r="AD346">
        <f t="shared" si="119"/>
        <v>0.72604395300121816</v>
      </c>
    </row>
    <row r="347" spans="1:30">
      <c r="A347">
        <v>345</v>
      </c>
      <c r="B347">
        <v>10.592219289076356</v>
      </c>
      <c r="C347">
        <f t="shared" si="123"/>
        <v>9.2847959293039146</v>
      </c>
      <c r="D347">
        <f t="shared" si="123"/>
        <v>9.690939356477358</v>
      </c>
      <c r="E347">
        <f t="shared" si="124"/>
        <v>9.734524178979882</v>
      </c>
      <c r="F347">
        <f t="shared" si="127"/>
        <v>9.1529435166683815</v>
      </c>
      <c r="G347">
        <f t="shared" si="127"/>
        <v>8.8825649282347197</v>
      </c>
      <c r="H347">
        <f t="shared" si="127"/>
        <v>9.1214023456124043</v>
      </c>
      <c r="I347">
        <f t="shared" si="110"/>
        <v>-1.4708169434639515</v>
      </c>
      <c r="J347">
        <f t="shared" si="125"/>
        <v>9.5594538673000162</v>
      </c>
      <c r="K347">
        <f t="shared" si="129"/>
        <v>8.9830453782898037</v>
      </c>
      <c r="L347">
        <f t="shared" si="129"/>
        <v>9.0627217277448047</v>
      </c>
      <c r="M347">
        <f t="shared" si="129"/>
        <v>9.3729352545082207</v>
      </c>
      <c r="N347">
        <f t="shared" si="111"/>
        <v>-1.2192840345681351</v>
      </c>
      <c r="O347">
        <f t="shared" si="126"/>
        <v>9.7660069516552834</v>
      </c>
      <c r="P347">
        <f t="shared" si="130"/>
        <v>9.114139733797531</v>
      </c>
      <c r="Q347">
        <f t="shared" si="128"/>
        <v>9.0864466438621463</v>
      </c>
      <c r="R347">
        <f t="shared" si="131"/>
        <v>9.0868464133266098</v>
      </c>
      <c r="S347">
        <f t="shared" si="131"/>
        <v>9.5727437153868209</v>
      </c>
      <c r="T347">
        <f t="shared" si="112"/>
        <v>-1.0194755736895349</v>
      </c>
      <c r="U347">
        <f t="shared" si="113"/>
        <v>1.0194755736895349</v>
      </c>
      <c r="V347">
        <f t="shared" si="120"/>
        <v>9.6027026124093613</v>
      </c>
      <c r="W347">
        <f t="shared" si="114"/>
        <v>0.9895166766669945</v>
      </c>
      <c r="X347">
        <f t="shared" si="121"/>
        <v>9.4380007010614495</v>
      </c>
      <c r="Y347">
        <f t="shared" si="115"/>
        <v>1.1542185880149063</v>
      </c>
      <c r="Z347">
        <f t="shared" si="122"/>
        <v>9.4580726616730999</v>
      </c>
      <c r="AA347">
        <f t="shared" si="116"/>
        <v>1.1341466274032559</v>
      </c>
      <c r="AB347">
        <f t="shared" si="117"/>
        <v>3.1650192890763558</v>
      </c>
      <c r="AC347">
        <f t="shared" si="118"/>
        <v>9.3403777606937801</v>
      </c>
      <c r="AD347">
        <f t="shared" si="119"/>
        <v>1.2518415283825757</v>
      </c>
    </row>
    <row r="348" spans="1:30">
      <c r="A348">
        <v>346</v>
      </c>
      <c r="B348">
        <v>10.920941835864975</v>
      </c>
      <c r="C348">
        <f t="shared" si="123"/>
        <v>10.350129005349402</v>
      </c>
      <c r="D348">
        <f t="shared" si="123"/>
        <v>9.4162814184812564</v>
      </c>
      <c r="E348">
        <f t="shared" si="124"/>
        <v>9.7206037158947272</v>
      </c>
      <c r="F348">
        <f t="shared" si="127"/>
        <v>9.5849952067468731</v>
      </c>
      <c r="G348">
        <f t="shared" si="127"/>
        <v>8.9078076609709331</v>
      </c>
      <c r="H348">
        <f t="shared" si="127"/>
        <v>9.0162070214409749</v>
      </c>
      <c r="I348">
        <f t="shared" si="110"/>
        <v>-1.9047348144239997</v>
      </c>
      <c r="J348">
        <f t="shared" si="125"/>
        <v>9.948947956504</v>
      </c>
      <c r="K348">
        <f t="shared" si="129"/>
        <v>9.1936218531084481</v>
      </c>
      <c r="L348">
        <f t="shared" si="129"/>
        <v>9.0023930913159305</v>
      </c>
      <c r="M348">
        <f t="shared" si="129"/>
        <v>9.2212890328848225</v>
      </c>
      <c r="N348">
        <f t="shared" si="111"/>
        <v>-1.6996528029801521</v>
      </c>
      <c r="O348">
        <f t="shared" si="126"/>
        <v>10.143346732376195</v>
      </c>
      <c r="P348">
        <f t="shared" si="130"/>
        <v>9.2318630512045328</v>
      </c>
      <c r="Q348">
        <f t="shared" si="128"/>
        <v>9.6822364539814618</v>
      </c>
      <c r="R348">
        <f t="shared" si="131"/>
        <v>9.0378647737181783</v>
      </c>
      <c r="S348">
        <f t="shared" si="131"/>
        <v>9.3935996349353363</v>
      </c>
      <c r="T348">
        <f t="shared" si="112"/>
        <v>-1.5273422009296382</v>
      </c>
      <c r="U348">
        <f t="shared" si="113"/>
        <v>1.5273422009296382</v>
      </c>
      <c r="V348">
        <f t="shared" si="120"/>
        <v>9.7016542800760615</v>
      </c>
      <c r="W348">
        <f t="shared" si="114"/>
        <v>1.2192875557889131</v>
      </c>
      <c r="X348">
        <f t="shared" si="121"/>
        <v>9.6688444186644311</v>
      </c>
      <c r="Y348">
        <f t="shared" si="115"/>
        <v>1.2520974172005435</v>
      </c>
      <c r="Z348">
        <f t="shared" si="122"/>
        <v>9.7983166498940761</v>
      </c>
      <c r="AA348">
        <f t="shared" si="116"/>
        <v>1.1226251859708984</v>
      </c>
      <c r="AB348">
        <f t="shared" si="117"/>
        <v>3.4881818358649745</v>
      </c>
      <c r="AC348">
        <f t="shared" si="118"/>
        <v>9.2982683675641002</v>
      </c>
      <c r="AD348">
        <f t="shared" si="119"/>
        <v>1.6226734683008743</v>
      </c>
    </row>
    <row r="349" spans="1:30">
      <c r="A349">
        <v>347</v>
      </c>
      <c r="B349">
        <v>9.0800589783001229</v>
      </c>
      <c r="C349">
        <f t="shared" si="123"/>
        <v>10.756580562470665</v>
      </c>
      <c r="D349">
        <f t="shared" si="123"/>
        <v>9.8174624673266582</v>
      </c>
      <c r="E349">
        <f t="shared" si="124"/>
        <v>10.540399948854592</v>
      </c>
      <c r="F349">
        <f t="shared" si="127"/>
        <v>9.6105733813557155</v>
      </c>
      <c r="G349">
        <f t="shared" si="127"/>
        <v>9.2359928127294353</v>
      </c>
      <c r="H349">
        <f t="shared" si="127"/>
        <v>8.9152921838770443</v>
      </c>
      <c r="I349">
        <f t="shared" si="110"/>
        <v>-0.16476679442307862</v>
      </c>
      <c r="J349">
        <f t="shared" si="125"/>
        <v>10.020688245887289</v>
      </c>
      <c r="K349">
        <f t="shared" si="129"/>
        <v>9.4609910008106919</v>
      </c>
      <c r="L349">
        <f t="shared" si="129"/>
        <v>9.0388601288861814</v>
      </c>
      <c r="M349">
        <f t="shared" si="129"/>
        <v>9.1133771889822057</v>
      </c>
      <c r="N349">
        <f t="shared" si="111"/>
        <v>3.3318210682082849E-2</v>
      </c>
      <c r="O349">
        <f t="shared" si="126"/>
        <v>9.8325623923698551</v>
      </c>
      <c r="P349">
        <f t="shared" si="130"/>
        <v>9.5044190055052873</v>
      </c>
      <c r="Q349">
        <f t="shared" si="128"/>
        <v>9.9584960990235647</v>
      </c>
      <c r="R349">
        <f t="shared" si="131"/>
        <v>9.1848774070617889</v>
      </c>
      <c r="S349">
        <f t="shared" si="131"/>
        <v>9.2494736708599259</v>
      </c>
      <c r="T349">
        <f t="shared" si="112"/>
        <v>0.16941469255980302</v>
      </c>
      <c r="U349">
        <f t="shared" si="113"/>
        <v>-0.16941469255980302</v>
      </c>
      <c r="V349">
        <f t="shared" si="120"/>
        <v>9.8235830356549521</v>
      </c>
      <c r="W349">
        <f t="shared" si="114"/>
        <v>-0.74352405735482918</v>
      </c>
      <c r="X349">
        <f t="shared" si="121"/>
        <v>9.9192639021045395</v>
      </c>
      <c r="Y349">
        <f t="shared" si="115"/>
        <v>-0.83920492380441658</v>
      </c>
      <c r="Z349">
        <f t="shared" si="122"/>
        <v>10.135104205685346</v>
      </c>
      <c r="AA349">
        <f t="shared" si="116"/>
        <v>-1.0550452273852233</v>
      </c>
      <c r="AB349">
        <f t="shared" si="117"/>
        <v>1.6417389783001228</v>
      </c>
      <c r="AC349">
        <f t="shared" si="118"/>
        <v>9.2556784943435879</v>
      </c>
      <c r="AD349">
        <f t="shared" si="119"/>
        <v>-0.17561951604346504</v>
      </c>
    </row>
    <row r="350" spans="1:30">
      <c r="A350">
        <v>348</v>
      </c>
      <c r="B350">
        <v>8.5050128970269139</v>
      </c>
      <c r="C350">
        <f t="shared" si="123"/>
        <v>10.000500407082548</v>
      </c>
      <c r="D350">
        <f t="shared" si="123"/>
        <v>10.553354783910034</v>
      </c>
      <c r="E350">
        <f t="shared" si="124"/>
        <v>10.197740034413817</v>
      </c>
      <c r="F350">
        <f t="shared" si="127"/>
        <v>9.9985092812430665</v>
      </c>
      <c r="G350">
        <f t="shared" si="127"/>
        <v>9.4495040349236561</v>
      </c>
      <c r="H350">
        <f t="shared" si="127"/>
        <v>9.008788467311696</v>
      </c>
      <c r="I350">
        <f t="shared" si="110"/>
        <v>0.50377557028478215</v>
      </c>
      <c r="J350">
        <f t="shared" si="125"/>
        <v>10.175314706215975</v>
      </c>
      <c r="K350">
        <f t="shared" si="129"/>
        <v>9.7193450619971991</v>
      </c>
      <c r="L350">
        <f t="shared" si="129"/>
        <v>9.1431510142543591</v>
      </c>
      <c r="M350">
        <f t="shared" si="129"/>
        <v>9.0636469582341945</v>
      </c>
      <c r="N350">
        <f t="shared" si="111"/>
        <v>0.55863406120728065</v>
      </c>
      <c r="O350">
        <f t="shared" si="126"/>
        <v>9.8412543443781626</v>
      </c>
      <c r="P350">
        <f t="shared" si="130"/>
        <v>9.6248568383347823</v>
      </c>
      <c r="Q350">
        <f t="shared" si="128"/>
        <v>9.9661321066968487</v>
      </c>
      <c r="R350">
        <f t="shared" si="131"/>
        <v>9.3454029082598904</v>
      </c>
      <c r="S350">
        <f t="shared" si="131"/>
        <v>9.1830422581748259</v>
      </c>
      <c r="T350">
        <f t="shared" si="112"/>
        <v>0.67802936114791201</v>
      </c>
      <c r="U350">
        <f t="shared" si="113"/>
        <v>-0.67802936114791201</v>
      </c>
      <c r="V350">
        <f t="shared" si="120"/>
        <v>9.7492306299194684</v>
      </c>
      <c r="W350">
        <f t="shared" si="114"/>
        <v>-1.2442177328925546</v>
      </c>
      <c r="X350">
        <f t="shared" si="121"/>
        <v>9.7514229173436568</v>
      </c>
      <c r="Y350">
        <f t="shared" si="115"/>
        <v>-1.246410020316743</v>
      </c>
      <c r="Z350">
        <f t="shared" si="122"/>
        <v>9.8185906374697787</v>
      </c>
      <c r="AA350">
        <f t="shared" si="116"/>
        <v>-1.3135777404428648</v>
      </c>
      <c r="AB350">
        <f t="shared" si="117"/>
        <v>1.0611328970269138</v>
      </c>
      <c r="AC350">
        <f t="shared" si="118"/>
        <v>9.2126201796072404</v>
      </c>
      <c r="AD350">
        <f t="shared" si="119"/>
        <v>-0.70760728258032657</v>
      </c>
    </row>
    <row r="351" spans="1:30">
      <c r="A351">
        <v>349</v>
      </c>
      <c r="B351">
        <v>9.5459813509091234</v>
      </c>
      <c r="C351">
        <f t="shared" si="123"/>
        <v>8.7925359376635193</v>
      </c>
      <c r="D351">
        <f t="shared" si="123"/>
        <v>10.378540484776607</v>
      </c>
      <c r="E351">
        <f t="shared" si="124"/>
        <v>9.5020045703973377</v>
      </c>
      <c r="F351">
        <f t="shared" si="127"/>
        <v>10.152914566387713</v>
      </c>
      <c r="G351">
        <f t="shared" si="127"/>
        <v>9.731359289781885</v>
      </c>
      <c r="H351">
        <f t="shared" si="127"/>
        <v>9.1977681695413409</v>
      </c>
      <c r="I351">
        <f t="shared" si="110"/>
        <v>-0.34821318136778245</v>
      </c>
      <c r="J351">
        <f t="shared" si="125"/>
        <v>9.7745582500670913</v>
      </c>
      <c r="K351">
        <f t="shared" si="129"/>
        <v>9.9261011939768196</v>
      </c>
      <c r="L351">
        <f t="shared" si="129"/>
        <v>9.3392508235515344</v>
      </c>
      <c r="M351">
        <f t="shared" si="129"/>
        <v>9.0617814905503185</v>
      </c>
      <c r="N351">
        <f t="shared" si="111"/>
        <v>-0.48419986035880491</v>
      </c>
      <c r="O351">
        <f t="shared" si="126"/>
        <v>9.7288428702354981</v>
      </c>
      <c r="P351">
        <f t="shared" si="130"/>
        <v>9.816682061548395</v>
      </c>
      <c r="Q351">
        <f t="shared" si="128"/>
        <v>9.6113041431460324</v>
      </c>
      <c r="R351">
        <f t="shared" si="131"/>
        <v>9.4808361828382051</v>
      </c>
      <c r="S351">
        <f t="shared" si="131"/>
        <v>9.1787131882621278</v>
      </c>
      <c r="T351">
        <f t="shared" si="112"/>
        <v>-0.36726816264699558</v>
      </c>
      <c r="U351">
        <f t="shared" si="113"/>
        <v>0.36726816264699558</v>
      </c>
      <c r="V351">
        <f t="shared" si="120"/>
        <v>9.6248088566302137</v>
      </c>
      <c r="W351">
        <f t="shared" si="114"/>
        <v>-7.8827505721090319E-2</v>
      </c>
      <c r="X351">
        <f t="shared" si="121"/>
        <v>9.502140913280309</v>
      </c>
      <c r="Y351">
        <f t="shared" si="115"/>
        <v>4.3840437628814399E-2</v>
      </c>
      <c r="Z351">
        <f t="shared" si="122"/>
        <v>9.4245173153369191</v>
      </c>
      <c r="AA351">
        <f t="shared" si="116"/>
        <v>0.12146403557220431</v>
      </c>
      <c r="AB351">
        <f t="shared" si="117"/>
        <v>2.0965413509091233</v>
      </c>
      <c r="AC351">
        <f t="shared" si="118"/>
        <v>9.169105592049684</v>
      </c>
      <c r="AD351">
        <f t="shared" si="119"/>
        <v>0.37687575885943936</v>
      </c>
    </row>
    <row r="352" spans="1:30">
      <c r="A352">
        <v>350</v>
      </c>
      <c r="B352">
        <v>8.6934930219908466</v>
      </c>
      <c r="C352">
        <f t="shared" si="123"/>
        <v>9.0254971239680195</v>
      </c>
      <c r="D352">
        <f t="shared" si="123"/>
        <v>9.3965181723730336</v>
      </c>
      <c r="E352">
        <f t="shared" si="124"/>
        <v>9.0436844087453867</v>
      </c>
      <c r="F352">
        <f t="shared" si="127"/>
        <v>10.080048184555251</v>
      </c>
      <c r="G352">
        <f t="shared" si="127"/>
        <v>9.9206657429954976</v>
      </c>
      <c r="H352">
        <f t="shared" si="127"/>
        <v>9.4722853791449921</v>
      </c>
      <c r="I352">
        <f t="shared" si="110"/>
        <v>0.77879235715414552</v>
      </c>
      <c r="J352">
        <f t="shared" si="125"/>
        <v>9.5129987655252837</v>
      </c>
      <c r="K352">
        <f t="shared" si="129"/>
        <v>9.9798772896685897</v>
      </c>
      <c r="L352">
        <f t="shared" si="129"/>
        <v>9.5750147774732888</v>
      </c>
      <c r="M352">
        <f t="shared" si="129"/>
        <v>9.1309137645020009</v>
      </c>
      <c r="N352">
        <f t="shared" si="111"/>
        <v>0.43742074251115426</v>
      </c>
      <c r="O352">
        <f t="shared" si="126"/>
        <v>9.3490976168183959</v>
      </c>
      <c r="P352">
        <f t="shared" si="130"/>
        <v>9.8624026582029991</v>
      </c>
      <c r="Q352">
        <f t="shared" si="128"/>
        <v>9.7920421787999903</v>
      </c>
      <c r="R352">
        <f t="shared" si="131"/>
        <v>9.5678086655099346</v>
      </c>
      <c r="S352">
        <f t="shared" si="131"/>
        <v>9.2149265458131211</v>
      </c>
      <c r="T352">
        <f t="shared" si="112"/>
        <v>0.52143352382227448</v>
      </c>
      <c r="U352">
        <f t="shared" si="113"/>
        <v>-0.52143352382227448</v>
      </c>
      <c r="V352">
        <f t="shared" si="120"/>
        <v>9.6169261060581039</v>
      </c>
      <c r="W352">
        <f t="shared" si="114"/>
        <v>-0.92343308406725733</v>
      </c>
      <c r="X352">
        <f t="shared" si="121"/>
        <v>9.5109090008060715</v>
      </c>
      <c r="Y352">
        <f t="shared" si="115"/>
        <v>-0.81741597881522488</v>
      </c>
      <c r="Z352">
        <f t="shared" si="122"/>
        <v>9.4609565260085802</v>
      </c>
      <c r="AA352">
        <f t="shared" si="116"/>
        <v>-0.76746350401773356</v>
      </c>
      <c r="AB352">
        <f t="shared" si="117"/>
        <v>1.2384930219908465</v>
      </c>
      <c r="AC352">
        <f t="shared" si="118"/>
        <v>9.1251470271050685</v>
      </c>
      <c r="AD352">
        <f t="shared" si="119"/>
        <v>-0.43165400511422192</v>
      </c>
    </row>
    <row r="353" spans="1:30">
      <c r="A353">
        <v>351</v>
      </c>
      <c r="B353">
        <v>8.1841327637923698</v>
      </c>
      <c r="C353">
        <f t="shared" si="123"/>
        <v>9.119737186449985</v>
      </c>
      <c r="D353">
        <f t="shared" si="123"/>
        <v>8.9090165308157694</v>
      </c>
      <c r="E353">
        <f t="shared" si="124"/>
        <v>8.914829089975628</v>
      </c>
      <c r="F353">
        <f t="shared" si="127"/>
        <v>9.5811430045188484</v>
      </c>
      <c r="G353">
        <f t="shared" si="127"/>
        <v>10.077157344062011</v>
      </c>
      <c r="H353">
        <f t="shared" si="127"/>
        <v>9.7005096892336784</v>
      </c>
      <c r="I353">
        <f t="shared" si="110"/>
        <v>1.5163769254413086</v>
      </c>
      <c r="J353">
        <f t="shared" si="125"/>
        <v>8.9561365620567521</v>
      </c>
      <c r="K353">
        <f t="shared" si="129"/>
        <v>9.8708899919239101</v>
      </c>
      <c r="L353">
        <f t="shared" si="129"/>
        <v>9.7715786366133237</v>
      </c>
      <c r="M353">
        <f t="shared" si="129"/>
        <v>9.2740691860413413</v>
      </c>
      <c r="N353">
        <f t="shared" si="111"/>
        <v>1.0899364222489716</v>
      </c>
      <c r="O353">
        <f t="shared" si="126"/>
        <v>8.8017358024038757</v>
      </c>
      <c r="P353">
        <f t="shared" si="130"/>
        <v>9.7790207912356202</v>
      </c>
      <c r="Q353">
        <f t="shared" si="128"/>
        <v>9.5562845621947226</v>
      </c>
      <c r="R353">
        <f t="shared" si="131"/>
        <v>9.6827762709183389</v>
      </c>
      <c r="S353">
        <f t="shared" si="131"/>
        <v>9.2839393917857684</v>
      </c>
      <c r="T353">
        <f t="shared" si="112"/>
        <v>1.0998066279933987</v>
      </c>
      <c r="U353">
        <f t="shared" si="113"/>
        <v>-1.0998066279933987</v>
      </c>
      <c r="V353">
        <f t="shared" si="120"/>
        <v>9.5245827976513784</v>
      </c>
      <c r="W353">
        <f t="shared" si="114"/>
        <v>-1.3404500338590086</v>
      </c>
      <c r="X353">
        <f t="shared" si="121"/>
        <v>9.3474258050430272</v>
      </c>
      <c r="Y353">
        <f t="shared" si="115"/>
        <v>-1.1632930412506575</v>
      </c>
      <c r="Z353">
        <f t="shared" si="122"/>
        <v>9.2307174748032601</v>
      </c>
      <c r="AA353">
        <f t="shared" si="116"/>
        <v>-1.0465847110108903</v>
      </c>
      <c r="AB353">
        <f t="shared" si="117"/>
        <v>0.72357276379236968</v>
      </c>
      <c r="AC353">
        <f t="shared" si="118"/>
        <v>9.0807569035317339</v>
      </c>
      <c r="AD353">
        <f t="shared" si="119"/>
        <v>-0.89662413973936417</v>
      </c>
    </row>
    <row r="354" spans="1:30">
      <c r="A354">
        <v>352</v>
      </c>
      <c r="B354">
        <v>9.6875090049530215</v>
      </c>
      <c r="C354">
        <f t="shared" si="123"/>
        <v>8.4388128928916082</v>
      </c>
      <c r="D354">
        <f t="shared" si="123"/>
        <v>9.0726171552090022</v>
      </c>
      <c r="E354">
        <f t="shared" si="124"/>
        <v>8.8078690455641127</v>
      </c>
      <c r="F354">
        <f t="shared" si="127"/>
        <v>9.1535060230394496</v>
      </c>
      <c r="G354">
        <f t="shared" si="127"/>
        <v>9.9380352518206028</v>
      </c>
      <c r="H354">
        <f t="shared" si="127"/>
        <v>9.9097274589464632</v>
      </c>
      <c r="I354">
        <f t="shared" si="110"/>
        <v>0.22221845399344176</v>
      </c>
      <c r="J354">
        <f t="shared" si="125"/>
        <v>8.7321550084298138</v>
      </c>
      <c r="K354">
        <f t="shared" si="129"/>
        <v>9.6047520709662741</v>
      </c>
      <c r="L354">
        <f t="shared" si="129"/>
        <v>9.8740533843916296</v>
      </c>
      <c r="M354">
        <f t="shared" si="129"/>
        <v>9.4572488129731269</v>
      </c>
      <c r="N354">
        <f t="shared" si="111"/>
        <v>-0.23026019197989456</v>
      </c>
      <c r="O354">
        <f t="shared" si="126"/>
        <v>8.9232258077344557</v>
      </c>
      <c r="P354">
        <f t="shared" si="130"/>
        <v>9.5106986052411564</v>
      </c>
      <c r="Q354">
        <f t="shared" si="128"/>
        <v>9.1549368079807252</v>
      </c>
      <c r="R354">
        <f t="shared" si="131"/>
        <v>9.7610825906404362</v>
      </c>
      <c r="S354">
        <f t="shared" si="131"/>
        <v>9.383261034717723</v>
      </c>
      <c r="T354">
        <f t="shared" si="112"/>
        <v>-0.30424797023529848</v>
      </c>
      <c r="U354">
        <f t="shared" si="113"/>
        <v>0.30424797023529848</v>
      </c>
      <c r="V354">
        <f t="shared" si="120"/>
        <v>9.3905377942654766</v>
      </c>
      <c r="W354">
        <f t="shared" si="114"/>
        <v>0.29697121068754484</v>
      </c>
      <c r="X354">
        <f t="shared" si="121"/>
        <v>9.1147671967928954</v>
      </c>
      <c r="Y354">
        <f t="shared" si="115"/>
        <v>0.5727418081601261</v>
      </c>
      <c r="Z354">
        <f t="shared" si="122"/>
        <v>8.9167420614999937</v>
      </c>
      <c r="AA354">
        <f t="shared" si="116"/>
        <v>0.77076694345302776</v>
      </c>
      <c r="AB354">
        <f t="shared" si="117"/>
        <v>2.2213890049530214</v>
      </c>
      <c r="AC354">
        <f t="shared" si="118"/>
        <v>9.0359477599626459</v>
      </c>
      <c r="AD354">
        <f t="shared" si="119"/>
        <v>0.6515612449903756</v>
      </c>
    </row>
    <row r="355" spans="1:30">
      <c r="A355">
        <v>353</v>
      </c>
      <c r="B355">
        <v>11.312928252655905</v>
      </c>
      <c r="C355">
        <f t="shared" si="123"/>
        <v>8.9358208843726956</v>
      </c>
      <c r="D355">
        <f t="shared" si="123"/>
        <v>8.7792750396707966</v>
      </c>
      <c r="E355">
        <f t="shared" si="124"/>
        <v>8.8550449302454126</v>
      </c>
      <c r="F355">
        <f t="shared" si="127"/>
        <v>8.9221275147617103</v>
      </c>
      <c r="G355">
        <f t="shared" si="127"/>
        <v>9.6048990707045174</v>
      </c>
      <c r="H355">
        <f t="shared" si="127"/>
        <v>9.9786194462927043</v>
      </c>
      <c r="I355">
        <f t="shared" si="110"/>
        <v>-1.3343088063632003</v>
      </c>
      <c r="J355">
        <f t="shared" si="125"/>
        <v>9.0277790354113403</v>
      </c>
      <c r="K355">
        <f t="shared" si="129"/>
        <v>9.2439621465197348</v>
      </c>
      <c r="L355">
        <f t="shared" si="129"/>
        <v>9.8454051366338984</v>
      </c>
      <c r="M355">
        <f t="shared" si="129"/>
        <v>9.639974405507445</v>
      </c>
      <c r="N355">
        <f t="shared" si="111"/>
        <v>-1.6729538471484595</v>
      </c>
      <c r="O355">
        <f t="shared" si="126"/>
        <v>9.4848088788602531</v>
      </c>
      <c r="P355">
        <f t="shared" si="130"/>
        <v>9.3288312883140776</v>
      </c>
      <c r="Q355">
        <f t="shared" si="128"/>
        <v>8.9493646694954005</v>
      </c>
      <c r="R355">
        <f t="shared" si="131"/>
        <v>9.6731993163069809</v>
      </c>
      <c r="S355">
        <f t="shared" si="131"/>
        <v>9.5037973375380993</v>
      </c>
      <c r="T355">
        <f t="shared" si="112"/>
        <v>-1.8091309151178052</v>
      </c>
      <c r="U355">
        <f t="shared" si="113"/>
        <v>1.8091309151178052</v>
      </c>
      <c r="V355">
        <f t="shared" si="120"/>
        <v>9.4202349153342304</v>
      </c>
      <c r="W355">
        <f t="shared" si="114"/>
        <v>1.8926933373216741</v>
      </c>
      <c r="X355">
        <f t="shared" si="121"/>
        <v>9.2293155584249202</v>
      </c>
      <c r="Y355">
        <f t="shared" si="115"/>
        <v>2.0836126942309843</v>
      </c>
      <c r="Z355">
        <f t="shared" si="122"/>
        <v>9.1479721445359026</v>
      </c>
      <c r="AA355">
        <f t="shared" si="116"/>
        <v>2.1649561081200019</v>
      </c>
      <c r="AB355">
        <f t="shared" si="117"/>
        <v>3.8412482526559044</v>
      </c>
      <c r="AC355">
        <f t="shared" si="118"/>
        <v>8.9907322514225125</v>
      </c>
      <c r="AD355">
        <f t="shared" si="119"/>
        <v>2.322196001233392</v>
      </c>
    </row>
    <row r="356" spans="1:30">
      <c r="A356">
        <v>354</v>
      </c>
      <c r="B356">
        <v>8.9576623957678514</v>
      </c>
      <c r="C356">
        <f t="shared" si="123"/>
        <v>10.500218628804463</v>
      </c>
      <c r="D356">
        <f t="shared" si="123"/>
        <v>8.6873168886321519</v>
      </c>
      <c r="E356">
        <f t="shared" si="124"/>
        <v>9.7281900071337652</v>
      </c>
      <c r="F356">
        <f t="shared" si="127"/>
        <v>8.8592476885950511</v>
      </c>
      <c r="G356">
        <f t="shared" si="127"/>
        <v>9.2189255141066706</v>
      </c>
      <c r="H356">
        <f t="shared" si="127"/>
        <v>9.8733638888623769</v>
      </c>
      <c r="I356">
        <f t="shared" si="110"/>
        <v>0.91570149309452553</v>
      </c>
      <c r="J356">
        <f t="shared" si="125"/>
        <v>9.4695157608480365</v>
      </c>
      <c r="K356">
        <f t="shared" si="129"/>
        <v>9.0572673428557984</v>
      </c>
      <c r="L356">
        <f t="shared" si="129"/>
        <v>9.6748703747696272</v>
      </c>
      <c r="M356">
        <f t="shared" si="129"/>
        <v>9.7665129837780356</v>
      </c>
      <c r="N356">
        <f t="shared" si="111"/>
        <v>0.80885058801018417</v>
      </c>
      <c r="O356">
        <f t="shared" si="126"/>
        <v>9.3671450878320002</v>
      </c>
      <c r="P356">
        <f t="shared" si="130"/>
        <v>9.2575421952104957</v>
      </c>
      <c r="Q356">
        <f t="shared" si="128"/>
        <v>9.3215095485546957</v>
      </c>
      <c r="R356">
        <f t="shared" si="131"/>
        <v>9.5050107447189536</v>
      </c>
      <c r="S356">
        <f t="shared" si="131"/>
        <v>9.5851843224122977</v>
      </c>
      <c r="T356">
        <f t="shared" si="112"/>
        <v>0.62752192664444628</v>
      </c>
      <c r="U356">
        <f t="shared" si="113"/>
        <v>-0.62752192664444628</v>
      </c>
      <c r="V356">
        <f t="shared" si="120"/>
        <v>9.6095042490663971</v>
      </c>
      <c r="W356">
        <f t="shared" si="114"/>
        <v>-0.65184185329854571</v>
      </c>
      <c r="X356">
        <f t="shared" si="121"/>
        <v>9.6460380972711164</v>
      </c>
      <c r="Y356">
        <f t="shared" si="115"/>
        <v>-0.68837570150326499</v>
      </c>
      <c r="Z356">
        <f t="shared" si="122"/>
        <v>9.7974589769719032</v>
      </c>
      <c r="AA356">
        <f t="shared" si="116"/>
        <v>-0.83979658120405176</v>
      </c>
      <c r="AB356">
        <f t="shared" si="117"/>
        <v>1.4804223957678513</v>
      </c>
      <c r="AC356">
        <f t="shared" si="118"/>
        <v>8.9451231458126053</v>
      </c>
      <c r="AD356">
        <f t="shared" si="119"/>
        <v>1.2539249955246135E-2</v>
      </c>
    </row>
    <row r="357" spans="1:30">
      <c r="A357">
        <v>355</v>
      </c>
      <c r="B357">
        <v>7.9037429528727188</v>
      </c>
      <c r="C357">
        <f t="shared" si="123"/>
        <v>10.135295324211878</v>
      </c>
      <c r="D357">
        <f t="shared" si="123"/>
        <v>9.7180197565885784</v>
      </c>
      <c r="E357">
        <f t="shared" si="124"/>
        <v>9.9860332177922597</v>
      </c>
      <c r="F357">
        <f t="shared" si="127"/>
        <v>9.1303679943144296</v>
      </c>
      <c r="G357">
        <f t="shared" si="127"/>
        <v>8.9782937421320703</v>
      </c>
      <c r="H357">
        <f t="shared" si="127"/>
        <v>9.5872866122105975</v>
      </c>
      <c r="I357">
        <f t="shared" si="110"/>
        <v>1.6835436593378788</v>
      </c>
      <c r="J357">
        <f t="shared" si="125"/>
        <v>9.5355581042922868</v>
      </c>
      <c r="K357">
        <f t="shared" si="129"/>
        <v>9.0463965916864844</v>
      </c>
      <c r="L357">
        <f t="shared" si="129"/>
        <v>9.4442178880664294</v>
      </c>
      <c r="M357">
        <f t="shared" si="129"/>
        <v>9.7914768831021188</v>
      </c>
      <c r="N357">
        <f t="shared" si="111"/>
        <v>1.8877339302294001</v>
      </c>
      <c r="O357">
        <f t="shared" si="126"/>
        <v>9.2091950740083739</v>
      </c>
      <c r="P357">
        <f t="shared" si="130"/>
        <v>9.1852026387297965</v>
      </c>
      <c r="Q357">
        <f t="shared" si="128"/>
        <v>9.3969511316781862</v>
      </c>
      <c r="R357">
        <f t="shared" si="131"/>
        <v>9.3975736516952608</v>
      </c>
      <c r="S357">
        <f t="shared" si="131"/>
        <v>9.611785628488807</v>
      </c>
      <c r="T357">
        <f t="shared" si="112"/>
        <v>1.7080426756160882</v>
      </c>
      <c r="U357">
        <f t="shared" si="113"/>
        <v>-1.7080426756160882</v>
      </c>
      <c r="V357">
        <f t="shared" si="120"/>
        <v>9.5443200637365422</v>
      </c>
      <c r="W357">
        <f t="shared" si="114"/>
        <v>-1.6405771108638234</v>
      </c>
      <c r="X357">
        <f t="shared" si="121"/>
        <v>9.5083629569704637</v>
      </c>
      <c r="Y357">
        <f t="shared" si="115"/>
        <v>-1.604620004097745</v>
      </c>
      <c r="Z357">
        <f t="shared" si="122"/>
        <v>9.5455200026106883</v>
      </c>
      <c r="AA357">
        <f t="shared" si="116"/>
        <v>-1.6417770497379696</v>
      </c>
      <c r="AB357">
        <f t="shared" si="117"/>
        <v>0.42094295287271866</v>
      </c>
      <c r="AC357">
        <f t="shared" si="118"/>
        <v>8.8991333203641609</v>
      </c>
      <c r="AD357">
        <f t="shared" si="119"/>
        <v>-0.99539036749144216</v>
      </c>
    </row>
    <row r="358" spans="1:30">
      <c r="A358">
        <v>356</v>
      </c>
      <c r="B358">
        <v>10.465798878729728</v>
      </c>
      <c r="C358">
        <f t="shared" si="123"/>
        <v>8.4307026743202851</v>
      </c>
      <c r="D358">
        <f t="shared" si="123"/>
        <v>10.317756976508171</v>
      </c>
      <c r="E358">
        <f t="shared" si="124"/>
        <v>9.3914445337654922</v>
      </c>
      <c r="F358">
        <f t="shared" si="127"/>
        <v>9.5230893850571459</v>
      </c>
      <c r="G358">
        <f t="shared" si="127"/>
        <v>8.9705810658903964</v>
      </c>
      <c r="H358">
        <f t="shared" si="127"/>
        <v>9.2673727756477522</v>
      </c>
      <c r="I358">
        <f t="shared" si="110"/>
        <v>-1.1984261030819763</v>
      </c>
      <c r="J358">
        <f t="shared" si="125"/>
        <v>9.465460651562374</v>
      </c>
      <c r="K358">
        <f t="shared" si="129"/>
        <v>9.1912519772453702</v>
      </c>
      <c r="L358">
        <f t="shared" si="129"/>
        <v>9.238094538007072</v>
      </c>
      <c r="M358">
        <f t="shared" si="129"/>
        <v>9.709636695965397</v>
      </c>
      <c r="N358">
        <f t="shared" si="111"/>
        <v>-0.75616218276433145</v>
      </c>
      <c r="O358">
        <f t="shared" si="126"/>
        <v>9.6655282969958449</v>
      </c>
      <c r="P358">
        <f t="shared" si="130"/>
        <v>9.1572221301677921</v>
      </c>
      <c r="Q358">
        <f t="shared" si="128"/>
        <v>9.1232447320054533</v>
      </c>
      <c r="R358">
        <f t="shared" si="131"/>
        <v>9.3618481497839543</v>
      </c>
      <c r="S358">
        <f t="shared" si="131"/>
        <v>9.5979085399649833</v>
      </c>
      <c r="T358">
        <f t="shared" si="112"/>
        <v>-0.8678903387647452</v>
      </c>
      <c r="U358">
        <f t="shared" si="113"/>
        <v>0.8678903387647452</v>
      </c>
      <c r="V358">
        <f t="shared" si="120"/>
        <v>9.3802623526501598</v>
      </c>
      <c r="W358">
        <f t="shared" si="114"/>
        <v>1.0855365260795686</v>
      </c>
      <c r="X358">
        <f t="shared" si="121"/>
        <v>9.1874389561509151</v>
      </c>
      <c r="Y358">
        <f t="shared" si="115"/>
        <v>1.2783599225788134</v>
      </c>
      <c r="Z358">
        <f t="shared" si="122"/>
        <v>9.0529868876892969</v>
      </c>
      <c r="AA358">
        <f t="shared" si="116"/>
        <v>1.4128119910404315</v>
      </c>
      <c r="AB358">
        <f t="shared" si="117"/>
        <v>2.9774388787297283</v>
      </c>
      <c r="AC358">
        <f t="shared" si="118"/>
        <v>8.8527757580614974</v>
      </c>
      <c r="AD358">
        <f t="shared" si="119"/>
        <v>1.6130231206682311</v>
      </c>
    </row>
    <row r="359" spans="1:30">
      <c r="A359">
        <v>357</v>
      </c>
      <c r="B359">
        <v>8.4449407584940293</v>
      </c>
      <c r="C359">
        <f t="shared" si="123"/>
        <v>9.1847709158012236</v>
      </c>
      <c r="D359">
        <f t="shared" si="123"/>
        <v>9.2829989992660806</v>
      </c>
      <c r="E359">
        <f t="shared" si="124"/>
        <v>9.1090680757901001</v>
      </c>
      <c r="F359">
        <f t="shared" si="127"/>
        <v>9.701889252897173</v>
      </c>
      <c r="G359">
        <f t="shared" si="127"/>
        <v>9.1709016893222088</v>
      </c>
      <c r="H359">
        <f t="shared" si="127"/>
        <v>9.0559334407097118</v>
      </c>
      <c r="I359">
        <f t="shared" si="110"/>
        <v>0.61099268221568259</v>
      </c>
      <c r="J359">
        <f t="shared" si="125"/>
        <v>9.6600331200065508</v>
      </c>
      <c r="K359">
        <f t="shared" si="129"/>
        <v>9.3745783880285085</v>
      </c>
      <c r="L359">
        <f t="shared" si="129"/>
        <v>9.1347195145768474</v>
      </c>
      <c r="M359">
        <f t="shared" si="129"/>
        <v>9.5506469843692567</v>
      </c>
      <c r="N359">
        <f t="shared" si="111"/>
        <v>1.1057062258752275</v>
      </c>
      <c r="O359">
        <f t="shared" si="126"/>
        <v>9.4170146477040468</v>
      </c>
      <c r="P359">
        <f t="shared" si="130"/>
        <v>9.3299806290861849</v>
      </c>
      <c r="Q359">
        <f t="shared" si="128"/>
        <v>9.4186290414619318</v>
      </c>
      <c r="R359">
        <f t="shared" si="131"/>
        <v>9.25038190865153</v>
      </c>
      <c r="S359">
        <f t="shared" si="131"/>
        <v>9.5635817873439866</v>
      </c>
      <c r="T359">
        <f t="shared" si="112"/>
        <v>1.1186410288499573</v>
      </c>
      <c r="U359">
        <f t="shared" si="113"/>
        <v>-1.1186410288499573</v>
      </c>
      <c r="V359">
        <f t="shared" si="120"/>
        <v>9.4888160052581174</v>
      </c>
      <c r="W359">
        <f t="shared" si="114"/>
        <v>-1.0438752467640882</v>
      </c>
      <c r="X359">
        <f t="shared" si="121"/>
        <v>9.4431109406666778</v>
      </c>
      <c r="Y359">
        <f t="shared" si="115"/>
        <v>-0.99817018217264852</v>
      </c>
      <c r="Z359">
        <f t="shared" si="122"/>
        <v>9.4768304850014271</v>
      </c>
      <c r="AA359">
        <f t="shared" si="116"/>
        <v>-1.0318897265073979</v>
      </c>
      <c r="AB359">
        <f t="shared" si="117"/>
        <v>0.95102075849402912</v>
      </c>
      <c r="AC359">
        <f t="shared" si="118"/>
        <v>8.8060635440356823</v>
      </c>
      <c r="AD359">
        <f t="shared" si="119"/>
        <v>-0.361122785541653</v>
      </c>
    </row>
    <row r="360" spans="1:30">
      <c r="A360">
        <v>358</v>
      </c>
      <c r="B360">
        <v>8.0973067892936665</v>
      </c>
      <c r="C360">
        <f t="shared" si="123"/>
        <v>9.455369818611878</v>
      </c>
      <c r="D360">
        <f t="shared" si="123"/>
        <v>8.8077367950607552</v>
      </c>
      <c r="E360">
        <f t="shared" si="124"/>
        <v>8.938160863365491</v>
      </c>
      <c r="F360">
        <f t="shared" si="127"/>
        <v>9.4955152757826173</v>
      </c>
      <c r="G360">
        <f t="shared" si="127"/>
        <v>9.4517822107562495</v>
      </c>
      <c r="H360">
        <f t="shared" si="127"/>
        <v>9.0399254991148918</v>
      </c>
      <c r="I360">
        <f t="shared" si="110"/>
        <v>0.94261870982122531</v>
      </c>
      <c r="J360">
        <f t="shared" si="125"/>
        <v>8.9430362464660824</v>
      </c>
      <c r="K360">
        <f t="shared" si="129"/>
        <v>9.5326419091773129</v>
      </c>
      <c r="L360">
        <f t="shared" si="129"/>
        <v>9.1673735749540413</v>
      </c>
      <c r="M360">
        <f t="shared" si="129"/>
        <v>9.3729755788549944</v>
      </c>
      <c r="N360">
        <f t="shared" si="111"/>
        <v>1.2756687895613279</v>
      </c>
      <c r="O360">
        <f t="shared" si="126"/>
        <v>8.7738903550316003</v>
      </c>
      <c r="P360">
        <f t="shared" si="130"/>
        <v>9.4287383970801049</v>
      </c>
      <c r="Q360">
        <f t="shared" si="128"/>
        <v>9.4620970405788754</v>
      </c>
      <c r="R360">
        <f t="shared" si="131"/>
        <v>9.2274393218627324</v>
      </c>
      <c r="S360">
        <f t="shared" si="131"/>
        <v>9.491516060299519</v>
      </c>
      <c r="T360">
        <f t="shared" si="112"/>
        <v>1.3942092710058525</v>
      </c>
      <c r="U360">
        <f t="shared" si="113"/>
        <v>-1.3942092710058525</v>
      </c>
      <c r="V360">
        <f t="shared" si="120"/>
        <v>9.3844284805817093</v>
      </c>
      <c r="W360">
        <f t="shared" si="114"/>
        <v>-1.2871216912880428</v>
      </c>
      <c r="X360">
        <f t="shared" si="121"/>
        <v>9.2434769042321481</v>
      </c>
      <c r="Y360">
        <f t="shared" si="115"/>
        <v>-1.1461701149384815</v>
      </c>
      <c r="Z360">
        <f t="shared" si="122"/>
        <v>9.1672635670492078</v>
      </c>
      <c r="AA360">
        <f t="shared" si="116"/>
        <v>-1.0699567777555412</v>
      </c>
      <c r="AB360">
        <f t="shared" si="117"/>
        <v>0.59782678929366639</v>
      </c>
      <c r="AC360">
        <f t="shared" si="118"/>
        <v>8.7590098619298757</v>
      </c>
      <c r="AD360">
        <f t="shared" si="119"/>
        <v>-0.6617030726362092</v>
      </c>
    </row>
    <row r="361" spans="1:30">
      <c r="A361">
        <v>359</v>
      </c>
      <c r="B361">
        <v>7.3089260953840558</v>
      </c>
      <c r="C361">
        <f t="shared" si="123"/>
        <v>8.2711237738938479</v>
      </c>
      <c r="D361">
        <f t="shared" si="123"/>
        <v>9.3200703672065508</v>
      </c>
      <c r="E361">
        <f t="shared" si="124"/>
        <v>9.0026821421724748</v>
      </c>
      <c r="F361">
        <f t="shared" si="127"/>
        <v>9.1462244909736938</v>
      </c>
      <c r="G361">
        <f t="shared" si="127"/>
        <v>9.5734979712456454</v>
      </c>
      <c r="H361">
        <f t="shared" si="127"/>
        <v>9.1977549886562855</v>
      </c>
      <c r="I361">
        <f t="shared" si="110"/>
        <v>1.8888288932722297</v>
      </c>
      <c r="J361">
        <f t="shared" si="125"/>
        <v>8.7279473448475358</v>
      </c>
      <c r="K361">
        <f t="shared" si="129"/>
        <v>9.4010220305818244</v>
      </c>
      <c r="L361">
        <f t="shared" si="129"/>
        <v>9.2862172165344194</v>
      </c>
      <c r="M361">
        <f t="shared" si="129"/>
        <v>9.2461013789010984</v>
      </c>
      <c r="N361">
        <f t="shared" si="111"/>
        <v>1.9371752835170426</v>
      </c>
      <c r="O361">
        <f t="shared" si="126"/>
        <v>8.4441430949548391</v>
      </c>
      <c r="P361">
        <f t="shared" si="130"/>
        <v>9.2865546923143736</v>
      </c>
      <c r="Q361">
        <f t="shared" si="128"/>
        <v>9.1970633379689826</v>
      </c>
      <c r="R361">
        <f t="shared" si="131"/>
        <v>9.2786326939624235</v>
      </c>
      <c r="S361">
        <f t="shared" si="131"/>
        <v>9.4025755155032353</v>
      </c>
      <c r="T361">
        <f t="shared" si="112"/>
        <v>2.0936494201191795</v>
      </c>
      <c r="U361">
        <f t="shared" si="113"/>
        <v>-2.0936494201191795</v>
      </c>
      <c r="V361">
        <f t="shared" si="120"/>
        <v>9.2557163114529057</v>
      </c>
      <c r="W361">
        <f t="shared" si="114"/>
        <v>-1.9467902160688499</v>
      </c>
      <c r="X361">
        <f t="shared" si="121"/>
        <v>9.0142428812444511</v>
      </c>
      <c r="Y361">
        <f t="shared" si="115"/>
        <v>-1.7053167858603953</v>
      </c>
      <c r="Z361">
        <f t="shared" si="122"/>
        <v>8.8462765337225449</v>
      </c>
      <c r="AA361">
        <f t="shared" si="116"/>
        <v>-1.5373504383384891</v>
      </c>
      <c r="AB361">
        <f t="shared" si="117"/>
        <v>-0.19611390461594436</v>
      </c>
      <c r="AC361">
        <f t="shared" si="118"/>
        <v>8.711627990237286</v>
      </c>
      <c r="AD361">
        <f t="shared" si="119"/>
        <v>-1.4027018948532302</v>
      </c>
    </row>
    <row r="362" spans="1:30">
      <c r="A362">
        <v>360</v>
      </c>
      <c r="B362">
        <v>8.4928682072642339</v>
      </c>
      <c r="C362">
        <f t="shared" si="123"/>
        <v>7.7031164423388612</v>
      </c>
      <c r="D362">
        <f t="shared" si="123"/>
        <v>8.8632467962528629</v>
      </c>
      <c r="E362">
        <f t="shared" si="124"/>
        <v>7.9503912143905842</v>
      </c>
      <c r="F362">
        <f t="shared" si="127"/>
        <v>9.0166370271093559</v>
      </c>
      <c r="G362">
        <f t="shared" si="127"/>
        <v>9.4478763398844947</v>
      </c>
      <c r="H362">
        <f t="shared" si="127"/>
        <v>9.3987272904413661</v>
      </c>
      <c r="I362">
        <f t="shared" si="110"/>
        <v>0.90585908317713226</v>
      </c>
      <c r="J362">
        <f t="shared" si="125"/>
        <v>8.5792431304753691</v>
      </c>
      <c r="K362">
        <f t="shared" si="129"/>
        <v>9.1991193407206353</v>
      </c>
      <c r="L362">
        <f t="shared" si="129"/>
        <v>9.3748735762582527</v>
      </c>
      <c r="M362">
        <f t="shared" si="129"/>
        <v>9.2066012110180946</v>
      </c>
      <c r="N362">
        <f t="shared" si="111"/>
        <v>0.71373300375386073</v>
      </c>
      <c r="O362">
        <f t="shared" si="126"/>
        <v>8.5619681458331431</v>
      </c>
      <c r="P362">
        <f t="shared" si="130"/>
        <v>9.1019542937389417</v>
      </c>
      <c r="Q362">
        <f t="shared" si="128"/>
        <v>8.5297296450903417</v>
      </c>
      <c r="R362">
        <f t="shared" si="131"/>
        <v>9.3199158053746878</v>
      </c>
      <c r="S362">
        <f t="shared" si="131"/>
        <v>9.3368144117791427</v>
      </c>
      <c r="T362">
        <f t="shared" si="112"/>
        <v>0.84394620451490887</v>
      </c>
      <c r="U362">
        <f t="shared" si="113"/>
        <v>-0.84394620451490887</v>
      </c>
      <c r="V362">
        <f t="shared" si="120"/>
        <v>9.0610372898460199</v>
      </c>
      <c r="W362">
        <f t="shared" si="114"/>
        <v>-0.568169082581786</v>
      </c>
      <c r="X362">
        <f t="shared" si="121"/>
        <v>8.6731795240723724</v>
      </c>
      <c r="Y362">
        <f t="shared" si="115"/>
        <v>-0.1803113168081385</v>
      </c>
      <c r="Z362">
        <f t="shared" si="122"/>
        <v>8.3850714022209978</v>
      </c>
      <c r="AA362">
        <f t="shared" si="116"/>
        <v>0.10779680504323608</v>
      </c>
      <c r="AB362">
        <f t="shared" si="117"/>
        <v>0.98226820726423369</v>
      </c>
      <c r="AC362">
        <f t="shared" si="118"/>
        <v>8.6639312986127859</v>
      </c>
      <c r="AD362">
        <f t="shared" si="119"/>
        <v>-0.17106309134855202</v>
      </c>
    </row>
    <row r="363" spans="1:30">
      <c r="A363">
        <v>361</v>
      </c>
      <c r="B363">
        <v>6.5492104618438542</v>
      </c>
      <c r="C363">
        <f t="shared" si="123"/>
        <v>7.9008971513241448</v>
      </c>
      <c r="D363">
        <f t="shared" si="123"/>
        <v>7.9871201081163541</v>
      </c>
      <c r="E363">
        <f t="shared" si="124"/>
        <v>7.9663670306473193</v>
      </c>
      <c r="F363">
        <f t="shared" si="127"/>
        <v>8.6304114066428497</v>
      </c>
      <c r="G363">
        <f t="shared" si="127"/>
        <v>9.2194589312885551</v>
      </c>
      <c r="H363">
        <f t="shared" si="127"/>
        <v>9.4910521739621299</v>
      </c>
      <c r="I363">
        <f t="shared" si="110"/>
        <v>2.9418417121182756</v>
      </c>
      <c r="J363">
        <f t="shared" si="125"/>
        <v>8.0860104626089964</v>
      </c>
      <c r="K363">
        <f t="shared" si="129"/>
        <v>8.9775649604488841</v>
      </c>
      <c r="L363">
        <f t="shared" si="129"/>
        <v>9.3768404171270703</v>
      </c>
      <c r="M363">
        <f t="shared" si="129"/>
        <v>9.2407959705808906</v>
      </c>
      <c r="N363">
        <f t="shared" si="111"/>
        <v>2.6915855087370364</v>
      </c>
      <c r="O363">
        <f t="shared" si="126"/>
        <v>7.7786504624559685</v>
      </c>
      <c r="P363">
        <f t="shared" si="130"/>
        <v>8.9725089081038938</v>
      </c>
      <c r="Q363">
        <f t="shared" si="128"/>
        <v>8.452263947006406</v>
      </c>
      <c r="R363">
        <f t="shared" si="131"/>
        <v>9.1879524881306285</v>
      </c>
      <c r="S363">
        <f t="shared" si="131"/>
        <v>9.3059652552217642</v>
      </c>
      <c r="T363">
        <f t="shared" si="112"/>
        <v>2.75675479337791</v>
      </c>
      <c r="U363">
        <f t="shared" si="113"/>
        <v>-2.75675479337791</v>
      </c>
      <c r="V363">
        <f t="shared" si="120"/>
        <v>9.0042203815878405</v>
      </c>
      <c r="W363">
        <f t="shared" si="114"/>
        <v>-2.4550099197439863</v>
      </c>
      <c r="X363">
        <f t="shared" si="121"/>
        <v>8.6371172607107454</v>
      </c>
      <c r="Y363">
        <f t="shared" si="115"/>
        <v>-2.0879067988668911</v>
      </c>
      <c r="Z363">
        <f t="shared" si="122"/>
        <v>8.417410443733969</v>
      </c>
      <c r="AA363">
        <f t="shared" si="116"/>
        <v>-1.8681999818901147</v>
      </c>
      <c r="AB363">
        <f t="shared" si="117"/>
        <v>-0.96694953815614593</v>
      </c>
      <c r="AC363">
        <f t="shared" si="118"/>
        <v>8.6159332441592049</v>
      </c>
      <c r="AD363">
        <f t="shared" si="119"/>
        <v>-2.0667227823153507</v>
      </c>
    </row>
    <row r="364" spans="1:30">
      <c r="A364">
        <v>362</v>
      </c>
      <c r="B364">
        <v>7.0986880022043799</v>
      </c>
      <c r="C364">
        <f t="shared" si="123"/>
        <v>7.5210393345540441</v>
      </c>
      <c r="D364">
        <f t="shared" si="123"/>
        <v>7.8020067968315026</v>
      </c>
      <c r="E364">
        <f t="shared" si="124"/>
        <v>7.4503349214973822</v>
      </c>
      <c r="F364">
        <f t="shared" si="127"/>
        <v>8.3064801290701258</v>
      </c>
      <c r="G364">
        <f t="shared" si="127"/>
        <v>8.9310909749086331</v>
      </c>
      <c r="H364">
        <f t="shared" si="127"/>
        <v>9.4136110808062323</v>
      </c>
      <c r="I364">
        <f t="shared" si="110"/>
        <v>2.3149230786018524</v>
      </c>
      <c r="J364">
        <f t="shared" si="125"/>
        <v>7.6120778884464535</v>
      </c>
      <c r="K364">
        <f t="shared" si="129"/>
        <v>8.5840592960994968</v>
      </c>
      <c r="L364">
        <f t="shared" si="129"/>
        <v>9.2775870602321646</v>
      </c>
      <c r="M364">
        <f t="shared" si="129"/>
        <v>9.3013261962184455</v>
      </c>
      <c r="N364">
        <f t="shared" si="111"/>
        <v>2.2026381940140656</v>
      </c>
      <c r="O364">
        <f t="shared" si="126"/>
        <v>7.5093999111980398</v>
      </c>
      <c r="P364">
        <f t="shared" si="130"/>
        <v>8.5951333411959201</v>
      </c>
      <c r="Q364">
        <f t="shared" si="128"/>
        <v>8.2265085318349289</v>
      </c>
      <c r="R364">
        <f t="shared" si="131"/>
        <v>9.0305046240186666</v>
      </c>
      <c r="S364">
        <f t="shared" si="131"/>
        <v>9.2710283946276597</v>
      </c>
      <c r="T364">
        <f t="shared" si="112"/>
        <v>2.1723403924232798</v>
      </c>
      <c r="U364">
        <f t="shared" si="113"/>
        <v>-2.1723403924232798</v>
      </c>
      <c r="V364">
        <f t="shared" si="120"/>
        <v>8.7587193896134412</v>
      </c>
      <c r="W364">
        <f t="shared" si="114"/>
        <v>-1.6600313874090613</v>
      </c>
      <c r="X364">
        <f t="shared" si="121"/>
        <v>8.2195359009373679</v>
      </c>
      <c r="Y364">
        <f t="shared" si="115"/>
        <v>-1.120847898732988</v>
      </c>
      <c r="Z364">
        <f t="shared" si="122"/>
        <v>7.8569504491669342</v>
      </c>
      <c r="AA364">
        <f t="shared" si="116"/>
        <v>-0.75826244696255429</v>
      </c>
      <c r="AB364">
        <f t="shared" si="117"/>
        <v>-0.42303199779562028</v>
      </c>
      <c r="AC364">
        <f t="shared" si="118"/>
        <v>8.5676473676893306</v>
      </c>
      <c r="AD364">
        <f t="shared" si="119"/>
        <v>-1.4689593654849507</v>
      </c>
    </row>
    <row r="365" spans="1:30">
      <c r="A365">
        <v>363</v>
      </c>
      <c r="B365">
        <v>7.9654922543348814</v>
      </c>
      <c r="C365">
        <f t="shared" si="123"/>
        <v>6.8239492320241171</v>
      </c>
      <c r="D365">
        <f t="shared" si="123"/>
        <v>7.710968242939094</v>
      </c>
      <c r="E365">
        <f t="shared" si="124"/>
        <v>7.3802555571041566</v>
      </c>
      <c r="F365">
        <f t="shared" si="127"/>
        <v>7.7890310555117628</v>
      </c>
      <c r="G365">
        <f t="shared" si="127"/>
        <v>8.651176187607442</v>
      </c>
      <c r="H365">
        <f t="shared" si="127"/>
        <v>9.1994754153605616</v>
      </c>
      <c r="I365">
        <f t="shared" si="110"/>
        <v>1.2339831610256802</v>
      </c>
      <c r="J365">
        <f t="shared" si="125"/>
        <v>7.3624231916741314</v>
      </c>
      <c r="K365">
        <f t="shared" si="129"/>
        <v>8.2513197065945896</v>
      </c>
      <c r="L365">
        <f t="shared" si="129"/>
        <v>9.0404414069627101</v>
      </c>
      <c r="M365">
        <f t="shared" si="129"/>
        <v>9.3288795675379763</v>
      </c>
      <c r="N365">
        <f t="shared" si="111"/>
        <v>1.3633873132030949</v>
      </c>
      <c r="O365">
        <f t="shared" si="126"/>
        <v>7.483037004206281</v>
      </c>
      <c r="P365">
        <f t="shared" si="130"/>
        <v>8.2136103938947187</v>
      </c>
      <c r="Q365">
        <f t="shared" si="128"/>
        <v>7.6653233857473708</v>
      </c>
      <c r="R365">
        <f t="shared" si="131"/>
        <v>8.8810485906569117</v>
      </c>
      <c r="S365">
        <f t="shared" si="131"/>
        <v>9.215804473666779</v>
      </c>
      <c r="T365">
        <f t="shared" si="112"/>
        <v>1.2503122193318976</v>
      </c>
      <c r="U365">
        <f t="shared" si="113"/>
        <v>-1.2503122193318976</v>
      </c>
      <c r="V365">
        <f t="shared" si="120"/>
        <v>8.5927162508725345</v>
      </c>
      <c r="W365">
        <f t="shared" si="114"/>
        <v>-0.62722399653765315</v>
      </c>
      <c r="X365">
        <f t="shared" si="121"/>
        <v>7.9953663211907706</v>
      </c>
      <c r="Y365">
        <f t="shared" si="115"/>
        <v>-2.9874066855889225E-2</v>
      </c>
      <c r="Z365">
        <f t="shared" si="122"/>
        <v>7.6294717150781679</v>
      </c>
      <c r="AA365">
        <f t="shared" si="116"/>
        <v>0.33602053925671349</v>
      </c>
      <c r="AB365">
        <f t="shared" si="117"/>
        <v>0.4382122543348812</v>
      </c>
      <c r="AC365">
        <f t="shared" si="118"/>
        <v>8.5190872899646592</v>
      </c>
      <c r="AD365">
        <f t="shared" si="119"/>
        <v>-0.55359503562977785</v>
      </c>
    </row>
    <row r="366" spans="1:30">
      <c r="A366">
        <v>364</v>
      </c>
      <c r="B366">
        <v>9.375835295882716</v>
      </c>
      <c r="C366">
        <f t="shared" si="123"/>
        <v>7.5320901282696306</v>
      </c>
      <c r="D366">
        <f t="shared" si="123"/>
        <v>7.1724942832890806</v>
      </c>
      <c r="E366">
        <f t="shared" si="124"/>
        <v>7.2044635727943716</v>
      </c>
      <c r="F366">
        <f t="shared" si="127"/>
        <v>7.5989858364162863</v>
      </c>
      <c r="G366">
        <f t="shared" si="127"/>
        <v>8.2419741970749119</v>
      </c>
      <c r="H366">
        <f t="shared" si="127"/>
        <v>8.9339086979348767</v>
      </c>
      <c r="I366">
        <f t="shared" si="110"/>
        <v>-0.44192659794783928</v>
      </c>
      <c r="J366">
        <f t="shared" si="125"/>
        <v>7.5265647314118382</v>
      </c>
      <c r="K366">
        <f t="shared" si="129"/>
        <v>7.9099386683012378</v>
      </c>
      <c r="L366">
        <f t="shared" si="129"/>
        <v>8.7530158259659014</v>
      </c>
      <c r="M366">
        <f t="shared" si="129"/>
        <v>9.2674356151450503</v>
      </c>
      <c r="N366">
        <f t="shared" si="111"/>
        <v>-0.1083996807376657</v>
      </c>
      <c r="O366">
        <f t="shared" si="126"/>
        <v>7.8964188443060142</v>
      </c>
      <c r="P366">
        <f t="shared" si="130"/>
        <v>7.9554397237296541</v>
      </c>
      <c r="Q366">
        <f t="shared" si="128"/>
        <v>7.5854153017208468</v>
      </c>
      <c r="R366">
        <f t="shared" si="131"/>
        <v>8.5888309813711512</v>
      </c>
      <c r="S366">
        <f t="shared" si="131"/>
        <v>9.1542489206676745</v>
      </c>
      <c r="T366">
        <f t="shared" si="112"/>
        <v>-0.22158637521504154</v>
      </c>
      <c r="U366">
        <f t="shared" si="113"/>
        <v>0.22158637521504154</v>
      </c>
      <c r="V366">
        <f t="shared" si="120"/>
        <v>8.5299938512187694</v>
      </c>
      <c r="W366">
        <f t="shared" si="114"/>
        <v>0.84584144466394662</v>
      </c>
      <c r="X366">
        <f t="shared" si="121"/>
        <v>7.989391507819593</v>
      </c>
      <c r="Y366">
        <f t="shared" si="115"/>
        <v>1.3864437880631231</v>
      </c>
      <c r="Z366">
        <f t="shared" si="122"/>
        <v>7.7302778768551823</v>
      </c>
      <c r="AA366">
        <f t="shared" si="116"/>
        <v>1.6455574190275337</v>
      </c>
      <c r="AB366">
        <f t="shared" si="117"/>
        <v>1.8429952958827158</v>
      </c>
      <c r="AC366">
        <f t="shared" si="118"/>
        <v>8.4702667079119394</v>
      </c>
      <c r="AD366">
        <f t="shared" si="119"/>
        <v>0.90556858797077666</v>
      </c>
    </row>
    <row r="367" spans="1:30">
      <c r="A367">
        <v>365</v>
      </c>
      <c r="B367">
        <v>7.5058027701921333</v>
      </c>
      <c r="C367">
        <f t="shared" si="123"/>
        <v>8.6706637751087996</v>
      </c>
      <c r="D367">
        <f t="shared" si="123"/>
        <v>7.1780196801468739</v>
      </c>
      <c r="E367">
        <f t="shared" si="124"/>
        <v>8.1466718508073246</v>
      </c>
      <c r="F367">
        <f t="shared" si="127"/>
        <v>7.3450180171319701</v>
      </c>
      <c r="G367">
        <f t="shared" si="127"/>
        <v>7.8981656736660577</v>
      </c>
      <c r="H367">
        <f t="shared" si="127"/>
        <v>8.6080804531969957</v>
      </c>
      <c r="I367">
        <f t="shared" si="110"/>
        <v>1.1022776830048624</v>
      </c>
      <c r="J367">
        <f t="shared" si="125"/>
        <v>7.7473065035664579</v>
      </c>
      <c r="K367">
        <f t="shared" si="129"/>
        <v>7.6467690685353551</v>
      </c>
      <c r="L367">
        <f t="shared" si="129"/>
        <v>8.4307206578610518</v>
      </c>
      <c r="M367">
        <f t="shared" si="129"/>
        <v>9.1119711775719612</v>
      </c>
      <c r="N367">
        <f t="shared" si="111"/>
        <v>1.6061684073798279</v>
      </c>
      <c r="O367">
        <f t="shared" si="126"/>
        <v>7.6990057568915926</v>
      </c>
      <c r="P367">
        <f t="shared" si="130"/>
        <v>7.8458948735998888</v>
      </c>
      <c r="Q367">
        <f t="shared" si="128"/>
        <v>7.7985033861523538</v>
      </c>
      <c r="R367">
        <f t="shared" si="131"/>
        <v>8.2760506915614798</v>
      </c>
      <c r="S367">
        <f t="shared" si="131"/>
        <v>9.0478141972524124</v>
      </c>
      <c r="T367">
        <f t="shared" si="112"/>
        <v>1.5420114270602792</v>
      </c>
      <c r="U367">
        <f t="shared" si="113"/>
        <v>-1.5420114270602792</v>
      </c>
      <c r="V367">
        <f t="shared" si="120"/>
        <v>8.6145779956851634</v>
      </c>
      <c r="W367">
        <f t="shared" si="114"/>
        <v>-1.1087752254930301</v>
      </c>
      <c r="X367">
        <f t="shared" si="121"/>
        <v>8.2666802654322176</v>
      </c>
      <c r="Y367">
        <f t="shared" si="115"/>
        <v>-0.7608774952400843</v>
      </c>
      <c r="Z367">
        <f t="shared" si="122"/>
        <v>8.2239451025634427</v>
      </c>
      <c r="AA367">
        <f t="shared" si="116"/>
        <v>-0.71814233237130942</v>
      </c>
      <c r="AB367">
        <f t="shared" si="117"/>
        <v>-3.2597229807866945E-2</v>
      </c>
      <c r="AC367">
        <f t="shared" si="118"/>
        <v>8.4211993908185612</v>
      </c>
      <c r="AD367">
        <f t="shared" si="119"/>
        <v>-0.9153966206264279</v>
      </c>
    </row>
    <row r="368" spans="1:30">
      <c r="A368">
        <v>366</v>
      </c>
      <c r="B368">
        <v>9.3055301734043869</v>
      </c>
      <c r="C368">
        <f t="shared" si="123"/>
        <v>8.4408190330374246</v>
      </c>
      <c r="D368">
        <f t="shared" si="123"/>
        <v>8.1013769516892147</v>
      </c>
      <c r="E368">
        <f t="shared" si="124"/>
        <v>8.2823767734699114</v>
      </c>
      <c r="F368">
        <f t="shared" si="127"/>
        <v>7.5771303269019512</v>
      </c>
      <c r="G368">
        <f t="shared" si="127"/>
        <v>7.577678303020007</v>
      </c>
      <c r="H368">
        <f t="shared" si="127"/>
        <v>8.2637720194494708</v>
      </c>
      <c r="I368">
        <f t="shared" si="110"/>
        <v>-1.0417581539549161</v>
      </c>
      <c r="J368">
        <f t="shared" si="125"/>
        <v>7.9864545806535272</v>
      </c>
      <c r="K368">
        <f t="shared" si="129"/>
        <v>7.5620930787747209</v>
      </c>
      <c r="L368">
        <f t="shared" si="129"/>
        <v>8.0980216848826689</v>
      </c>
      <c r="M368">
        <f t="shared" si="129"/>
        <v>8.8754412377554566</v>
      </c>
      <c r="N368">
        <f t="shared" si="111"/>
        <v>-0.43008893564893036</v>
      </c>
      <c r="O368">
        <f t="shared" si="126"/>
        <v>8.2502696992036988</v>
      </c>
      <c r="P368">
        <f t="shared" si="130"/>
        <v>7.6733023958115796</v>
      </c>
      <c r="Q368">
        <f t="shared" si="128"/>
        <v>7.831316165287034</v>
      </c>
      <c r="R368">
        <f t="shared" si="131"/>
        <v>8.0429573662587082</v>
      </c>
      <c r="S368">
        <f t="shared" si="131"/>
        <v>8.8807171968522542</v>
      </c>
      <c r="T368">
        <f t="shared" si="112"/>
        <v>-0.42481297655213268</v>
      </c>
      <c r="U368">
        <f t="shared" si="113"/>
        <v>0.42481297655213268</v>
      </c>
      <c r="V368">
        <f t="shared" si="120"/>
        <v>8.5037004731358596</v>
      </c>
      <c r="W368">
        <f t="shared" si="114"/>
        <v>0.80182970026852729</v>
      </c>
      <c r="X368">
        <f t="shared" si="121"/>
        <v>8.1145047663842007</v>
      </c>
      <c r="Y368">
        <f t="shared" si="115"/>
        <v>1.1910254070201862</v>
      </c>
      <c r="Z368">
        <f t="shared" si="122"/>
        <v>8.0085024028520504</v>
      </c>
      <c r="AA368">
        <f t="shared" si="116"/>
        <v>1.2970277705523365</v>
      </c>
      <c r="AB368">
        <f t="shared" si="117"/>
        <v>1.7615701734043867</v>
      </c>
      <c r="AC368">
        <f t="shared" si="118"/>
        <v>8.3718991765078368</v>
      </c>
      <c r="AD368">
        <f t="shared" si="119"/>
        <v>0.93363099689655016</v>
      </c>
    </row>
    <row r="369" spans="1:30">
      <c r="A369">
        <v>367</v>
      </c>
      <c r="B369">
        <v>5.8939859277933149</v>
      </c>
      <c r="C369">
        <f t="shared" si="123"/>
        <v>8.4056664717982592</v>
      </c>
      <c r="D369">
        <f t="shared" si="123"/>
        <v>8.5557414040731121</v>
      </c>
      <c r="E369">
        <f t="shared" si="124"/>
        <v>8.7290560798264121</v>
      </c>
      <c r="F369">
        <f t="shared" si="127"/>
        <v>7.8778373990238704</v>
      </c>
      <c r="G369">
        <f t="shared" si="127"/>
        <v>7.5070447268167362</v>
      </c>
      <c r="H369">
        <f t="shared" si="127"/>
        <v>7.9059393912536597</v>
      </c>
      <c r="I369">
        <f t="shared" si="110"/>
        <v>2.0119534634603449</v>
      </c>
      <c r="J369">
        <f t="shared" si="125"/>
        <v>8.5381651234535294</v>
      </c>
      <c r="K369">
        <f t="shared" si="129"/>
        <v>7.6556872518264889</v>
      </c>
      <c r="L369">
        <f t="shared" si="129"/>
        <v>7.8425301305514754</v>
      </c>
      <c r="M369">
        <f t="shared" si="129"/>
        <v>8.5805498939180822</v>
      </c>
      <c r="N369">
        <f t="shared" si="111"/>
        <v>2.6865639661247673</v>
      </c>
      <c r="O369">
        <f t="shared" si="126"/>
        <v>8.0093292843214865</v>
      </c>
      <c r="P369">
        <f t="shared" si="130"/>
        <v>7.7676262431611249</v>
      </c>
      <c r="Q369">
        <f t="shared" si="128"/>
        <v>7.9667598263103914</v>
      </c>
      <c r="R369">
        <f t="shared" si="131"/>
        <v>7.9265551196248234</v>
      </c>
      <c r="S369">
        <f t="shared" si="131"/>
        <v>8.6678907903329243</v>
      </c>
      <c r="T369">
        <f t="shared" si="112"/>
        <v>2.7739048625396094</v>
      </c>
      <c r="U369">
        <f t="shared" si="113"/>
        <v>-2.7739048625396094</v>
      </c>
      <c r="V369">
        <f t="shared" si="120"/>
        <v>8.583883443162712</v>
      </c>
      <c r="W369">
        <f t="shared" si="114"/>
        <v>-2.6898975153693971</v>
      </c>
      <c r="X369">
        <f t="shared" si="121"/>
        <v>8.3527098477882387</v>
      </c>
      <c r="Y369">
        <f t="shared" si="115"/>
        <v>-2.4587239199949238</v>
      </c>
      <c r="Z369">
        <f t="shared" si="122"/>
        <v>8.3976107340177517</v>
      </c>
      <c r="AA369">
        <f t="shared" si="116"/>
        <v>-2.5036248062244368</v>
      </c>
      <c r="AB369">
        <f t="shared" si="117"/>
        <v>-1.6555340722066854</v>
      </c>
      <c r="AC369">
        <f t="shared" si="118"/>
        <v>8.3223799674952534</v>
      </c>
      <c r="AD369">
        <f t="shared" si="119"/>
        <v>-2.4283940397019386</v>
      </c>
    </row>
    <row r="370" spans="1:30">
      <c r="A370">
        <v>368</v>
      </c>
      <c r="B370">
        <v>7.0746015570920271</v>
      </c>
      <c r="C370">
        <f t="shared" si="123"/>
        <v>7.5997580505988509</v>
      </c>
      <c r="D370">
        <f t="shared" si="123"/>
        <v>8.4232427524178419</v>
      </c>
      <c r="E370">
        <f t="shared" si="124"/>
        <v>7.5684396237966114</v>
      </c>
      <c r="F370">
        <f t="shared" si="127"/>
        <v>8.3860349013678839</v>
      </c>
      <c r="G370">
        <f t="shared" si="127"/>
        <v>7.5999952476859312</v>
      </c>
      <c r="H370">
        <f t="shared" si="127"/>
        <v>7.6609629011676006</v>
      </c>
      <c r="I370">
        <f t="shared" si="110"/>
        <v>0.5863613440755735</v>
      </c>
      <c r="J370">
        <f t="shared" si="125"/>
        <v>8.0202885418181378</v>
      </c>
      <c r="K370">
        <f t="shared" si="129"/>
        <v>7.9496227347713386</v>
      </c>
      <c r="L370">
        <f t="shared" si="129"/>
        <v>7.6936220168594511</v>
      </c>
      <c r="M370">
        <f t="shared" si="129"/>
        <v>8.281072074815274</v>
      </c>
      <c r="N370">
        <f t="shared" si="111"/>
        <v>1.2064705177232469</v>
      </c>
      <c r="O370">
        <f t="shared" si="126"/>
        <v>7.8311511448729165</v>
      </c>
      <c r="P370">
        <f t="shared" si="130"/>
        <v>7.8676121177858152</v>
      </c>
      <c r="Q370">
        <f t="shared" si="128"/>
        <v>7.8575557373019684</v>
      </c>
      <c r="R370">
        <f t="shared" si="131"/>
        <v>7.8456377661754884</v>
      </c>
      <c r="S370">
        <f t="shared" si="131"/>
        <v>8.4576578955819581</v>
      </c>
      <c r="T370">
        <f t="shared" si="112"/>
        <v>1.383056338489931</v>
      </c>
      <c r="U370">
        <f t="shared" si="113"/>
        <v>-1.383056338489931</v>
      </c>
      <c r="V370">
        <f t="shared" si="120"/>
        <v>8.3148936916257732</v>
      </c>
      <c r="W370">
        <f t="shared" si="114"/>
        <v>-1.2402921345337461</v>
      </c>
      <c r="X370">
        <f t="shared" si="121"/>
        <v>7.8609650637892541</v>
      </c>
      <c r="Y370">
        <f t="shared" si="115"/>
        <v>-0.78636350669722699</v>
      </c>
      <c r="Z370">
        <f t="shared" si="122"/>
        <v>7.6465232921504205</v>
      </c>
      <c r="AA370">
        <f t="shared" si="116"/>
        <v>-0.57192173505839339</v>
      </c>
      <c r="AB370">
        <f t="shared" si="117"/>
        <v>-0.48047844290797315</v>
      </c>
      <c r="AC370">
        <f t="shared" si="118"/>
        <v>8.2726557271267449</v>
      </c>
      <c r="AD370">
        <f t="shared" si="119"/>
        <v>-1.1980541700347178</v>
      </c>
    </row>
    <row r="371" spans="1:30">
      <c r="A371">
        <v>369</v>
      </c>
      <c r="B371">
        <v>8.9667519485852161</v>
      </c>
      <c r="C371">
        <f t="shared" si="123"/>
        <v>6.484293742442671</v>
      </c>
      <c r="D371">
        <f t="shared" si="123"/>
        <v>8.0027122611985551</v>
      </c>
      <c r="E371">
        <f t="shared" si="124"/>
        <v>7.424705886096576</v>
      </c>
      <c r="F371">
        <f t="shared" si="127"/>
        <v>8.1932908256976447</v>
      </c>
      <c r="G371">
        <f t="shared" si="127"/>
        <v>7.9470008757645685</v>
      </c>
      <c r="H371">
        <f t="shared" si="127"/>
        <v>7.5615727591742248</v>
      </c>
      <c r="I371">
        <f t="shared" si="110"/>
        <v>-1.4051791894109913</v>
      </c>
      <c r="J371">
        <f t="shared" si="125"/>
        <v>7.4449801071204655</v>
      </c>
      <c r="K371">
        <f t="shared" si="129"/>
        <v>8.073053687372914</v>
      </c>
      <c r="L371">
        <f t="shared" si="129"/>
        <v>7.7035430334769757</v>
      </c>
      <c r="M371">
        <f t="shared" si="129"/>
        <v>8.0162236225386607</v>
      </c>
      <c r="N371">
        <f t="shared" si="111"/>
        <v>-0.95052832604655535</v>
      </c>
      <c r="O371">
        <f t="shared" si="126"/>
        <v>7.7493344754134155</v>
      </c>
      <c r="P371">
        <f t="shared" si="130"/>
        <v>7.9372349459191422</v>
      </c>
      <c r="Q371">
        <f t="shared" si="128"/>
        <v>7.8535413297832433</v>
      </c>
      <c r="R371">
        <f t="shared" si="131"/>
        <v>7.7841456337533286</v>
      </c>
      <c r="S371">
        <f t="shared" si="131"/>
        <v>8.2601800859414265</v>
      </c>
      <c r="T371">
        <f t="shared" si="112"/>
        <v>-0.70657186264378957</v>
      </c>
      <c r="U371">
        <f t="shared" si="113"/>
        <v>0.70657186264378957</v>
      </c>
      <c r="V371">
        <f t="shared" si="120"/>
        <v>8.1908644781723989</v>
      </c>
      <c r="W371">
        <f t="shared" si="114"/>
        <v>0.77588747041281714</v>
      </c>
      <c r="X371">
        <f t="shared" si="121"/>
        <v>7.703692362449809</v>
      </c>
      <c r="Y371">
        <f t="shared" si="115"/>
        <v>1.263059586135407</v>
      </c>
      <c r="Z371">
        <f t="shared" si="122"/>
        <v>7.4749467716329026</v>
      </c>
      <c r="AA371">
        <f t="shared" si="116"/>
        <v>1.4918051769523135</v>
      </c>
      <c r="AB371">
        <f t="shared" si="117"/>
        <v>1.4061119485852158</v>
      </c>
      <c r="AC371">
        <f t="shared" si="118"/>
        <v>8.2227404757000979</v>
      </c>
      <c r="AD371">
        <f t="shared" si="119"/>
        <v>0.74401147288511815</v>
      </c>
    </row>
    <row r="372" spans="1:30">
      <c r="A372">
        <v>370</v>
      </c>
      <c r="B372">
        <v>6.2885133348481821</v>
      </c>
      <c r="C372">
        <f t="shared" si="123"/>
        <v>8.0206767528386216</v>
      </c>
      <c r="D372">
        <f t="shared" si="123"/>
        <v>7.0420258965207605</v>
      </c>
      <c r="E372">
        <f t="shared" si="124"/>
        <v>7.3117798111568533</v>
      </c>
      <c r="F372">
        <f t="shared" si="127"/>
        <v>7.9074005299065329</v>
      </c>
      <c r="G372">
        <f t="shared" si="127"/>
        <v>8.152387708696466</v>
      </c>
      <c r="H372">
        <f t="shared" si="127"/>
        <v>7.6846802834224119</v>
      </c>
      <c r="I372">
        <f t="shared" si="110"/>
        <v>1.3961669485742298</v>
      </c>
      <c r="J372">
        <f t="shared" si="125"/>
        <v>7.8102174017187362</v>
      </c>
      <c r="K372">
        <f t="shared" si="129"/>
        <v>7.9974720882614143</v>
      </c>
      <c r="L372">
        <f t="shared" si="129"/>
        <v>7.8101141881863647</v>
      </c>
      <c r="M372">
        <f t="shared" si="129"/>
        <v>7.8344292164426426</v>
      </c>
      <c r="N372">
        <f t="shared" si="111"/>
        <v>1.5459158815944605</v>
      </c>
      <c r="O372">
        <f t="shared" si="126"/>
        <v>7.5058765883446252</v>
      </c>
      <c r="P372">
        <f t="shared" si="130"/>
        <v>7.9078180721406213</v>
      </c>
      <c r="Q372">
        <f t="shared" si="128"/>
        <v>8.0204179454916318</v>
      </c>
      <c r="R372">
        <f t="shared" si="131"/>
        <v>7.8155152910926402</v>
      </c>
      <c r="S372">
        <f t="shared" si="131"/>
        <v>8.0773629264574964</v>
      </c>
      <c r="T372">
        <f t="shared" si="112"/>
        <v>1.7888495916093143</v>
      </c>
      <c r="U372">
        <f t="shared" si="113"/>
        <v>-1.7888495916093143</v>
      </c>
      <c r="V372">
        <f t="shared" si="120"/>
        <v>8.2684532252136798</v>
      </c>
      <c r="W372">
        <f t="shared" si="114"/>
        <v>-1.9799398903654977</v>
      </c>
      <c r="X372">
        <f t="shared" si="121"/>
        <v>7.9563042796768908</v>
      </c>
      <c r="Y372">
        <f t="shared" si="115"/>
        <v>-1.6677909448287087</v>
      </c>
      <c r="Z372">
        <f t="shared" si="122"/>
        <v>7.9224883247185964</v>
      </c>
      <c r="AA372">
        <f t="shared" si="116"/>
        <v>-1.6339749898704143</v>
      </c>
      <c r="AB372">
        <f t="shared" si="117"/>
        <v>-1.2776866651518182</v>
      </c>
      <c r="AC372">
        <f t="shared" si="118"/>
        <v>8.1726482865704817</v>
      </c>
      <c r="AD372">
        <f t="shared" si="119"/>
        <v>-1.8841349517222996</v>
      </c>
    </row>
    <row r="373" spans="1:30">
      <c r="A373">
        <v>371</v>
      </c>
      <c r="B373">
        <v>6.3941242567665437</v>
      </c>
      <c r="C373">
        <f t="shared" si="123"/>
        <v>7.6276326417166995</v>
      </c>
      <c r="D373">
        <f t="shared" si="123"/>
        <v>7.2524852476406458</v>
      </c>
      <c r="E373">
        <f t="shared" si="124"/>
        <v>7.4432889468418084</v>
      </c>
      <c r="F373">
        <f t="shared" si="127"/>
        <v>7.4349751070166805</v>
      </c>
      <c r="G373">
        <f t="shared" si="127"/>
        <v>8.1622420856573541</v>
      </c>
      <c r="H373">
        <f t="shared" si="127"/>
        <v>7.8997946107156549</v>
      </c>
      <c r="I373">
        <f t="shared" si="110"/>
        <v>1.5056703539491112</v>
      </c>
      <c r="J373">
        <f t="shared" si="125"/>
        <v>7.0559631920796857</v>
      </c>
      <c r="K373">
        <f t="shared" si="129"/>
        <v>7.9534127935277166</v>
      </c>
      <c r="L373">
        <f t="shared" si="129"/>
        <v>7.9189589405580394</v>
      </c>
      <c r="M373">
        <f t="shared" si="129"/>
        <v>7.762452342268567</v>
      </c>
      <c r="N373">
        <f t="shared" si="111"/>
        <v>1.3683280855020232</v>
      </c>
      <c r="O373">
        <f t="shared" si="126"/>
        <v>6.9235954050170578</v>
      </c>
      <c r="P373">
        <f t="shared" si="130"/>
        <v>7.8691922384312294</v>
      </c>
      <c r="Q373">
        <f t="shared" si="128"/>
        <v>7.5058642853192099</v>
      </c>
      <c r="R373">
        <f t="shared" si="131"/>
        <v>7.8880157317211035</v>
      </c>
      <c r="S373">
        <f t="shared" si="131"/>
        <v>7.9484769780777436</v>
      </c>
      <c r="T373">
        <f t="shared" si="112"/>
        <v>1.5543527213111998</v>
      </c>
      <c r="U373">
        <f t="shared" si="113"/>
        <v>-1.5543527213111998</v>
      </c>
      <c r="V373">
        <f t="shared" si="120"/>
        <v>8.0704592361771308</v>
      </c>
      <c r="W373">
        <f t="shared" si="114"/>
        <v>-1.6763349794105871</v>
      </c>
      <c r="X373">
        <f t="shared" si="121"/>
        <v>7.6227460907111491</v>
      </c>
      <c r="Y373">
        <f t="shared" si="115"/>
        <v>-1.2286218339446053</v>
      </c>
      <c r="Z373">
        <f t="shared" si="122"/>
        <v>7.4322958277574722</v>
      </c>
      <c r="AA373">
        <f t="shared" si="116"/>
        <v>-1.0381715709909285</v>
      </c>
      <c r="AB373">
        <f t="shared" si="117"/>
        <v>-1.1776357432334565</v>
      </c>
      <c r="AC373">
        <f t="shared" si="118"/>
        <v>8.1223932822412959</v>
      </c>
      <c r="AD373">
        <f t="shared" si="119"/>
        <v>-1.7282690254747521</v>
      </c>
    </row>
    <row r="374" spans="1:30">
      <c r="A374">
        <v>372</v>
      </c>
      <c r="B374">
        <v>8.3650709141845176</v>
      </c>
      <c r="C374">
        <f t="shared" si="123"/>
        <v>6.3413187958073625</v>
      </c>
      <c r="D374">
        <f t="shared" si="123"/>
        <v>7.8241546972776606</v>
      </c>
      <c r="E374">
        <f t="shared" si="124"/>
        <v>7.216463180066647</v>
      </c>
      <c r="F374">
        <f t="shared" si="127"/>
        <v>7.3932582146984123</v>
      </c>
      <c r="G374">
        <f t="shared" si="127"/>
        <v>7.8452221542069518</v>
      </c>
      <c r="H374">
        <f t="shared" si="127"/>
        <v>8.0872102233727965</v>
      </c>
      <c r="I374">
        <f t="shared" si="110"/>
        <v>-0.27786069081172116</v>
      </c>
      <c r="J374">
        <f t="shared" si="125"/>
        <v>7.1809977743229929</v>
      </c>
      <c r="K374">
        <f t="shared" si="129"/>
        <v>7.5828623106842574</v>
      </c>
      <c r="L374">
        <f t="shared" si="129"/>
        <v>7.993390325983345</v>
      </c>
      <c r="M374">
        <f t="shared" si="129"/>
        <v>7.7815595447702073</v>
      </c>
      <c r="N374">
        <f t="shared" si="111"/>
        <v>-0.58351136941431037</v>
      </c>
      <c r="O374">
        <f t="shared" si="126"/>
        <v>7.4178124022952971</v>
      </c>
      <c r="P374">
        <f t="shared" si="130"/>
        <v>7.6038573795939017</v>
      </c>
      <c r="Q374">
        <f t="shared" si="128"/>
        <v>7.3205845330816119</v>
      </c>
      <c r="R374">
        <f t="shared" si="131"/>
        <v>7.8392425482489143</v>
      </c>
      <c r="S374">
        <f t="shared" si="131"/>
        <v>7.8838044847710158</v>
      </c>
      <c r="T374">
        <f t="shared" si="112"/>
        <v>-0.48126642941350184</v>
      </c>
      <c r="U374">
        <f t="shared" si="113"/>
        <v>0.48126642941350184</v>
      </c>
      <c r="V374">
        <f t="shared" si="120"/>
        <v>7.9028257382360723</v>
      </c>
      <c r="W374">
        <f t="shared" si="114"/>
        <v>0.46224517594844539</v>
      </c>
      <c r="X374">
        <f t="shared" si="121"/>
        <v>7.377021723922228</v>
      </c>
      <c r="Y374">
        <f t="shared" si="115"/>
        <v>0.98804919026228966</v>
      </c>
      <c r="Z374">
        <f t="shared" si="122"/>
        <v>7.1208443564601938</v>
      </c>
      <c r="AA374">
        <f t="shared" si="116"/>
        <v>1.2442265577243239</v>
      </c>
      <c r="AB374">
        <f t="shared" si="117"/>
        <v>0.78775091418451737</v>
      </c>
      <c r="AC374">
        <f t="shared" si="118"/>
        <v>8.0719896304413385</v>
      </c>
      <c r="AD374">
        <f t="shared" si="119"/>
        <v>0.2930812837431791</v>
      </c>
    </row>
    <row r="375" spans="1:30">
      <c r="A375">
        <v>373</v>
      </c>
      <c r="B375">
        <v>9.3520960387313252</v>
      </c>
      <c r="C375">
        <f t="shared" si="123"/>
        <v>7.3795975854755307</v>
      </c>
      <c r="D375">
        <f t="shared" si="123"/>
        <v>6.984475718762031</v>
      </c>
      <c r="E375">
        <f t="shared" si="124"/>
        <v>7.0159028352664139</v>
      </c>
      <c r="F375">
        <f t="shared" si="127"/>
        <v>7.3238439793551029</v>
      </c>
      <c r="G375">
        <f t="shared" si="127"/>
        <v>7.578544617207208</v>
      </c>
      <c r="H375">
        <f t="shared" si="127"/>
        <v>8.0532839828535909</v>
      </c>
      <c r="I375">
        <f t="shared" si="110"/>
        <v>-1.2988120558777343</v>
      </c>
      <c r="J375">
        <f t="shared" si="125"/>
        <v>7.5036151135961147</v>
      </c>
      <c r="K375">
        <f t="shared" si="129"/>
        <v>7.3730396188104708</v>
      </c>
      <c r="L375">
        <f t="shared" si="129"/>
        <v>7.901700219961576</v>
      </c>
      <c r="M375">
        <f t="shared" si="129"/>
        <v>7.856501622051181</v>
      </c>
      <c r="N375">
        <f t="shared" si="111"/>
        <v>-1.4955944166801443</v>
      </c>
      <c r="O375">
        <f t="shared" si="126"/>
        <v>7.8733112986231557</v>
      </c>
      <c r="P375">
        <f t="shared" si="130"/>
        <v>7.4855540031886623</v>
      </c>
      <c r="Q375">
        <f t="shared" si="128"/>
        <v>7.1638413232116349</v>
      </c>
      <c r="R375">
        <f t="shared" si="131"/>
        <v>7.7541206095480106</v>
      </c>
      <c r="S375">
        <f t="shared" si="131"/>
        <v>7.8498520151027158</v>
      </c>
      <c r="T375">
        <f t="shared" si="112"/>
        <v>-1.5022440236286094</v>
      </c>
      <c r="U375">
        <f t="shared" si="113"/>
        <v>1.5022440236286094</v>
      </c>
      <c r="V375">
        <f t="shared" si="120"/>
        <v>7.9490502558309171</v>
      </c>
      <c r="W375">
        <f t="shared" si="114"/>
        <v>1.4030457829004082</v>
      </c>
      <c r="X375">
        <f t="shared" si="121"/>
        <v>7.5746315619746856</v>
      </c>
      <c r="Y375">
        <f t="shared" si="115"/>
        <v>1.7774644767566397</v>
      </c>
      <c r="Z375">
        <f t="shared" si="122"/>
        <v>7.4941123237774914</v>
      </c>
      <c r="AA375">
        <f t="shared" si="116"/>
        <v>1.8579837149538339</v>
      </c>
      <c r="AB375">
        <f t="shared" si="117"/>
        <v>1.7692160387313249</v>
      </c>
      <c r="AC375">
        <f t="shared" si="118"/>
        <v>8.021451540189414</v>
      </c>
      <c r="AD375">
        <f t="shared" si="119"/>
        <v>1.3306444985419112</v>
      </c>
    </row>
    <row r="376" spans="1:30">
      <c r="A376">
        <v>374</v>
      </c>
      <c r="B376">
        <v>8.673365197457553</v>
      </c>
      <c r="C376">
        <f t="shared" si="123"/>
        <v>8.8585834764579214</v>
      </c>
      <c r="D376">
        <f t="shared" si="123"/>
        <v>6.860458190641447</v>
      </c>
      <c r="E376">
        <f t="shared" si="124"/>
        <v>8.0370970698941289</v>
      </c>
      <c r="F376">
        <f t="shared" si="127"/>
        <v>7.2252183207249558</v>
      </c>
      <c r="G376">
        <f t="shared" si="127"/>
        <v>7.3840257670233989</v>
      </c>
      <c r="H376">
        <f t="shared" si="127"/>
        <v>7.8620029523571704</v>
      </c>
      <c r="I376">
        <f t="shared" si="110"/>
        <v>-0.81136224510038257</v>
      </c>
      <c r="J376">
        <f t="shared" si="125"/>
        <v>7.5999511361326419</v>
      </c>
      <c r="K376">
        <f t="shared" si="129"/>
        <v>7.3876983704293826</v>
      </c>
      <c r="L376">
        <f t="shared" si="129"/>
        <v>7.7266967028209645</v>
      </c>
      <c r="M376">
        <f t="shared" si="129"/>
        <v>7.9060409186723311</v>
      </c>
      <c r="N376">
        <f t="shared" si="111"/>
        <v>-0.76732427878522191</v>
      </c>
      <c r="O376">
        <f t="shared" si="126"/>
        <v>7.814633948397625</v>
      </c>
      <c r="P376">
        <f t="shared" si="130"/>
        <v>7.4939860339387092</v>
      </c>
      <c r="Q376">
        <f t="shared" si="128"/>
        <v>7.7401930083679682</v>
      </c>
      <c r="R376">
        <f t="shared" si="131"/>
        <v>7.6203008590315493</v>
      </c>
      <c r="S376">
        <f t="shared" si="131"/>
        <v>7.8211129300899138</v>
      </c>
      <c r="T376">
        <f t="shared" si="112"/>
        <v>-0.85225226736763915</v>
      </c>
      <c r="U376">
        <f t="shared" si="113"/>
        <v>0.85225226736763915</v>
      </c>
      <c r="V376">
        <f t="shared" si="120"/>
        <v>8.0893548341209573</v>
      </c>
      <c r="W376">
        <f t="shared" si="114"/>
        <v>0.58401036333659562</v>
      </c>
      <c r="X376">
        <f t="shared" si="121"/>
        <v>7.9301244573260137</v>
      </c>
      <c r="Y376">
        <f t="shared" si="115"/>
        <v>0.74324074013153929</v>
      </c>
      <c r="Z376">
        <f t="shared" si="122"/>
        <v>8.0515074382636413</v>
      </c>
      <c r="AA376">
        <f t="shared" si="116"/>
        <v>0.62185775919391162</v>
      </c>
      <c r="AB376">
        <f t="shared" si="117"/>
        <v>1.0849251974575527</v>
      </c>
      <c r="AC376">
        <f t="shared" si="118"/>
        <v>7.9707932578474763</v>
      </c>
      <c r="AD376">
        <f t="shared" si="119"/>
        <v>0.70257193961007669</v>
      </c>
    </row>
    <row r="377" spans="1:30">
      <c r="A377">
        <v>375</v>
      </c>
      <c r="B377">
        <v>7.915784151409305</v>
      </c>
      <c r="C377">
        <f t="shared" si="123"/>
        <v>9.0127306180944391</v>
      </c>
      <c r="D377">
        <f t="shared" si="123"/>
        <v>8.1190905309667265</v>
      </c>
      <c r="E377">
        <f t="shared" si="124"/>
        <v>8.7968440501244647</v>
      </c>
      <c r="F377">
        <f t="shared" si="127"/>
        <v>7.4231543617423954</v>
      </c>
      <c r="G377">
        <f t="shared" si="127"/>
        <v>7.3141068382594909</v>
      </c>
      <c r="H377">
        <f t="shared" si="127"/>
        <v>7.6025975128125198</v>
      </c>
      <c r="I377">
        <f t="shared" si="110"/>
        <v>-0.31318663859678519</v>
      </c>
      <c r="J377">
        <f t="shared" si="125"/>
        <v>8.1961641017849836</v>
      </c>
      <c r="K377">
        <f t="shared" si="129"/>
        <v>7.3351318040328586</v>
      </c>
      <c r="L377">
        <f t="shared" si="129"/>
        <v>7.5742532733629568</v>
      </c>
      <c r="M377">
        <f t="shared" si="129"/>
        <v>7.8851865473309815</v>
      </c>
      <c r="N377">
        <f t="shared" si="111"/>
        <v>-3.059760407832357E-2</v>
      </c>
      <c r="O377">
        <f t="shared" si="126"/>
        <v>8.1400881117098471</v>
      </c>
      <c r="P377">
        <f t="shared" si="130"/>
        <v>7.5070459285355522</v>
      </c>
      <c r="Q377">
        <f t="shared" si="128"/>
        <v>8.0066536150955567</v>
      </c>
      <c r="R377">
        <f t="shared" si="131"/>
        <v>7.6007404042092164</v>
      </c>
      <c r="S377">
        <f t="shared" si="131"/>
        <v>7.7835567788992579</v>
      </c>
      <c r="T377">
        <f t="shared" si="112"/>
        <v>-0.13222737251004713</v>
      </c>
      <c r="U377">
        <f t="shared" si="113"/>
        <v>0.13222737251004713</v>
      </c>
      <c r="V377">
        <f t="shared" si="120"/>
        <v>8.1477558704546169</v>
      </c>
      <c r="W377">
        <f t="shared" si="114"/>
        <v>-0.23197171904531189</v>
      </c>
      <c r="X377">
        <f t="shared" si="121"/>
        <v>8.0787726053523219</v>
      </c>
      <c r="Y377">
        <f t="shared" si="115"/>
        <v>-0.16298845394301686</v>
      </c>
      <c r="Z377">
        <f t="shared" si="122"/>
        <v>8.2380647660218145</v>
      </c>
      <c r="AA377">
        <f t="shared" si="116"/>
        <v>-0.32228061461250945</v>
      </c>
      <c r="AB377">
        <f t="shared" si="117"/>
        <v>0.32178415140930472</v>
      </c>
      <c r="AC377">
        <f t="shared" si="118"/>
        <v>7.9200290631634003</v>
      </c>
      <c r="AD377">
        <f t="shared" si="119"/>
        <v>-4.2449117540952486E-3</v>
      </c>
    </row>
    <row r="378" spans="1:30">
      <c r="A378">
        <v>376</v>
      </c>
      <c r="B378">
        <v>6.9857732391216913</v>
      </c>
      <c r="C378">
        <f t="shared" si="123"/>
        <v>8.294574674433429</v>
      </c>
      <c r="D378">
        <f t="shared" si="123"/>
        <v>8.9356570472761803</v>
      </c>
      <c r="E378">
        <f t="shared" si="124"/>
        <v>8.6470817958660611</v>
      </c>
      <c r="F378">
        <f t="shared" si="127"/>
        <v>7.9499479850950037</v>
      </c>
      <c r="G378">
        <f t="shared" si="127"/>
        <v>7.3240722206074844</v>
      </c>
      <c r="H378">
        <f t="shared" si="127"/>
        <v>7.4255590741633659</v>
      </c>
      <c r="I378">
        <f t="shared" si="110"/>
        <v>0.43978583504167457</v>
      </c>
      <c r="J378">
        <f t="shared" si="125"/>
        <v>8.5765790754456752</v>
      </c>
      <c r="K378">
        <f t="shared" si="129"/>
        <v>7.6201820314591835</v>
      </c>
      <c r="L378">
        <f t="shared" si="129"/>
        <v>7.4196830259892428</v>
      </c>
      <c r="M378">
        <f t="shared" si="129"/>
        <v>7.7990101305322099</v>
      </c>
      <c r="N378">
        <f t="shared" si="111"/>
        <v>0.81323689141051858</v>
      </c>
      <c r="O378">
        <f t="shared" si="126"/>
        <v>8.2584179081808777</v>
      </c>
      <c r="P378">
        <f t="shared" si="130"/>
        <v>7.6338882332085962</v>
      </c>
      <c r="Q378">
        <f t="shared" si="128"/>
        <v>7.8314923155662379</v>
      </c>
      <c r="R378">
        <f t="shared" si="131"/>
        <v>7.626259118427936</v>
      </c>
      <c r="S378">
        <f t="shared" si="131"/>
        <v>7.7529892406419059</v>
      </c>
      <c r="T378">
        <f t="shared" si="112"/>
        <v>0.76721600152021452</v>
      </c>
      <c r="U378">
        <f t="shared" si="113"/>
        <v>-0.76721600152021452</v>
      </c>
      <c r="V378">
        <f t="shared" si="120"/>
        <v>8.1245586985500857</v>
      </c>
      <c r="W378">
        <f t="shared" si="114"/>
        <v>-1.1387854594283944</v>
      </c>
      <c r="X378">
        <f t="shared" si="121"/>
        <v>8.0461749145637178</v>
      </c>
      <c r="Y378">
        <f t="shared" si="115"/>
        <v>-1.0604016754420265</v>
      </c>
      <c r="Z378">
        <f t="shared" si="122"/>
        <v>8.141380581638062</v>
      </c>
      <c r="AA378">
        <f t="shared" si="116"/>
        <v>-1.1556073425163707</v>
      </c>
      <c r="AB378">
        <f t="shared" si="117"/>
        <v>-0.61378676087830897</v>
      </c>
      <c r="AC378">
        <f t="shared" si="118"/>
        <v>7.8691732653044761</v>
      </c>
      <c r="AD378">
        <f t="shared" si="119"/>
        <v>-0.88340002618278479</v>
      </c>
    </row>
    <row r="379" spans="1:30">
      <c r="A379">
        <v>377</v>
      </c>
      <c r="B379">
        <v>9.9796868262697007</v>
      </c>
      <c r="C379">
        <f t="shared" si="123"/>
        <v>7.4507786952654982</v>
      </c>
      <c r="D379">
        <f t="shared" si="123"/>
        <v>8.653652646263934</v>
      </c>
      <c r="E379">
        <f t="shared" si="124"/>
        <v>7.8583075293295162</v>
      </c>
      <c r="F379">
        <f t="shared" si="127"/>
        <v>8.4936743052948849</v>
      </c>
      <c r="G379">
        <f t="shared" si="127"/>
        <v>7.532773555854118</v>
      </c>
      <c r="H379">
        <f t="shared" si="127"/>
        <v>7.3407349419634578</v>
      </c>
      <c r="I379">
        <f t="shared" si="110"/>
        <v>-2.6389518843062429</v>
      </c>
      <c r="J379">
        <f t="shared" si="125"/>
        <v>8.2317546566799678</v>
      </c>
      <c r="K379">
        <f t="shared" si="129"/>
        <v>7.9690773567398541</v>
      </c>
      <c r="L379">
        <f t="shared" si="129"/>
        <v>7.4290129561829739</v>
      </c>
      <c r="M379">
        <f t="shared" si="129"/>
        <v>7.6555833055336855</v>
      </c>
      <c r="N379">
        <f t="shared" si="111"/>
        <v>-2.3241035207360152</v>
      </c>
      <c r="O379">
        <f t="shared" si="126"/>
        <v>8.5813410905979133</v>
      </c>
      <c r="P379">
        <f t="shared" si="130"/>
        <v>7.9008527338413614</v>
      </c>
      <c r="Q379">
        <f t="shared" si="128"/>
        <v>7.9477022996118221</v>
      </c>
      <c r="R379">
        <f t="shared" si="131"/>
        <v>7.5947715134403699</v>
      </c>
      <c r="S379">
        <f t="shared" si="131"/>
        <v>7.7214465451977885</v>
      </c>
      <c r="T379">
        <f t="shared" si="112"/>
        <v>-2.2582402810719122</v>
      </c>
      <c r="U379">
        <f t="shared" si="113"/>
        <v>2.2582402810719122</v>
      </c>
      <c r="V379">
        <f t="shared" si="120"/>
        <v>8.0106801526072466</v>
      </c>
      <c r="W379">
        <f t="shared" si="114"/>
        <v>1.9690066736624541</v>
      </c>
      <c r="X379">
        <f t="shared" si="121"/>
        <v>7.8340945794753125</v>
      </c>
      <c r="Y379">
        <f t="shared" si="115"/>
        <v>2.1455922467943882</v>
      </c>
      <c r="Z379">
        <f t="shared" si="122"/>
        <v>7.794698378883151</v>
      </c>
      <c r="AA379">
        <f t="shared" si="116"/>
        <v>2.1849884473865497</v>
      </c>
      <c r="AB379">
        <f t="shared" si="117"/>
        <v>2.3745668262697004</v>
      </c>
      <c r="AC379">
        <f t="shared" si="118"/>
        <v>7.8182401988827275</v>
      </c>
      <c r="AD379">
        <f t="shared" si="119"/>
        <v>2.1614466273869732</v>
      </c>
    </row>
    <row r="380" spans="1:30">
      <c r="A380">
        <v>378</v>
      </c>
      <c r="B380">
        <v>7.1613860680566379</v>
      </c>
      <c r="C380">
        <f t="shared" si="123"/>
        <v>8.4827300326956951</v>
      </c>
      <c r="D380">
        <f t="shared" si="123"/>
        <v>7.8726766848494636</v>
      </c>
      <c r="E380">
        <f t="shared" si="124"/>
        <v>8.293748072266899</v>
      </c>
      <c r="F380">
        <f t="shared" si="127"/>
        <v>8.4340777917733476</v>
      </c>
      <c r="G380">
        <f t="shared" si="127"/>
        <v>7.9555922173774283</v>
      </c>
      <c r="H380">
        <f t="shared" si="127"/>
        <v>7.3903175382403639</v>
      </c>
      <c r="I380">
        <f t="shared" si="110"/>
        <v>0.22893147018372595</v>
      </c>
      <c r="J380">
        <f t="shared" si="125"/>
        <v>8.388652353564563</v>
      </c>
      <c r="K380">
        <f t="shared" si="129"/>
        <v>8.1511122425108162</v>
      </c>
      <c r="L380">
        <f t="shared" si="129"/>
        <v>7.5780223906653195</v>
      </c>
      <c r="M380">
        <f t="shared" si="129"/>
        <v>7.5374114895890347</v>
      </c>
      <c r="N380">
        <f t="shared" si="111"/>
        <v>0.37602542153239682</v>
      </c>
      <c r="O380">
        <f t="shared" si="126"/>
        <v>8.1431990964629772</v>
      </c>
      <c r="P380">
        <f t="shared" si="130"/>
        <v>8.1335584715018854</v>
      </c>
      <c r="Q380">
        <f t="shared" si="128"/>
        <v>8.5452960611956819</v>
      </c>
      <c r="R380">
        <f t="shared" si="131"/>
        <v>7.6684111824891374</v>
      </c>
      <c r="S380">
        <f t="shared" si="131"/>
        <v>7.6725725088176659</v>
      </c>
      <c r="T380">
        <f t="shared" si="112"/>
        <v>0.51118644076102804</v>
      </c>
      <c r="U380">
        <f t="shared" si="113"/>
        <v>-0.51118644076102804</v>
      </c>
      <c r="V380">
        <f t="shared" si="120"/>
        <v>8.2075808199734919</v>
      </c>
      <c r="W380">
        <f t="shared" si="114"/>
        <v>-1.046194751916854</v>
      </c>
      <c r="X380">
        <f t="shared" si="121"/>
        <v>8.2632130288341905</v>
      </c>
      <c r="Y380">
        <f t="shared" si="115"/>
        <v>-1.1018269607775526</v>
      </c>
      <c r="Z380">
        <f t="shared" si="122"/>
        <v>8.4501949130991161</v>
      </c>
      <c r="AA380">
        <f t="shared" si="116"/>
        <v>-1.2888088450424782</v>
      </c>
      <c r="AB380">
        <f t="shared" si="117"/>
        <v>-0.44929393194336242</v>
      </c>
      <c r="AC380">
        <f t="shared" si="118"/>
        <v>7.7672442199731719</v>
      </c>
      <c r="AD380">
        <f t="shared" si="119"/>
        <v>-0.60585815191653403</v>
      </c>
    </row>
    <row r="381" spans="1:30">
      <c r="A381">
        <v>379</v>
      </c>
      <c r="B381">
        <v>10.08395002752512</v>
      </c>
      <c r="C381">
        <f t="shared" si="123"/>
        <v>8.5705364471631693</v>
      </c>
      <c r="D381">
        <f t="shared" si="123"/>
        <v>7.9667543639805967</v>
      </c>
      <c r="E381">
        <f t="shared" si="124"/>
        <v>8.0422820444826755</v>
      </c>
      <c r="F381">
        <f t="shared" si="127"/>
        <v>8.2663791324874918</v>
      </c>
      <c r="G381">
        <f t="shared" si="127"/>
        <v>8.2925666940544129</v>
      </c>
      <c r="H381">
        <f t="shared" si="127"/>
        <v>7.6041459979463433</v>
      </c>
      <c r="I381">
        <f t="shared" si="110"/>
        <v>-2.4798040295787764</v>
      </c>
      <c r="J381">
        <f t="shared" si="125"/>
        <v>8.0106575712143329</v>
      </c>
      <c r="K381">
        <f t="shared" si="129"/>
        <v>8.3482875468687965</v>
      </c>
      <c r="L381">
        <f t="shared" si="129"/>
        <v>7.7688758586856776</v>
      </c>
      <c r="M381">
        <f t="shared" si="129"/>
        <v>7.5002429115501226</v>
      </c>
      <c r="N381">
        <f t="shared" si="111"/>
        <v>-2.5837071159749971</v>
      </c>
      <c r="O381">
        <f t="shared" si="126"/>
        <v>8.4253160624764902</v>
      </c>
      <c r="P381">
        <f t="shared" si="130"/>
        <v>8.1875360310698486</v>
      </c>
      <c r="Q381">
        <f t="shared" si="128"/>
        <v>8.3446819201743683</v>
      </c>
      <c r="R381">
        <f t="shared" si="131"/>
        <v>7.8725297705081489</v>
      </c>
      <c r="S381">
        <f t="shared" si="131"/>
        <v>7.6441006145243691</v>
      </c>
      <c r="T381">
        <f t="shared" si="112"/>
        <v>-2.4398494130007506</v>
      </c>
      <c r="U381">
        <f t="shared" si="113"/>
        <v>2.4398494130007506</v>
      </c>
      <c r="V381">
        <f t="shared" si="120"/>
        <v>8.1029613447818072</v>
      </c>
      <c r="W381">
        <f t="shared" si="114"/>
        <v>1.9809886827433125</v>
      </c>
      <c r="X381">
        <f t="shared" si="121"/>
        <v>8.0428476366786796</v>
      </c>
      <c r="Y381">
        <f t="shared" si="115"/>
        <v>2.0411023908464401</v>
      </c>
      <c r="Z381">
        <f t="shared" si="122"/>
        <v>8.0635522595863733</v>
      </c>
      <c r="AA381">
        <f t="shared" si="116"/>
        <v>2.0203977679387464</v>
      </c>
      <c r="AB381">
        <f t="shared" si="117"/>
        <v>2.4677100275251194</v>
      </c>
      <c r="AC381">
        <f t="shared" si="118"/>
        <v>7.7161997021261151</v>
      </c>
      <c r="AD381">
        <f t="shared" si="119"/>
        <v>2.3677503253990047</v>
      </c>
    </row>
    <row r="382" spans="1:30">
      <c r="A382">
        <v>380</v>
      </c>
      <c r="B382">
        <v>6.381923673878438</v>
      </c>
      <c r="C382">
        <f t="shared" si="123"/>
        <v>8.6226680477908779</v>
      </c>
      <c r="D382">
        <f t="shared" si="123"/>
        <v>8.5266332399294313</v>
      </c>
      <c r="E382">
        <f t="shared" si="124"/>
        <v>9.0750076406171534</v>
      </c>
      <c r="F382">
        <f t="shared" si="127"/>
        <v>8.0647792153596978</v>
      </c>
      <c r="G382">
        <f t="shared" si="127"/>
        <v>8.3980437431852408</v>
      </c>
      <c r="H382">
        <f t="shared" si="127"/>
        <v>7.9269774890953189</v>
      </c>
      <c r="I382">
        <f t="shared" si="110"/>
        <v>1.5450538152168809</v>
      </c>
      <c r="J382">
        <f t="shared" si="125"/>
        <v>8.5526990402432865</v>
      </c>
      <c r="K382">
        <f t="shared" si="129"/>
        <v>8.3019109142261343</v>
      </c>
      <c r="L382">
        <f t="shared" si="129"/>
        <v>8.0221647943946621</v>
      </c>
      <c r="M382">
        <f t="shared" si="129"/>
        <v>7.5488985578808032</v>
      </c>
      <c r="N382">
        <f t="shared" si="111"/>
        <v>1.1669748840023653</v>
      </c>
      <c r="O382">
        <f t="shared" si="126"/>
        <v>8.1185439669703179</v>
      </c>
      <c r="P382">
        <f t="shared" si="130"/>
        <v>8.3096724538856215</v>
      </c>
      <c r="Q382">
        <f t="shared" si="128"/>
        <v>8.4666575849733352</v>
      </c>
      <c r="R382">
        <f t="shared" si="131"/>
        <v>8.0693365366686063</v>
      </c>
      <c r="S382">
        <f t="shared" si="131"/>
        <v>7.6638354746843937</v>
      </c>
      <c r="T382">
        <f t="shared" si="112"/>
        <v>1.2819118008059558</v>
      </c>
      <c r="U382">
        <f t="shared" si="113"/>
        <v>-1.2819118008059558</v>
      </c>
      <c r="V382">
        <f t="shared" si="120"/>
        <v>8.3010602130561377</v>
      </c>
      <c r="W382">
        <f t="shared" si="114"/>
        <v>-1.9191365391776998</v>
      </c>
      <c r="X382">
        <f t="shared" si="121"/>
        <v>8.4510681148479669</v>
      </c>
      <c r="Y382">
        <f t="shared" si="115"/>
        <v>-2.069144440969529</v>
      </c>
      <c r="Z382">
        <f t="shared" si="122"/>
        <v>8.6696715899679972</v>
      </c>
      <c r="AA382">
        <f t="shared" si="116"/>
        <v>-2.2877479160895593</v>
      </c>
      <c r="AB382">
        <f t="shared" si="117"/>
        <v>-1.2398763261215624</v>
      </c>
      <c r="AC382">
        <f t="shared" si="118"/>
        <v>7.6651210323745866</v>
      </c>
      <c r="AD382">
        <f t="shared" si="119"/>
        <v>-1.2831973584961487</v>
      </c>
    </row>
    <row r="383" spans="1:30">
      <c r="A383">
        <v>381</v>
      </c>
      <c r="B383">
        <v>6.3379818121796365</v>
      </c>
      <c r="C383">
        <f t="shared" si="123"/>
        <v>8.2329368507017797</v>
      </c>
      <c r="D383">
        <f t="shared" si="123"/>
        <v>8.5966022474770227</v>
      </c>
      <c r="E383">
        <f t="shared" si="124"/>
        <v>7.8757532564867319</v>
      </c>
      <c r="F383">
        <f t="shared" si="127"/>
        <v>8.4703459191222432</v>
      </c>
      <c r="G383">
        <f t="shared" si="127"/>
        <v>8.2550787132068475</v>
      </c>
      <c r="H383">
        <f t="shared" si="127"/>
        <v>8.215400884872361</v>
      </c>
      <c r="I383">
        <f t="shared" si="110"/>
        <v>1.8774190726927245</v>
      </c>
      <c r="J383">
        <f t="shared" si="125"/>
        <v>8.4017366489324736</v>
      </c>
      <c r="K383">
        <f t="shared" si="129"/>
        <v>8.2959409054255389</v>
      </c>
      <c r="L383">
        <f t="shared" si="129"/>
        <v>8.1925970150864007</v>
      </c>
      <c r="M383">
        <f t="shared" si="129"/>
        <v>7.6995189999821587</v>
      </c>
      <c r="N383">
        <f t="shared" si="111"/>
        <v>1.3615371878025222</v>
      </c>
      <c r="O383">
        <f t="shared" si="126"/>
        <v>7.988985681581906</v>
      </c>
      <c r="P383">
        <f t="shared" si="130"/>
        <v>8.3053636249377156</v>
      </c>
      <c r="Q383">
        <f t="shared" si="128"/>
        <v>8.0847506643768146</v>
      </c>
      <c r="R383">
        <f t="shared" si="131"/>
        <v>8.1904139661028328</v>
      </c>
      <c r="S383">
        <f t="shared" si="131"/>
        <v>7.7386747542905701</v>
      </c>
      <c r="T383">
        <f t="shared" si="112"/>
        <v>1.4006929421109335</v>
      </c>
      <c r="U383">
        <f t="shared" si="113"/>
        <v>-1.4006929421109335</v>
      </c>
      <c r="V383">
        <f t="shared" si="120"/>
        <v>8.1091465591383685</v>
      </c>
      <c r="W383">
        <f t="shared" si="114"/>
        <v>-1.7711647469587319</v>
      </c>
      <c r="X383">
        <f t="shared" si="121"/>
        <v>8.0372392266540604</v>
      </c>
      <c r="Y383">
        <f t="shared" si="115"/>
        <v>-1.6992574144744239</v>
      </c>
      <c r="Z383">
        <f t="shared" si="122"/>
        <v>7.9833472151411291</v>
      </c>
      <c r="AA383">
        <f t="shared" si="116"/>
        <v>-1.6453654029614926</v>
      </c>
      <c r="AB383">
        <f t="shared" si="117"/>
        <v>-1.2893781878203638</v>
      </c>
      <c r="AC383">
        <f t="shared" si="118"/>
        <v>7.6140226072380406</v>
      </c>
      <c r="AD383">
        <f t="shared" si="119"/>
        <v>-1.2760407950584041</v>
      </c>
    </row>
    <row r="384" spans="1:30">
      <c r="A384">
        <v>382</v>
      </c>
      <c r="B384">
        <v>6.3727994746686374</v>
      </c>
      <c r="C384">
        <f t="shared" si="123"/>
        <v>6.3599527430290372</v>
      </c>
      <c r="D384">
        <f t="shared" si="123"/>
        <v>8.4278024492463288</v>
      </c>
      <c r="E384">
        <f t="shared" si="124"/>
        <v>7.6012851711943981</v>
      </c>
      <c r="F384">
        <f t="shared" si="127"/>
        <v>8.3310143138621857</v>
      </c>
      <c r="G384">
        <f t="shared" si="127"/>
        <v>8.2671680889898109</v>
      </c>
      <c r="H384">
        <f t="shared" si="127"/>
        <v>8.3152297168155016</v>
      </c>
      <c r="I384">
        <f t="shared" si="110"/>
        <v>1.9424302421468642</v>
      </c>
      <c r="J384">
        <f t="shared" si="125"/>
        <v>7.4913103954099576</v>
      </c>
      <c r="K384">
        <f t="shared" si="129"/>
        <v>8.3384364034886644</v>
      </c>
      <c r="L384">
        <f t="shared" si="129"/>
        <v>8.2743129022578223</v>
      </c>
      <c r="M384">
        <f t="shared" si="129"/>
        <v>7.8904150147080152</v>
      </c>
      <c r="N384">
        <f t="shared" si="111"/>
        <v>1.5176155400393778</v>
      </c>
      <c r="O384">
        <f t="shared" si="126"/>
        <v>7.2676082112616935</v>
      </c>
      <c r="P384">
        <f t="shared" si="130"/>
        <v>8.2514771796179218</v>
      </c>
      <c r="Q384">
        <f t="shared" si="128"/>
        <v>7.8217836078385368</v>
      </c>
      <c r="R384">
        <f t="shared" si="131"/>
        <v>8.203430140983043</v>
      </c>
      <c r="S384">
        <f t="shared" si="131"/>
        <v>7.8369536812728384</v>
      </c>
      <c r="T384">
        <f t="shared" si="112"/>
        <v>1.464154206604201</v>
      </c>
      <c r="U384">
        <f t="shared" si="113"/>
        <v>-1.464154206604201</v>
      </c>
      <c r="V384">
        <f t="shared" si="120"/>
        <v>7.9320300844424949</v>
      </c>
      <c r="W384">
        <f t="shared" si="114"/>
        <v>-1.5592306097738575</v>
      </c>
      <c r="X384">
        <f t="shared" si="121"/>
        <v>7.697387743759176</v>
      </c>
      <c r="Y384">
        <f t="shared" si="115"/>
        <v>-1.3245882690905386</v>
      </c>
      <c r="Z384">
        <f t="shared" si="122"/>
        <v>7.4897375942526816</v>
      </c>
      <c r="AA384">
        <f t="shared" si="116"/>
        <v>-1.1169381195840442</v>
      </c>
      <c r="AB384">
        <f t="shared" si="117"/>
        <v>-1.260120525331363</v>
      </c>
      <c r="AC384">
        <f t="shared" si="118"/>
        <v>7.5629188287234062</v>
      </c>
      <c r="AD384">
        <f t="shared" si="119"/>
        <v>-1.1901193540547688</v>
      </c>
    </row>
    <row r="385" spans="1:30">
      <c r="A385">
        <v>383</v>
      </c>
      <c r="B385">
        <v>8.8112342781313711</v>
      </c>
      <c r="C385">
        <f t="shared" si="123"/>
        <v>6.355390643424137</v>
      </c>
      <c r="D385">
        <f t="shared" si="123"/>
        <v>7.2964447968654085</v>
      </c>
      <c r="E385">
        <f t="shared" si="124"/>
        <v>6.3642349869089045</v>
      </c>
      <c r="F385">
        <f t="shared" si="127"/>
        <v>8.1840153560994278</v>
      </c>
      <c r="G385">
        <f t="shared" si="127"/>
        <v>8.2887131494480428</v>
      </c>
      <c r="H385">
        <f t="shared" si="127"/>
        <v>8.3067635151273009</v>
      </c>
      <c r="I385">
        <f t="shared" si="110"/>
        <v>-0.50447076300407012</v>
      </c>
      <c r="J385">
        <f t="shared" si="125"/>
        <v>7.2941637470629583</v>
      </c>
      <c r="K385">
        <f t="shared" si="129"/>
        <v>8.1141009139500131</v>
      </c>
      <c r="L385">
        <f t="shared" si="129"/>
        <v>8.3211439425022835</v>
      </c>
      <c r="M385">
        <f t="shared" si="129"/>
        <v>8.0644876426061423</v>
      </c>
      <c r="N385">
        <f t="shared" si="111"/>
        <v>-0.7467466355252288</v>
      </c>
      <c r="O385">
        <f t="shared" si="126"/>
        <v>7.5975778532766416</v>
      </c>
      <c r="P385">
        <f t="shared" si="130"/>
        <v>7.9887306037506773</v>
      </c>
      <c r="Q385">
        <f t="shared" si="128"/>
        <v>7.7196213137630281</v>
      </c>
      <c r="R385">
        <f t="shared" si="131"/>
        <v>8.2018120230284257</v>
      </c>
      <c r="S385">
        <f t="shared" si="131"/>
        <v>7.9331488516986894</v>
      </c>
      <c r="T385">
        <f t="shared" si="112"/>
        <v>-0.87808542643268161</v>
      </c>
      <c r="U385">
        <f t="shared" si="113"/>
        <v>0.87808542643268161</v>
      </c>
      <c r="V385">
        <f t="shared" si="120"/>
        <v>7.7761070234651095</v>
      </c>
      <c r="W385">
        <f t="shared" si="114"/>
        <v>1.0351272546662615</v>
      </c>
      <c r="X385">
        <f t="shared" si="121"/>
        <v>7.4324700899410683</v>
      </c>
      <c r="Y385">
        <f t="shared" si="115"/>
        <v>1.3787641881903028</v>
      </c>
      <c r="Z385">
        <f t="shared" si="122"/>
        <v>7.1546561583774686</v>
      </c>
      <c r="AA385">
        <f t="shared" si="116"/>
        <v>1.6565781197539025</v>
      </c>
      <c r="AB385">
        <f t="shared" si="117"/>
        <v>1.1727542781313707</v>
      </c>
      <c r="AC385">
        <f t="shared" si="118"/>
        <v>7.5118241003246267</v>
      </c>
      <c r="AD385">
        <f t="shared" si="119"/>
        <v>1.2994101778067444</v>
      </c>
    </row>
    <row r="386" spans="1:30">
      <c r="A386">
        <v>384</v>
      </c>
      <c r="B386">
        <v>8.9576902201460964</v>
      </c>
      <c r="C386">
        <f t="shared" si="123"/>
        <v>7.5920168764000042</v>
      </c>
      <c r="D386">
        <f t="shared" si="123"/>
        <v>6.3576716932265871</v>
      </c>
      <c r="E386">
        <f t="shared" si="124"/>
        <v>7.1740051883265492</v>
      </c>
      <c r="F386">
        <f t="shared" si="127"/>
        <v>7.2804244715300115</v>
      </c>
      <c r="G386">
        <f t="shared" si="127"/>
        <v>8.3284585296946201</v>
      </c>
      <c r="H386">
        <f t="shared" si="127"/>
        <v>8.2703199838815671</v>
      </c>
      <c r="I386">
        <f t="shared" si="110"/>
        <v>-0.68737023626452931</v>
      </c>
      <c r="J386">
        <f t="shared" si="125"/>
        <v>6.9759848097145216</v>
      </c>
      <c r="K386">
        <f t="shared" si="129"/>
        <v>7.9349774579121686</v>
      </c>
      <c r="L386">
        <f t="shared" si="129"/>
        <v>8.2625972842725872</v>
      </c>
      <c r="M386">
        <f t="shared" si="129"/>
        <v>8.2025546635602922</v>
      </c>
      <c r="N386">
        <f t="shared" si="111"/>
        <v>-0.75513555658580422</v>
      </c>
      <c r="O386">
        <f t="shared" si="126"/>
        <v>7.3723258918008368</v>
      </c>
      <c r="P386">
        <f t="shared" si="130"/>
        <v>7.8796063551134097</v>
      </c>
      <c r="Q386">
        <f t="shared" si="128"/>
        <v>7.5248792224066401</v>
      </c>
      <c r="R386">
        <f t="shared" si="131"/>
        <v>8.1637985253869605</v>
      </c>
      <c r="S386">
        <f t="shared" si="131"/>
        <v>8.034322269963365</v>
      </c>
      <c r="T386">
        <f t="shared" si="112"/>
        <v>-0.92336795018273143</v>
      </c>
      <c r="U386">
        <f t="shared" si="113"/>
        <v>0.92336795018273143</v>
      </c>
      <c r="V386">
        <f t="shared" si="120"/>
        <v>7.8796197489317361</v>
      </c>
      <c r="W386">
        <f t="shared" si="114"/>
        <v>1.0780704712143603</v>
      </c>
      <c r="X386">
        <f t="shared" si="121"/>
        <v>7.7082229275791292</v>
      </c>
      <c r="Y386">
        <f t="shared" si="115"/>
        <v>1.2494672925669672</v>
      </c>
      <c r="Z386">
        <f t="shared" si="122"/>
        <v>7.651629594303639</v>
      </c>
      <c r="AA386">
        <f t="shared" si="116"/>
        <v>1.3060606258424574</v>
      </c>
      <c r="AB386">
        <f t="shared" si="117"/>
        <v>1.313650220146096</v>
      </c>
      <c r="AC386">
        <f t="shared" si="118"/>
        <v>7.4607528230217914</v>
      </c>
      <c r="AD386">
        <f t="shared" si="119"/>
        <v>1.496937397124305</v>
      </c>
    </row>
    <row r="387" spans="1:30">
      <c r="A387">
        <v>385</v>
      </c>
      <c r="B387">
        <v>5.5869149554510349</v>
      </c>
      <c r="C387">
        <f t="shared" si="123"/>
        <v>8.8844622491387337</v>
      </c>
      <c r="D387">
        <f t="shared" si="123"/>
        <v>6.9737037599120706</v>
      </c>
      <c r="E387">
        <f t="shared" si="124"/>
        <v>8.0472413243153671</v>
      </c>
      <c r="F387">
        <f t="shared" si="127"/>
        <v>7.0465084488099512</v>
      </c>
      <c r="G387">
        <f t="shared" si="127"/>
        <v>7.9318180471638753</v>
      </c>
      <c r="H387">
        <f t="shared" si="127"/>
        <v>8.2947799227108252</v>
      </c>
      <c r="I387">
        <f t="shared" ref="I387:I450" si="132">H387-B387</f>
        <v>2.7078649672597903</v>
      </c>
      <c r="J387">
        <f t="shared" si="125"/>
        <v>7.6199264462814362</v>
      </c>
      <c r="K387">
        <f t="shared" si="129"/>
        <v>7.5407989002799782</v>
      </c>
      <c r="L387">
        <f t="shared" si="129"/>
        <v>8.1708639201940958</v>
      </c>
      <c r="M387">
        <f t="shared" si="129"/>
        <v>8.2626627860297734</v>
      </c>
      <c r="N387">
        <f t="shared" ref="N387:N450" si="133">M387-B387</f>
        <v>2.6757478305787386</v>
      </c>
      <c r="O387">
        <f t="shared" si="126"/>
        <v>7.2133241481153565</v>
      </c>
      <c r="P387">
        <f t="shared" si="130"/>
        <v>7.6690083209782784</v>
      </c>
      <c r="Q387">
        <f t="shared" si="128"/>
        <v>7.8242632477548844</v>
      </c>
      <c r="R387">
        <f t="shared" si="131"/>
        <v>7.9937290522554534</v>
      </c>
      <c r="S387">
        <f t="shared" si="131"/>
        <v>8.116886827113003</v>
      </c>
      <c r="T387">
        <f t="shared" ref="T387:T450" si="134">S387-B387</f>
        <v>2.5299718716619681</v>
      </c>
      <c r="U387">
        <f t="shared" ref="U387:U450" si="135">B387-S387</f>
        <v>-2.5299718716619681</v>
      </c>
      <c r="V387">
        <f t="shared" si="120"/>
        <v>7.987426796053172</v>
      </c>
      <c r="W387">
        <f t="shared" ref="W387:W450" si="136">B387-V387</f>
        <v>-2.4005118406021371</v>
      </c>
      <c r="X387">
        <f t="shared" si="121"/>
        <v>7.9581163860925228</v>
      </c>
      <c r="Y387">
        <f t="shared" ref="Y387:Y450" si="137">B387-X387</f>
        <v>-2.3712014306414879</v>
      </c>
      <c r="Z387">
        <f t="shared" si="122"/>
        <v>8.0434477820563757</v>
      </c>
      <c r="AA387">
        <f t="shared" ref="AA387:AA450" si="138">B387-Z387</f>
        <v>-2.4565328266053408</v>
      </c>
      <c r="AB387">
        <f t="shared" ref="AB387:AB450" si="139">B387- ((0.00556 * A387)  +5.509)</f>
        <v>-2.0626850445489655</v>
      </c>
      <c r="AC387">
        <f t="shared" ref="AC387:AC450" si="140">0.00075*A387 + 5.509 + ($AI$6*SIN((A387/$AI$7)+ $AI$8))+ ($AI$6*COS((A387/$AI$7) + $AI$8))+ $AI$9</f>
        <v>7.4097193912809383</v>
      </c>
      <c r="AD387">
        <f t="shared" ref="AD387:AD450" si="141">B387-AC387</f>
        <v>-1.8228044358299034</v>
      </c>
    </row>
    <row r="388" spans="1:30">
      <c r="A388">
        <v>386</v>
      </c>
      <c r="B388">
        <v>5.5039576910271073</v>
      </c>
      <c r="C388">
        <f t="shared" si="123"/>
        <v>7.2723025877985652</v>
      </c>
      <c r="D388">
        <f t="shared" si="123"/>
        <v>8.238239562769369</v>
      </c>
      <c r="E388">
        <f t="shared" si="124"/>
        <v>7.7852798179095011</v>
      </c>
      <c r="F388">
        <f t="shared" si="127"/>
        <v>7.1951604998502745</v>
      </c>
      <c r="G388">
        <f t="shared" si="127"/>
        <v>7.5036494254797965</v>
      </c>
      <c r="H388">
        <f t="shared" si="127"/>
        <v>8.1829965754355136</v>
      </c>
      <c r="I388">
        <f t="shared" si="132"/>
        <v>2.6790388844084063</v>
      </c>
      <c r="J388">
        <f t="shared" si="125"/>
        <v>7.4321597320992847</v>
      </c>
      <c r="K388">
        <f t="shared" si="129"/>
        <v>7.3453463496172189</v>
      </c>
      <c r="L388">
        <f t="shared" si="129"/>
        <v>7.9820784189077054</v>
      </c>
      <c r="M388">
        <f t="shared" si="129"/>
        <v>8.2572295123066972</v>
      </c>
      <c r="N388">
        <f t="shared" si="133"/>
        <v>2.7532718212795899</v>
      </c>
      <c r="O388">
        <f t="shared" si="126"/>
        <v>7.0465193238848487</v>
      </c>
      <c r="P388">
        <f t="shared" si="130"/>
        <v>7.4879643572072876</v>
      </c>
      <c r="Q388">
        <f t="shared" si="128"/>
        <v>7.0747574024092037</v>
      </c>
      <c r="R388">
        <f t="shared" si="131"/>
        <v>7.9069926068522065</v>
      </c>
      <c r="S388">
        <f t="shared" si="131"/>
        <v>8.1370867074042206</v>
      </c>
      <c r="T388">
        <f t="shared" si="134"/>
        <v>2.6331290163771133</v>
      </c>
      <c r="U388">
        <f t="shared" si="135"/>
        <v>-2.6331290163771133</v>
      </c>
      <c r="V388">
        <f t="shared" ref="V388:V451" si="142">V387+0.1*(B387-V387)</f>
        <v>7.7473756119929584</v>
      </c>
      <c r="W388">
        <f t="shared" si="136"/>
        <v>-2.2434179209658511</v>
      </c>
      <c r="X388">
        <f t="shared" ref="X388:X451" si="143">X387+0.2*(B387-X387)</f>
        <v>7.4838760999642249</v>
      </c>
      <c r="Y388">
        <f t="shared" si="137"/>
        <v>-1.9799184089371176</v>
      </c>
      <c r="Z388">
        <f t="shared" ref="Z388:Z451" si="144">Z387+0.3*(B387-Z387)</f>
        <v>7.3064879340747737</v>
      </c>
      <c r="AA388">
        <f t="shared" si="138"/>
        <v>-1.8025302430476664</v>
      </c>
      <c r="AB388">
        <f t="shared" si="139"/>
        <v>-2.1512023089728931</v>
      </c>
      <c r="AC388">
        <f t="shared" si="140"/>
        <v>7.358738189055698</v>
      </c>
      <c r="AD388">
        <f t="shared" si="141"/>
        <v>-1.8547804980285907</v>
      </c>
    </row>
    <row r="389" spans="1:30">
      <c r="A389">
        <v>387</v>
      </c>
      <c r="B389">
        <v>8.4633935141080929</v>
      </c>
      <c r="C389">
        <f t="shared" ref="C389:D452" si="145">AVERAGE(B387:B388)</f>
        <v>5.5454363232390715</v>
      </c>
      <c r="D389">
        <f t="shared" si="145"/>
        <v>8.0783824184686495</v>
      </c>
      <c r="E389">
        <f t="shared" si="124"/>
        <v>6.6828542888747462</v>
      </c>
      <c r="F389">
        <f t="shared" si="127"/>
        <v>7.6688421101838058</v>
      </c>
      <c r="G389">
        <f t="shared" si="127"/>
        <v>7.1740311400634127</v>
      </c>
      <c r="H389">
        <f t="shared" si="127"/>
        <v>7.9213086674460973</v>
      </c>
      <c r="I389">
        <f t="shared" si="132"/>
        <v>-0.54208484666199563</v>
      </c>
      <c r="J389">
        <f t="shared" si="125"/>
        <v>7.2149492861889026</v>
      </c>
      <c r="K389">
        <f t="shared" si="129"/>
        <v>7.3305586837895511</v>
      </c>
      <c r="L389">
        <f t="shared" si="129"/>
        <v>7.7338059054398443</v>
      </c>
      <c r="M389">
        <f t="shared" si="129"/>
        <v>8.1841708914691669</v>
      </c>
      <c r="N389">
        <f t="shared" si="133"/>
        <v>-0.27922262263892605</v>
      </c>
      <c r="O389">
        <f t="shared" si="126"/>
        <v>7.4646381317727402</v>
      </c>
      <c r="P389">
        <f t="shared" si="130"/>
        <v>7.2994710856678768</v>
      </c>
      <c r="Q389">
        <f t="shared" si="128"/>
        <v>6.9284297386006486</v>
      </c>
      <c r="R389">
        <f t="shared" si="131"/>
        <v>7.6750092430915187</v>
      </c>
      <c r="S389">
        <f t="shared" si="131"/>
        <v>8.1100293857681525</v>
      </c>
      <c r="T389">
        <f t="shared" si="134"/>
        <v>-0.35336412833994046</v>
      </c>
      <c r="U389">
        <f t="shared" si="135"/>
        <v>0.35336412833994046</v>
      </c>
      <c r="V389">
        <f t="shared" si="142"/>
        <v>7.5230338198963729</v>
      </c>
      <c r="W389">
        <f t="shared" si="136"/>
        <v>0.94035969421172005</v>
      </c>
      <c r="X389">
        <f t="shared" si="143"/>
        <v>7.0878924181768017</v>
      </c>
      <c r="Y389">
        <f t="shared" si="137"/>
        <v>1.3755010959312912</v>
      </c>
      <c r="Z389">
        <f t="shared" si="144"/>
        <v>6.7657288611604738</v>
      </c>
      <c r="AA389">
        <f t="shared" si="138"/>
        <v>1.6976646529476191</v>
      </c>
      <c r="AB389">
        <f t="shared" si="139"/>
        <v>0.80267351410809251</v>
      </c>
      <c r="AC389">
        <f t="shared" si="140"/>
        <v>7.3078235857918328</v>
      </c>
      <c r="AD389">
        <f t="shared" si="141"/>
        <v>1.1555699283162602</v>
      </c>
    </row>
    <row r="390" spans="1:30">
      <c r="A390">
        <v>388</v>
      </c>
      <c r="B390">
        <v>7.5025157416243493</v>
      </c>
      <c r="C390">
        <f t="shared" si="145"/>
        <v>6.9836756025676001</v>
      </c>
      <c r="D390">
        <f t="shared" si="145"/>
        <v>6.4088694555188184</v>
      </c>
      <c r="E390">
        <f t="shared" ref="E390:E453" si="146">AVERAGE(B387:B389)</f>
        <v>6.5180887201954123</v>
      </c>
      <c r="F390">
        <f t="shared" si="127"/>
        <v>7.5051251436998712</v>
      </c>
      <c r="G390">
        <f t="shared" si="127"/>
        <v>7.3035036862813447</v>
      </c>
      <c r="H390">
        <f t="shared" si="127"/>
        <v>7.5364995375690285</v>
      </c>
      <c r="I390">
        <f t="shared" si="132"/>
        <v>3.3983795944679152E-2</v>
      </c>
      <c r="J390">
        <f t="shared" si="125"/>
        <v>7.1279890951830822</v>
      </c>
      <c r="K390">
        <f t="shared" si="129"/>
        <v>7.3107550685710372</v>
      </c>
      <c r="L390">
        <f t="shared" si="129"/>
        <v>7.5379203478997292</v>
      </c>
      <c r="M390">
        <f t="shared" si="129"/>
        <v>8.0373363822035575</v>
      </c>
      <c r="N390">
        <f t="shared" si="133"/>
        <v>0.5348206405792082</v>
      </c>
      <c r="O390">
        <f t="shared" si="126"/>
        <v>7.202894424471336</v>
      </c>
      <c r="P390">
        <f t="shared" si="130"/>
        <v>7.3388770697700849</v>
      </c>
      <c r="Q390">
        <f t="shared" si="128"/>
        <v>7.2826650222553893</v>
      </c>
      <c r="R390">
        <f t="shared" si="131"/>
        <v>7.4822890887954898</v>
      </c>
      <c r="S390">
        <f t="shared" si="131"/>
        <v>8.0241285985996011</v>
      </c>
      <c r="T390">
        <f t="shared" si="134"/>
        <v>0.52161285697525184</v>
      </c>
      <c r="U390">
        <f t="shared" si="135"/>
        <v>-0.52161285697525184</v>
      </c>
      <c r="V390">
        <f t="shared" si="142"/>
        <v>7.6170697893175445</v>
      </c>
      <c r="W390">
        <f t="shared" si="136"/>
        <v>-0.11455404769319522</v>
      </c>
      <c r="X390">
        <f t="shared" si="143"/>
        <v>7.3629926373630603</v>
      </c>
      <c r="Y390">
        <f t="shared" si="137"/>
        <v>0.139523104261289</v>
      </c>
      <c r="Z390">
        <f t="shared" si="144"/>
        <v>7.2750282570447595</v>
      </c>
      <c r="AA390">
        <f t="shared" si="138"/>
        <v>0.22748748457958978</v>
      </c>
      <c r="AB390">
        <f t="shared" si="139"/>
        <v>-0.16376425837565112</v>
      </c>
      <c r="AC390">
        <f t="shared" si="140"/>
        <v>7.2569899324358236</v>
      </c>
      <c r="AD390">
        <f t="shared" si="141"/>
        <v>0.24552580918852573</v>
      </c>
    </row>
    <row r="391" spans="1:30">
      <c r="A391">
        <v>389</v>
      </c>
      <c r="B391">
        <v>5.402532266537607</v>
      </c>
      <c r="C391">
        <f t="shared" si="145"/>
        <v>7.9829546278662207</v>
      </c>
      <c r="D391">
        <f t="shared" si="145"/>
        <v>6.2645559629033354</v>
      </c>
      <c r="E391">
        <f t="shared" si="146"/>
        <v>7.1566223155865165</v>
      </c>
      <c r="F391">
        <f t="shared" si="127"/>
        <v>6.9954076089932196</v>
      </c>
      <c r="G391">
        <f t="shared" si="127"/>
        <v>7.4563759179113172</v>
      </c>
      <c r="H391">
        <f t="shared" si="127"/>
        <v>7.3270614172748516</v>
      </c>
      <c r="I391">
        <f t="shared" si="132"/>
        <v>1.9245291507372446</v>
      </c>
      <c r="J391">
        <f t="shared" ref="J391:J454" si="147">AVERAGE(B387:B390)</f>
        <v>6.764195475552647</v>
      </c>
      <c r="K391">
        <f t="shared" si="129"/>
        <v>7.3487561399381764</v>
      </c>
      <c r="L391">
        <f t="shared" si="129"/>
        <v>7.3818647505644464</v>
      </c>
      <c r="M391">
        <f t="shared" si="129"/>
        <v>7.8561671481103437</v>
      </c>
      <c r="N391">
        <f t="shared" si="133"/>
        <v>2.4536348815727367</v>
      </c>
      <c r="O391">
        <f t="shared" ref="O391:O454" si="148">AVERAGE(B387:B391)</f>
        <v>6.4918628337496385</v>
      </c>
      <c r="P391">
        <f t="shared" si="130"/>
        <v>7.2599403840090231</v>
      </c>
      <c r="Q391">
        <f t="shared" si="128"/>
        <v>7.4709510667480084</v>
      </c>
      <c r="R391">
        <f t="shared" si="131"/>
        <v>7.3924359911982984</v>
      </c>
      <c r="S391">
        <f t="shared" si="131"/>
        <v>7.9039384232350089</v>
      </c>
      <c r="T391">
        <f t="shared" si="134"/>
        <v>2.501406156697402</v>
      </c>
      <c r="U391">
        <f t="shared" si="135"/>
        <v>-2.501406156697402</v>
      </c>
      <c r="V391">
        <f t="shared" si="142"/>
        <v>7.6056143845482254</v>
      </c>
      <c r="W391">
        <f t="shared" si="136"/>
        <v>-2.2030821180106184</v>
      </c>
      <c r="X391">
        <f t="shared" si="143"/>
        <v>7.3908972582153183</v>
      </c>
      <c r="Y391">
        <f t="shared" si="137"/>
        <v>-1.9883649916777113</v>
      </c>
      <c r="Z391">
        <f t="shared" si="144"/>
        <v>7.3432745024186366</v>
      </c>
      <c r="AA391">
        <f t="shared" si="138"/>
        <v>-1.9407422358810296</v>
      </c>
      <c r="AB391">
        <f t="shared" si="139"/>
        <v>-2.2693077334623935</v>
      </c>
      <c r="AC391">
        <f t="shared" si="140"/>
        <v>7.2062515574485921</v>
      </c>
      <c r="AD391">
        <f t="shared" si="141"/>
        <v>-1.8037192909109852</v>
      </c>
    </row>
    <row r="392" spans="1:30">
      <c r="A392">
        <v>390</v>
      </c>
      <c r="B392">
        <v>4.8767667808878894</v>
      </c>
      <c r="C392">
        <f t="shared" si="145"/>
        <v>6.4525240040809777</v>
      </c>
      <c r="D392">
        <f t="shared" si="145"/>
        <v>7.4833151152169108</v>
      </c>
      <c r="E392">
        <f t="shared" si="146"/>
        <v>7.1228138407566819</v>
      </c>
      <c r="F392">
        <f t="shared" si="127"/>
        <v>6.7858551082188923</v>
      </c>
      <c r="G392">
        <f t="shared" si="127"/>
        <v>7.3897916209589658</v>
      </c>
      <c r="H392">
        <f t="shared" si="127"/>
        <v>7.3113035814186915</v>
      </c>
      <c r="I392">
        <f t="shared" si="132"/>
        <v>2.4345368005308021</v>
      </c>
      <c r="J392">
        <f t="shared" si="147"/>
        <v>6.7180998033242894</v>
      </c>
      <c r="K392">
        <f t="shared" si="129"/>
        <v>7.1348233972559791</v>
      </c>
      <c r="L392">
        <f t="shared" si="129"/>
        <v>7.3338540604789966</v>
      </c>
      <c r="M392">
        <f t="shared" si="129"/>
        <v>7.6589173557029309</v>
      </c>
      <c r="N392">
        <f t="shared" si="133"/>
        <v>2.7821505748150415</v>
      </c>
      <c r="O392">
        <f t="shared" si="148"/>
        <v>6.3498331988370094</v>
      </c>
      <c r="P392">
        <f t="shared" si="130"/>
        <v>7.0838477723987836</v>
      </c>
      <c r="Q392">
        <f t="shared" si="128"/>
        <v>6.902834064815714</v>
      </c>
      <c r="R392">
        <f t="shared" si="131"/>
        <v>7.3509909500291286</v>
      </c>
      <c r="S392">
        <f t="shared" si="131"/>
        <v>7.7690424179299882</v>
      </c>
      <c r="T392">
        <f t="shared" si="134"/>
        <v>2.8922756370420988</v>
      </c>
      <c r="U392">
        <f t="shared" si="135"/>
        <v>-2.8922756370420988</v>
      </c>
      <c r="V392">
        <f t="shared" si="142"/>
        <v>7.3853061727471632</v>
      </c>
      <c r="W392">
        <f t="shared" si="136"/>
        <v>-2.5085393918592738</v>
      </c>
      <c r="X392">
        <f t="shared" si="143"/>
        <v>6.993224259879776</v>
      </c>
      <c r="Y392">
        <f t="shared" si="137"/>
        <v>-2.1164574789918866</v>
      </c>
      <c r="Z392">
        <f t="shared" si="144"/>
        <v>6.7610518316543278</v>
      </c>
      <c r="AA392">
        <f t="shared" si="138"/>
        <v>-1.8842850507664384</v>
      </c>
      <c r="AB392">
        <f t="shared" si="139"/>
        <v>-2.800633219112111</v>
      </c>
      <c r="AC392">
        <f t="shared" si="140"/>
        <v>7.155622762825451</v>
      </c>
      <c r="AD392">
        <f t="shared" si="141"/>
        <v>-2.2788559819375616</v>
      </c>
    </row>
    <row r="393" spans="1:30">
      <c r="A393">
        <v>391</v>
      </c>
      <c r="B393">
        <v>6.7997955467696114</v>
      </c>
      <c r="C393">
        <f t="shared" si="145"/>
        <v>5.1396495237127482</v>
      </c>
      <c r="D393">
        <f t="shared" si="145"/>
        <v>7.2177393159735992</v>
      </c>
      <c r="E393">
        <f t="shared" si="146"/>
        <v>5.9272715963499492</v>
      </c>
      <c r="F393">
        <f t="shared" ref="F393:H456" si="149">AVERAGE(E390:E392)</f>
        <v>6.9325082921795369</v>
      </c>
      <c r="G393">
        <f t="shared" si="149"/>
        <v>7.0954626203039943</v>
      </c>
      <c r="H393">
        <f t="shared" si="149"/>
        <v>7.3832237417172095</v>
      </c>
      <c r="I393">
        <f t="shared" si="132"/>
        <v>0.58342819494759812</v>
      </c>
      <c r="J393">
        <f t="shared" si="147"/>
        <v>6.5613020757894844</v>
      </c>
      <c r="K393">
        <f t="shared" si="129"/>
        <v>6.9563084150622307</v>
      </c>
      <c r="L393">
        <f t="shared" si="129"/>
        <v>7.2812233223886853</v>
      </c>
      <c r="M393">
        <f t="shared" si="129"/>
        <v>7.4968612660957543</v>
      </c>
      <c r="N393">
        <f t="shared" si="133"/>
        <v>0.69706571932614292</v>
      </c>
      <c r="O393">
        <f t="shared" si="148"/>
        <v>6.6090007699855091</v>
      </c>
      <c r="P393">
        <f t="shared" si="130"/>
        <v>6.9111495825431151</v>
      </c>
      <c r="Q393">
        <f t="shared" ref="Q393:Q456" si="150">AVERAGE(B387:B392)</f>
        <v>6.2226801582726807</v>
      </c>
      <c r="R393">
        <f t="shared" si="131"/>
        <v>7.2473167570973089</v>
      </c>
      <c r="S393">
        <f t="shared" si="131"/>
        <v>7.6335744887036832</v>
      </c>
      <c r="T393">
        <f t="shared" si="134"/>
        <v>0.83377894193407176</v>
      </c>
      <c r="U393">
        <f t="shared" si="135"/>
        <v>-0.83377894193407176</v>
      </c>
      <c r="V393">
        <f t="shared" si="142"/>
        <v>7.1344522335612357</v>
      </c>
      <c r="W393">
        <f t="shared" si="136"/>
        <v>-0.3346566867916243</v>
      </c>
      <c r="X393">
        <f t="shared" si="143"/>
        <v>6.5699327640813987</v>
      </c>
      <c r="Y393">
        <f t="shared" si="137"/>
        <v>0.2298627826882127</v>
      </c>
      <c r="Z393">
        <f t="shared" si="144"/>
        <v>6.1957663164243959</v>
      </c>
      <c r="AA393">
        <f t="shared" si="138"/>
        <v>0.6040292303452155</v>
      </c>
      <c r="AB393">
        <f t="shared" si="139"/>
        <v>-0.88316445323038906</v>
      </c>
      <c r="AC393">
        <f t="shared" si="140"/>
        <v>7.1051178201234304</v>
      </c>
      <c r="AD393">
        <f t="shared" si="141"/>
        <v>-0.30532227335381901</v>
      </c>
    </row>
    <row r="394" spans="1:30">
      <c r="A394">
        <v>392</v>
      </c>
      <c r="B394">
        <v>7.36746456197959</v>
      </c>
      <c r="C394">
        <f t="shared" si="145"/>
        <v>5.83828116382875</v>
      </c>
      <c r="D394">
        <f t="shared" si="145"/>
        <v>5.7960867638968629</v>
      </c>
      <c r="E394">
        <f t="shared" si="146"/>
        <v>5.6930315313983693</v>
      </c>
      <c r="F394">
        <f t="shared" si="149"/>
        <v>6.7355692508977159</v>
      </c>
      <c r="G394">
        <f t="shared" si="149"/>
        <v>6.9045903364638832</v>
      </c>
      <c r="H394">
        <f t="shared" si="149"/>
        <v>7.3138767197247594</v>
      </c>
      <c r="I394">
        <f t="shared" si="132"/>
        <v>-5.3587842254830598E-2</v>
      </c>
      <c r="J394">
        <f t="shared" si="147"/>
        <v>6.1454025839548647</v>
      </c>
      <c r="K394">
        <f t="shared" si="129"/>
        <v>6.7928966124623757</v>
      </c>
      <c r="L394">
        <f t="shared" si="129"/>
        <v>7.1876607552068563</v>
      </c>
      <c r="M394">
        <f t="shared" si="129"/>
        <v>7.3837156203329641</v>
      </c>
      <c r="N394">
        <f t="shared" si="133"/>
        <v>1.6251058353374148E-2</v>
      </c>
      <c r="O394">
        <f t="shared" si="148"/>
        <v>6.3898149795598105</v>
      </c>
      <c r="P394">
        <f t="shared" si="130"/>
        <v>6.8236458717632456</v>
      </c>
      <c r="Q394">
        <f t="shared" si="150"/>
        <v>6.4248269234924429</v>
      </c>
      <c r="R394">
        <f t="shared" si="131"/>
        <v>6.9803862421836085</v>
      </c>
      <c r="S394">
        <f t="shared" si="131"/>
        <v>7.5091724395106594</v>
      </c>
      <c r="T394">
        <f t="shared" si="134"/>
        <v>0.14170787753106939</v>
      </c>
      <c r="U394">
        <f t="shared" si="135"/>
        <v>-0.14170787753106939</v>
      </c>
      <c r="V394">
        <f t="shared" si="142"/>
        <v>7.1009865648820734</v>
      </c>
      <c r="W394">
        <f t="shared" si="136"/>
        <v>0.26647799709751663</v>
      </c>
      <c r="X394">
        <f t="shared" si="143"/>
        <v>6.6159053206190412</v>
      </c>
      <c r="Y394">
        <f t="shared" si="137"/>
        <v>0.75155924136054875</v>
      </c>
      <c r="Z394">
        <f t="shared" si="144"/>
        <v>6.3769750855279606</v>
      </c>
      <c r="AA394">
        <f t="shared" si="138"/>
        <v>0.99048947645162944</v>
      </c>
      <c r="AB394">
        <f t="shared" si="139"/>
        <v>-0.32105543802041048</v>
      </c>
      <c r="AC394">
        <f t="shared" si="140"/>
        <v>7.0547509664970471</v>
      </c>
      <c r="AD394">
        <f t="shared" si="141"/>
        <v>0.31271359548254285</v>
      </c>
    </row>
    <row r="395" spans="1:30">
      <c r="A395">
        <v>393</v>
      </c>
      <c r="B395">
        <v>6.9759120613732275</v>
      </c>
      <c r="C395">
        <f t="shared" si="145"/>
        <v>7.0836300543746002</v>
      </c>
      <c r="D395">
        <f t="shared" si="145"/>
        <v>5.4889653437707491</v>
      </c>
      <c r="E395">
        <f t="shared" si="146"/>
        <v>6.3480089632123624</v>
      </c>
      <c r="F395">
        <f t="shared" si="149"/>
        <v>6.2477056561683328</v>
      </c>
      <c r="G395">
        <f t="shared" si="149"/>
        <v>6.8179775504320483</v>
      </c>
      <c r="H395">
        <f t="shared" si="149"/>
        <v>7.1299481925756147</v>
      </c>
      <c r="I395">
        <f t="shared" si="132"/>
        <v>0.15403613120238724</v>
      </c>
      <c r="J395">
        <f t="shared" si="147"/>
        <v>6.1116397890436751</v>
      </c>
      <c r="K395">
        <f t="shared" ref="K395:M458" si="151">AVERAGE(J391:J394)</f>
        <v>6.5472499846553216</v>
      </c>
      <c r="L395">
        <f t="shared" si="151"/>
        <v>7.0581961411796907</v>
      </c>
      <c r="M395">
        <f t="shared" si="151"/>
        <v>7.2961507221597461</v>
      </c>
      <c r="N395">
        <f t="shared" si="133"/>
        <v>0.32023866078651864</v>
      </c>
      <c r="O395">
        <f t="shared" si="148"/>
        <v>6.2844942435095863</v>
      </c>
      <c r="P395">
        <f t="shared" si="130"/>
        <v>6.6086812413206619</v>
      </c>
      <c r="Q395">
        <f t="shared" si="150"/>
        <v>6.7354114019845222</v>
      </c>
      <c r="R395">
        <f t="shared" si="131"/>
        <v>6.8720644956974821</v>
      </c>
      <c r="S395">
        <f t="shared" si="131"/>
        <v>7.3547380453992242</v>
      </c>
      <c r="T395">
        <f t="shared" si="134"/>
        <v>0.37882598402599665</v>
      </c>
      <c r="U395">
        <f t="shared" si="135"/>
        <v>-0.37882598402599665</v>
      </c>
      <c r="V395">
        <f t="shared" si="142"/>
        <v>7.1276343645918248</v>
      </c>
      <c r="W395">
        <f t="shared" si="136"/>
        <v>-0.15172230321859725</v>
      </c>
      <c r="X395">
        <f t="shared" si="143"/>
        <v>6.766217168891151</v>
      </c>
      <c r="Y395">
        <f t="shared" si="137"/>
        <v>0.20969489248207651</v>
      </c>
      <c r="Z395">
        <f t="shared" si="144"/>
        <v>6.6741219284634496</v>
      </c>
      <c r="AA395">
        <f t="shared" si="138"/>
        <v>0.30179013290977785</v>
      </c>
      <c r="AB395">
        <f t="shared" si="139"/>
        <v>-0.71816793862677297</v>
      </c>
      <c r="AC395">
        <f t="shared" si="140"/>
        <v>7.0045364007436284</v>
      </c>
      <c r="AD395">
        <f t="shared" si="141"/>
        <v>-2.8624339370400875E-2</v>
      </c>
    </row>
    <row r="396" spans="1:30">
      <c r="A396">
        <v>394</v>
      </c>
      <c r="B396">
        <v>4.5229859169780315</v>
      </c>
      <c r="C396">
        <f t="shared" si="145"/>
        <v>7.1716883116764087</v>
      </c>
      <c r="D396">
        <f t="shared" si="145"/>
        <v>6.4609556091016751</v>
      </c>
      <c r="E396">
        <f t="shared" si="146"/>
        <v>7.0477240567074757</v>
      </c>
      <c r="F396">
        <f t="shared" si="149"/>
        <v>5.9894373636535603</v>
      </c>
      <c r="G396">
        <f t="shared" si="149"/>
        <v>6.6385943997485279</v>
      </c>
      <c r="H396">
        <f t="shared" si="149"/>
        <v>6.939343502399975</v>
      </c>
      <c r="I396">
        <f t="shared" si="132"/>
        <v>2.4163575854219435</v>
      </c>
      <c r="J396">
        <f t="shared" si="147"/>
        <v>6.5049847377525793</v>
      </c>
      <c r="K396">
        <f t="shared" si="151"/>
        <v>6.3841110630280786</v>
      </c>
      <c r="L396">
        <f t="shared" si="151"/>
        <v>6.8578196023589761</v>
      </c>
      <c r="M396">
        <f t="shared" si="151"/>
        <v>7.2152335698135577</v>
      </c>
      <c r="N396">
        <f t="shared" si="133"/>
        <v>2.6922476528355261</v>
      </c>
      <c r="O396">
        <f t="shared" si="148"/>
        <v>6.1085849735976696</v>
      </c>
      <c r="P396">
        <f t="shared" si="130"/>
        <v>6.4250012051283107</v>
      </c>
      <c r="Q396">
        <f t="shared" si="150"/>
        <v>6.4874978265287133</v>
      </c>
      <c r="R396">
        <f t="shared" si="131"/>
        <v>6.8398947729281261</v>
      </c>
      <c r="S396">
        <f t="shared" si="131"/>
        <v>7.220913920833552</v>
      </c>
      <c r="T396">
        <f t="shared" si="134"/>
        <v>2.6979280038555205</v>
      </c>
      <c r="U396">
        <f t="shared" si="135"/>
        <v>-2.6979280038555205</v>
      </c>
      <c r="V396">
        <f t="shared" si="142"/>
        <v>7.1124621342699648</v>
      </c>
      <c r="W396">
        <f t="shared" si="136"/>
        <v>-2.5894762172919332</v>
      </c>
      <c r="X396">
        <f t="shared" si="143"/>
        <v>6.8081561473875665</v>
      </c>
      <c r="Y396">
        <f t="shared" si="137"/>
        <v>-2.2851702304095349</v>
      </c>
      <c r="Z396">
        <f t="shared" si="144"/>
        <v>6.7646589683363834</v>
      </c>
      <c r="AA396">
        <f t="shared" si="138"/>
        <v>-2.2416730513583518</v>
      </c>
      <c r="AB396">
        <f t="shared" si="139"/>
        <v>-3.1766540830219689</v>
      </c>
      <c r="AC396">
        <f t="shared" si="140"/>
        <v>6.9544882793592935</v>
      </c>
      <c r="AD396">
        <f t="shared" si="141"/>
        <v>-2.4315023623812619</v>
      </c>
    </row>
    <row r="397" spans="1:30">
      <c r="A397">
        <v>395</v>
      </c>
      <c r="B397">
        <v>5.8486535578526784</v>
      </c>
      <c r="C397">
        <f t="shared" si="145"/>
        <v>5.7494489891756295</v>
      </c>
      <c r="D397">
        <f t="shared" si="145"/>
        <v>7.1276591830255045</v>
      </c>
      <c r="E397">
        <f t="shared" si="146"/>
        <v>6.2887875134436158</v>
      </c>
      <c r="F397">
        <f t="shared" si="149"/>
        <v>6.3629215171060691</v>
      </c>
      <c r="G397">
        <f t="shared" si="149"/>
        <v>6.3242374235732024</v>
      </c>
      <c r="H397">
        <f t="shared" si="149"/>
        <v>6.7870540955481529</v>
      </c>
      <c r="I397">
        <f t="shared" si="132"/>
        <v>0.93840053769547449</v>
      </c>
      <c r="J397">
        <f t="shared" si="147"/>
        <v>6.416539521775114</v>
      </c>
      <c r="K397">
        <f t="shared" si="151"/>
        <v>6.3308322966351511</v>
      </c>
      <c r="L397">
        <f t="shared" si="151"/>
        <v>6.6701415188020015</v>
      </c>
      <c r="M397">
        <f t="shared" si="151"/>
        <v>7.0962249552835521</v>
      </c>
      <c r="N397">
        <f t="shared" si="133"/>
        <v>1.2475713974308738</v>
      </c>
      <c r="O397">
        <f t="shared" si="148"/>
        <v>6.3029623289906267</v>
      </c>
      <c r="P397">
        <f t="shared" ref="P397:P460" si="152">AVERAGE(O392:O396)</f>
        <v>6.3483456330979156</v>
      </c>
      <c r="Q397">
        <f t="shared" si="150"/>
        <v>5.9909095224209929</v>
      </c>
      <c r="R397">
        <f t="shared" si="131"/>
        <v>6.7073669069736797</v>
      </c>
      <c r="S397">
        <f t="shared" si="131"/>
        <v>7.1138482015223259</v>
      </c>
      <c r="T397">
        <f t="shared" si="134"/>
        <v>1.2651946436696475</v>
      </c>
      <c r="U397">
        <f t="shared" si="135"/>
        <v>-1.2651946436696475</v>
      </c>
      <c r="V397">
        <f t="shared" si="142"/>
        <v>6.8535145125407713</v>
      </c>
      <c r="W397">
        <f t="shared" si="136"/>
        <v>-1.0048609546880929</v>
      </c>
      <c r="X397">
        <f t="shared" si="143"/>
        <v>6.3511221013056591</v>
      </c>
      <c r="Y397">
        <f t="shared" si="137"/>
        <v>-0.50246854345298075</v>
      </c>
      <c r="Z397">
        <f t="shared" si="144"/>
        <v>6.0921570529288775</v>
      </c>
      <c r="AA397">
        <f t="shared" si="138"/>
        <v>-0.24350349507619917</v>
      </c>
      <c r="AB397">
        <f t="shared" si="139"/>
        <v>-1.8565464421473221</v>
      </c>
      <c r="AC397">
        <f t="shared" si="140"/>
        <v>6.9046207126066825</v>
      </c>
      <c r="AD397">
        <f t="shared" si="141"/>
        <v>-1.0559671547540042</v>
      </c>
    </row>
    <row r="398" spans="1:30">
      <c r="A398">
        <v>396</v>
      </c>
      <c r="B398">
        <v>8.2347492682129193</v>
      </c>
      <c r="C398">
        <f t="shared" si="145"/>
        <v>5.185819737415355</v>
      </c>
      <c r="D398">
        <f t="shared" si="145"/>
        <v>6.4605686504260191</v>
      </c>
      <c r="E398">
        <f t="shared" si="146"/>
        <v>5.7825171787346461</v>
      </c>
      <c r="F398">
        <f t="shared" si="149"/>
        <v>6.5615068444544846</v>
      </c>
      <c r="G398">
        <f t="shared" si="149"/>
        <v>6.2000215123093207</v>
      </c>
      <c r="H398">
        <f t="shared" si="149"/>
        <v>6.5936031245845932</v>
      </c>
      <c r="I398">
        <f t="shared" si="132"/>
        <v>-1.6411461436283261</v>
      </c>
      <c r="J398">
        <f t="shared" si="147"/>
        <v>6.1787540245458814</v>
      </c>
      <c r="K398">
        <f t="shared" si="151"/>
        <v>6.2946416581315585</v>
      </c>
      <c r="L398">
        <f t="shared" si="151"/>
        <v>6.5137724891952322</v>
      </c>
      <c r="M398">
        <f t="shared" si="151"/>
        <v>6.9434545043868807</v>
      </c>
      <c r="N398">
        <f t="shared" si="133"/>
        <v>-1.2912947638260386</v>
      </c>
      <c r="O398">
        <f t="shared" si="148"/>
        <v>6.5899530732792897</v>
      </c>
      <c r="P398">
        <f t="shared" si="152"/>
        <v>6.3389714591286408</v>
      </c>
      <c r="Q398">
        <f t="shared" si="150"/>
        <v>6.0652630709735043</v>
      </c>
      <c r="R398">
        <f t="shared" si="131"/>
        <v>6.4606933162525104</v>
      </c>
      <c r="S398">
        <f t="shared" si="131"/>
        <v>6.9996700208182228</v>
      </c>
      <c r="T398">
        <f t="shared" si="134"/>
        <v>-1.2350792473946965</v>
      </c>
      <c r="U398">
        <f t="shared" si="135"/>
        <v>1.2350792473946965</v>
      </c>
      <c r="V398">
        <f t="shared" si="142"/>
        <v>6.7530284170719623</v>
      </c>
      <c r="W398">
        <f t="shared" si="136"/>
        <v>1.481720851140957</v>
      </c>
      <c r="X398">
        <f t="shared" si="143"/>
        <v>6.250628392615063</v>
      </c>
      <c r="Y398">
        <f t="shared" si="137"/>
        <v>1.9841208755978563</v>
      </c>
      <c r="Z398">
        <f t="shared" si="144"/>
        <v>6.0191060044060176</v>
      </c>
      <c r="AA398">
        <f t="shared" si="138"/>
        <v>2.2156432638069017</v>
      </c>
      <c r="AB398">
        <f t="shared" si="139"/>
        <v>0.5239892682129188</v>
      </c>
      <c r="AC398">
        <f t="shared" si="140"/>
        <v>6.8549477605955387</v>
      </c>
      <c r="AD398">
        <f t="shared" si="141"/>
        <v>1.3798015076173806</v>
      </c>
    </row>
    <row r="399" spans="1:30">
      <c r="A399">
        <v>397</v>
      </c>
      <c r="B399">
        <v>7.3696524336243039</v>
      </c>
      <c r="C399">
        <f t="shared" si="145"/>
        <v>7.0417014130327988</v>
      </c>
      <c r="D399">
        <f t="shared" si="145"/>
        <v>5.4676343632954918</v>
      </c>
      <c r="E399">
        <f t="shared" si="146"/>
        <v>6.2021295810145434</v>
      </c>
      <c r="F399">
        <f t="shared" si="149"/>
        <v>6.3730095829619131</v>
      </c>
      <c r="G399">
        <f t="shared" si="149"/>
        <v>6.3046219084047053</v>
      </c>
      <c r="H399">
        <f t="shared" si="149"/>
        <v>6.3876177785436843</v>
      </c>
      <c r="I399">
        <f t="shared" si="132"/>
        <v>-0.9820346550806196</v>
      </c>
      <c r="J399">
        <f t="shared" si="147"/>
        <v>6.3955752011042142</v>
      </c>
      <c r="K399">
        <f t="shared" si="151"/>
        <v>6.3029795182793125</v>
      </c>
      <c r="L399">
        <f t="shared" si="151"/>
        <v>6.3892087506125268</v>
      </c>
      <c r="M399">
        <f t="shared" si="151"/>
        <v>6.7749824378839758</v>
      </c>
      <c r="N399">
        <f t="shared" si="133"/>
        <v>-0.59466999574032808</v>
      </c>
      <c r="O399">
        <f t="shared" si="148"/>
        <v>6.590390647608233</v>
      </c>
      <c r="P399">
        <f t="shared" si="152"/>
        <v>6.3351619197873967</v>
      </c>
      <c r="Q399">
        <f t="shared" si="150"/>
        <v>6.6249268188610086</v>
      </c>
      <c r="R399">
        <f t="shared" ref="R399:S462" si="153">AVERAGE(Q393:Q398)</f>
        <v>6.3210981506121415</v>
      </c>
      <c r="S399">
        <f t="shared" si="153"/>
        <v>6.8512870818554532</v>
      </c>
      <c r="T399">
        <f t="shared" si="134"/>
        <v>-0.51836535176885068</v>
      </c>
      <c r="U399">
        <f t="shared" si="135"/>
        <v>0.51836535176885068</v>
      </c>
      <c r="V399">
        <f t="shared" si="142"/>
        <v>6.9012005021860583</v>
      </c>
      <c r="W399">
        <f t="shared" si="136"/>
        <v>0.46845193143824559</v>
      </c>
      <c r="X399">
        <f t="shared" si="143"/>
        <v>6.6474525677346339</v>
      </c>
      <c r="Y399">
        <f t="shared" si="137"/>
        <v>0.72219986588967</v>
      </c>
      <c r="Z399">
        <f t="shared" si="144"/>
        <v>6.6837989835480878</v>
      </c>
      <c r="AA399">
        <f t="shared" si="138"/>
        <v>0.68585345007621612</v>
      </c>
      <c r="AB399">
        <f t="shared" si="139"/>
        <v>-0.34666756637569573</v>
      </c>
      <c r="AC399">
        <f t="shared" si="140"/>
        <v>6.8054834293771984</v>
      </c>
      <c r="AD399">
        <f t="shared" si="141"/>
        <v>0.56416900424710548</v>
      </c>
    </row>
    <row r="400" spans="1:30">
      <c r="A400">
        <v>398</v>
      </c>
      <c r="B400">
        <v>5.7481131374090246</v>
      </c>
      <c r="C400">
        <f t="shared" si="145"/>
        <v>7.8022008509186112</v>
      </c>
      <c r="D400">
        <f t="shared" si="145"/>
        <v>6.1137605752240773</v>
      </c>
      <c r="E400">
        <f t="shared" si="146"/>
        <v>7.1510184198966336</v>
      </c>
      <c r="F400">
        <f t="shared" si="149"/>
        <v>6.0911447577309348</v>
      </c>
      <c r="G400">
        <f t="shared" si="149"/>
        <v>6.4324793148408226</v>
      </c>
      <c r="H400">
        <f t="shared" si="149"/>
        <v>6.2762936147624089</v>
      </c>
      <c r="I400">
        <f t="shared" si="132"/>
        <v>0.52818047735338425</v>
      </c>
      <c r="J400">
        <f t="shared" si="147"/>
        <v>6.4940102941669835</v>
      </c>
      <c r="K400">
        <f t="shared" si="151"/>
        <v>6.3739633712944475</v>
      </c>
      <c r="L400">
        <f t="shared" si="151"/>
        <v>6.3281411340185256</v>
      </c>
      <c r="M400">
        <f t="shared" si="151"/>
        <v>6.6077355902421839</v>
      </c>
      <c r="N400">
        <f t="shared" si="133"/>
        <v>0.8596224528331593</v>
      </c>
      <c r="O400">
        <f t="shared" si="148"/>
        <v>6.3448308628153915</v>
      </c>
      <c r="P400">
        <f t="shared" si="152"/>
        <v>6.3752770533970819</v>
      </c>
      <c r="Q400">
        <f t="shared" si="150"/>
        <v>6.7199029666701255</v>
      </c>
      <c r="R400">
        <f t="shared" si="153"/>
        <v>6.3881392607101972</v>
      </c>
      <c r="S400">
        <f t="shared" si="153"/>
        <v>6.6969173141079255</v>
      </c>
      <c r="T400">
        <f t="shared" si="134"/>
        <v>0.94880417669890083</v>
      </c>
      <c r="U400">
        <f t="shared" si="135"/>
        <v>-0.94880417669890083</v>
      </c>
      <c r="V400">
        <f t="shared" si="142"/>
        <v>6.948045695329883</v>
      </c>
      <c r="W400">
        <f t="shared" si="136"/>
        <v>-1.1999325579208584</v>
      </c>
      <c r="X400">
        <f t="shared" si="143"/>
        <v>6.7918925409125679</v>
      </c>
      <c r="Y400">
        <f t="shared" si="137"/>
        <v>-1.0437794035035433</v>
      </c>
      <c r="Z400">
        <f t="shared" si="144"/>
        <v>6.8895550185709524</v>
      </c>
      <c r="AA400">
        <f t="shared" si="138"/>
        <v>-1.1414418811619278</v>
      </c>
      <c r="AB400">
        <f t="shared" si="139"/>
        <v>-1.9737668625909759</v>
      </c>
      <c r="AC400">
        <f t="shared" si="140"/>
        <v>6.7562416670541205</v>
      </c>
      <c r="AD400">
        <f t="shared" si="141"/>
        <v>-1.0081285296450959</v>
      </c>
    </row>
    <row r="401" spans="1:30">
      <c r="A401">
        <v>399</v>
      </c>
      <c r="B401">
        <v>6.185277617563079</v>
      </c>
      <c r="C401">
        <f t="shared" si="145"/>
        <v>6.5588827855166638</v>
      </c>
      <c r="D401">
        <f t="shared" si="145"/>
        <v>7.421951131975705</v>
      </c>
      <c r="E401">
        <f t="shared" si="146"/>
        <v>7.1175049464154156</v>
      </c>
      <c r="F401">
        <f t="shared" si="149"/>
        <v>6.3785550598819407</v>
      </c>
      <c r="G401">
        <f t="shared" si="149"/>
        <v>6.3418870617157772</v>
      </c>
      <c r="H401">
        <f t="shared" si="149"/>
        <v>6.3123742451849489</v>
      </c>
      <c r="I401">
        <f t="shared" si="132"/>
        <v>0.12709662762186991</v>
      </c>
      <c r="J401">
        <f t="shared" si="147"/>
        <v>6.8002920992747313</v>
      </c>
      <c r="K401">
        <f t="shared" si="151"/>
        <v>6.3712197603980485</v>
      </c>
      <c r="L401">
        <f t="shared" si="151"/>
        <v>6.3256042110851176</v>
      </c>
      <c r="M401">
        <f t="shared" si="151"/>
        <v>6.4753159731570724</v>
      </c>
      <c r="N401">
        <f t="shared" si="133"/>
        <v>0.29003835559399338</v>
      </c>
      <c r="O401">
        <f t="shared" si="148"/>
        <v>6.6772892029324016</v>
      </c>
      <c r="P401">
        <f t="shared" si="152"/>
        <v>6.3873443772582421</v>
      </c>
      <c r="Q401">
        <f t="shared" si="150"/>
        <v>6.4500110625750322</v>
      </c>
      <c r="R401">
        <f t="shared" si="153"/>
        <v>6.4373186012398103</v>
      </c>
      <c r="S401">
        <f t="shared" si="153"/>
        <v>6.5982094838623562</v>
      </c>
      <c r="T401">
        <f t="shared" si="134"/>
        <v>0.41293186629927714</v>
      </c>
      <c r="U401">
        <f t="shared" si="135"/>
        <v>-0.41293186629927714</v>
      </c>
      <c r="V401">
        <f t="shared" si="142"/>
        <v>6.8280524395377968</v>
      </c>
      <c r="W401">
        <f t="shared" si="136"/>
        <v>-0.6427748219747178</v>
      </c>
      <c r="X401">
        <f t="shared" si="143"/>
        <v>6.5831366602118591</v>
      </c>
      <c r="Y401">
        <f t="shared" si="137"/>
        <v>-0.39785904264878003</v>
      </c>
      <c r="Z401">
        <f t="shared" si="144"/>
        <v>6.5471224542223743</v>
      </c>
      <c r="AA401">
        <f t="shared" si="138"/>
        <v>-0.36184483665929523</v>
      </c>
      <c r="AB401">
        <f t="shared" si="139"/>
        <v>-1.5421623824369206</v>
      </c>
      <c r="AC401">
        <f t="shared" si="140"/>
        <v>6.7072363599055116</v>
      </c>
      <c r="AD401">
        <f t="shared" si="141"/>
        <v>-0.52195874234243256</v>
      </c>
    </row>
    <row r="402" spans="1:30">
      <c r="A402">
        <v>400</v>
      </c>
      <c r="B402">
        <v>5.8180980379430878</v>
      </c>
      <c r="C402">
        <f t="shared" si="145"/>
        <v>5.9666953774860518</v>
      </c>
      <c r="D402">
        <f t="shared" si="145"/>
        <v>7.1805418182176375</v>
      </c>
      <c r="E402">
        <f t="shared" si="146"/>
        <v>6.434347729532135</v>
      </c>
      <c r="F402">
        <f t="shared" si="149"/>
        <v>6.8235509824421969</v>
      </c>
      <c r="G402">
        <f t="shared" si="149"/>
        <v>6.2809031335249292</v>
      </c>
      <c r="H402">
        <f t="shared" si="149"/>
        <v>6.3596627616537686</v>
      </c>
      <c r="I402">
        <f t="shared" si="132"/>
        <v>0.54156472371068087</v>
      </c>
      <c r="J402">
        <f t="shared" si="147"/>
        <v>6.8844481142023319</v>
      </c>
      <c r="K402">
        <f t="shared" si="151"/>
        <v>6.4671579047729528</v>
      </c>
      <c r="L402">
        <f t="shared" si="151"/>
        <v>6.335701077025842</v>
      </c>
      <c r="M402">
        <f t="shared" si="151"/>
        <v>6.3891816462278506</v>
      </c>
      <c r="N402">
        <f t="shared" si="133"/>
        <v>0.57108360828476279</v>
      </c>
      <c r="O402">
        <f t="shared" si="148"/>
        <v>6.6711780989504827</v>
      </c>
      <c r="P402">
        <f t="shared" si="152"/>
        <v>6.5010852231251892</v>
      </c>
      <c r="Q402">
        <f t="shared" si="150"/>
        <v>6.3182386552733396</v>
      </c>
      <c r="R402">
        <f t="shared" si="153"/>
        <v>6.3897518780048967</v>
      </c>
      <c r="S402">
        <f t="shared" si="153"/>
        <v>6.5257518347860772</v>
      </c>
      <c r="T402">
        <f t="shared" si="134"/>
        <v>0.70765379684298946</v>
      </c>
      <c r="U402">
        <f t="shared" si="135"/>
        <v>-0.70765379684298946</v>
      </c>
      <c r="V402">
        <f t="shared" si="142"/>
        <v>6.763774957340325</v>
      </c>
      <c r="W402">
        <f t="shared" si="136"/>
        <v>-0.94567691939723719</v>
      </c>
      <c r="X402">
        <f t="shared" si="143"/>
        <v>6.5035648516821034</v>
      </c>
      <c r="Y402">
        <f t="shared" si="137"/>
        <v>-0.68546681373901563</v>
      </c>
      <c r="Z402">
        <f t="shared" si="144"/>
        <v>6.4385690032245861</v>
      </c>
      <c r="AA402">
        <f t="shared" si="138"/>
        <v>-0.62047096528149837</v>
      </c>
      <c r="AB402">
        <f t="shared" si="139"/>
        <v>-1.9149019620569128</v>
      </c>
      <c r="AC402">
        <f t="shared" si="140"/>
        <v>6.6584813285300939</v>
      </c>
      <c r="AD402">
        <f t="shared" si="141"/>
        <v>-0.84038329058700612</v>
      </c>
    </row>
    <row r="403" spans="1:30">
      <c r="A403">
        <v>401</v>
      </c>
      <c r="B403">
        <v>7.0861481556864172</v>
      </c>
      <c r="C403">
        <f t="shared" si="145"/>
        <v>6.0016878277530834</v>
      </c>
      <c r="D403">
        <f t="shared" si="145"/>
        <v>6.2627890815013583</v>
      </c>
      <c r="E403">
        <f t="shared" si="146"/>
        <v>5.9171629309717302</v>
      </c>
      <c r="F403">
        <f t="shared" si="149"/>
        <v>6.9009570319480611</v>
      </c>
      <c r="G403">
        <f t="shared" si="149"/>
        <v>6.4310836000183578</v>
      </c>
      <c r="H403">
        <f t="shared" si="149"/>
        <v>6.3517565033605097</v>
      </c>
      <c r="I403">
        <f t="shared" si="132"/>
        <v>-0.73439165232590753</v>
      </c>
      <c r="J403">
        <f t="shared" si="147"/>
        <v>6.2802853066348732</v>
      </c>
      <c r="K403">
        <f t="shared" si="151"/>
        <v>6.6435814271870655</v>
      </c>
      <c r="L403">
        <f t="shared" si="151"/>
        <v>6.3788301386861903</v>
      </c>
      <c r="M403">
        <f t="shared" si="151"/>
        <v>6.3446637931855028</v>
      </c>
      <c r="N403">
        <f t="shared" si="133"/>
        <v>-0.74148436250091443</v>
      </c>
      <c r="O403">
        <f t="shared" si="148"/>
        <v>6.441457876445182</v>
      </c>
      <c r="P403">
        <f t="shared" si="152"/>
        <v>6.5747283771171592</v>
      </c>
      <c r="Q403">
        <f t="shared" si="150"/>
        <v>6.5340906754341823</v>
      </c>
      <c r="R403">
        <f t="shared" si="153"/>
        <v>6.3615420161290004</v>
      </c>
      <c r="S403">
        <f t="shared" si="153"/>
        <v>6.4507280189655392</v>
      </c>
      <c r="T403">
        <f t="shared" si="134"/>
        <v>-0.63542013672087805</v>
      </c>
      <c r="U403">
        <f t="shared" si="135"/>
        <v>0.63542013672087805</v>
      </c>
      <c r="V403">
        <f t="shared" si="142"/>
        <v>6.6692072654006012</v>
      </c>
      <c r="W403">
        <f t="shared" si="136"/>
        <v>0.41694089028581605</v>
      </c>
      <c r="X403">
        <f t="shared" si="143"/>
        <v>6.3664714889342999</v>
      </c>
      <c r="Y403">
        <f t="shared" si="137"/>
        <v>0.71967666675211728</v>
      </c>
      <c r="Z403">
        <f t="shared" si="144"/>
        <v>6.2524277136401363</v>
      </c>
      <c r="AA403">
        <f t="shared" si="138"/>
        <v>0.83372044204628093</v>
      </c>
      <c r="AB403">
        <f t="shared" si="139"/>
        <v>-0.65241184431358246</v>
      </c>
      <c r="AC403">
        <f t="shared" si="140"/>
        <v>6.609990324007156</v>
      </c>
      <c r="AD403">
        <f t="shared" si="141"/>
        <v>0.47615783167926118</v>
      </c>
    </row>
    <row r="404" spans="1:30">
      <c r="A404">
        <v>402</v>
      </c>
      <c r="B404">
        <v>8.7917268526672263</v>
      </c>
      <c r="C404">
        <f t="shared" si="145"/>
        <v>6.452123096814752</v>
      </c>
      <c r="D404">
        <f t="shared" si="145"/>
        <v>5.9841916026195676</v>
      </c>
      <c r="E404">
        <f t="shared" si="146"/>
        <v>6.3631746037308616</v>
      </c>
      <c r="F404">
        <f t="shared" si="149"/>
        <v>6.4896718689730939</v>
      </c>
      <c r="G404">
        <f t="shared" si="149"/>
        <v>6.7010210247573996</v>
      </c>
      <c r="H404">
        <f t="shared" si="149"/>
        <v>6.3512912650863553</v>
      </c>
      <c r="I404">
        <f t="shared" si="132"/>
        <v>-2.440435587580871</v>
      </c>
      <c r="J404">
        <f t="shared" si="147"/>
        <v>6.2094092371504015</v>
      </c>
      <c r="K404">
        <f t="shared" si="151"/>
        <v>6.61475895356973</v>
      </c>
      <c r="L404">
        <f t="shared" si="151"/>
        <v>6.4639806159131288</v>
      </c>
      <c r="M404">
        <f t="shared" si="151"/>
        <v>6.3420691402039191</v>
      </c>
      <c r="N404">
        <f t="shared" si="133"/>
        <v>-2.4496577124633072</v>
      </c>
      <c r="O404">
        <f t="shared" si="148"/>
        <v>6.7258727602537665</v>
      </c>
      <c r="P404">
        <f t="shared" si="152"/>
        <v>6.5450293377503383</v>
      </c>
      <c r="Q404">
        <f t="shared" si="150"/>
        <v>6.7403397750731386</v>
      </c>
      <c r="R404">
        <f t="shared" si="153"/>
        <v>6.4520722082978663</v>
      </c>
      <c r="S404">
        <f t="shared" si="153"/>
        <v>6.3930905371580922</v>
      </c>
      <c r="T404">
        <f t="shared" si="134"/>
        <v>-2.3986363155091341</v>
      </c>
      <c r="U404">
        <f t="shared" si="135"/>
        <v>2.3986363155091341</v>
      </c>
      <c r="V404">
        <f t="shared" si="142"/>
        <v>6.7109013544291827</v>
      </c>
      <c r="W404">
        <f t="shared" si="136"/>
        <v>2.0808254982380436</v>
      </c>
      <c r="X404">
        <f t="shared" si="143"/>
        <v>6.5104068222847236</v>
      </c>
      <c r="Y404">
        <f t="shared" si="137"/>
        <v>2.2813200303825028</v>
      </c>
      <c r="Z404">
        <f t="shared" si="144"/>
        <v>6.5025438462540208</v>
      </c>
      <c r="AA404">
        <f t="shared" si="138"/>
        <v>2.2891830064132055</v>
      </c>
      <c r="AB404">
        <f t="shared" si="139"/>
        <v>1.0476068526672258</v>
      </c>
      <c r="AC404">
        <f t="shared" si="140"/>
        <v>6.5617770240768909</v>
      </c>
      <c r="AD404">
        <f t="shared" si="141"/>
        <v>2.2299498285903354</v>
      </c>
    </row>
    <row r="405" spans="1:30">
      <c r="A405">
        <v>403</v>
      </c>
      <c r="B405">
        <v>6.0448793961189491</v>
      </c>
      <c r="C405">
        <f t="shared" si="145"/>
        <v>7.9389375041768222</v>
      </c>
      <c r="D405">
        <f t="shared" si="145"/>
        <v>6.2269054622839182</v>
      </c>
      <c r="E405">
        <f t="shared" si="146"/>
        <v>7.2319910154322429</v>
      </c>
      <c r="F405">
        <f t="shared" si="149"/>
        <v>6.2382284214115762</v>
      </c>
      <c r="G405">
        <f t="shared" si="149"/>
        <v>6.7380599611211167</v>
      </c>
      <c r="H405">
        <f t="shared" si="149"/>
        <v>6.4710025861002292</v>
      </c>
      <c r="I405">
        <f t="shared" si="132"/>
        <v>0.42612318998128007</v>
      </c>
      <c r="J405">
        <f t="shared" si="147"/>
        <v>6.9703126659649524</v>
      </c>
      <c r="K405">
        <f t="shared" si="151"/>
        <v>6.5436086893155849</v>
      </c>
      <c r="L405">
        <f t="shared" si="151"/>
        <v>6.5241795114819494</v>
      </c>
      <c r="M405">
        <f t="shared" si="151"/>
        <v>6.3760290106775699</v>
      </c>
      <c r="N405">
        <f t="shared" si="133"/>
        <v>0.3311496145586208</v>
      </c>
      <c r="O405">
        <f t="shared" si="148"/>
        <v>6.7852260119957517</v>
      </c>
      <c r="P405">
        <f t="shared" si="152"/>
        <v>6.5721257602794454</v>
      </c>
      <c r="Q405">
        <f t="shared" si="150"/>
        <v>6.8331693724821889</v>
      </c>
      <c r="R405">
        <f t="shared" si="153"/>
        <v>6.5645849923144715</v>
      </c>
      <c r="S405">
        <f t="shared" si="153"/>
        <v>6.3916536858323179</v>
      </c>
      <c r="T405">
        <f t="shared" si="134"/>
        <v>0.34677428971336877</v>
      </c>
      <c r="U405">
        <f t="shared" si="135"/>
        <v>-0.34677428971336877</v>
      </c>
      <c r="V405">
        <f t="shared" si="142"/>
        <v>6.918983904252987</v>
      </c>
      <c r="W405">
        <f t="shared" si="136"/>
        <v>-0.87410450813403795</v>
      </c>
      <c r="X405">
        <f t="shared" si="143"/>
        <v>6.9666708283612238</v>
      </c>
      <c r="Y405">
        <f t="shared" si="137"/>
        <v>-0.92179143224227467</v>
      </c>
      <c r="Z405">
        <f t="shared" si="144"/>
        <v>7.1892987481779826</v>
      </c>
      <c r="AA405">
        <f t="shared" si="138"/>
        <v>-1.1444193520590336</v>
      </c>
      <c r="AB405">
        <f t="shared" si="139"/>
        <v>-1.7048006038810506</v>
      </c>
      <c r="AC405">
        <f t="shared" si="140"/>
        <v>6.513855029341113</v>
      </c>
      <c r="AD405">
        <f t="shared" si="141"/>
        <v>-0.46897563322216396</v>
      </c>
    </row>
    <row r="406" spans="1:30">
      <c r="A406">
        <v>404</v>
      </c>
      <c r="B406">
        <v>8.5460297618215861</v>
      </c>
      <c r="C406">
        <f t="shared" si="145"/>
        <v>7.4183031243930877</v>
      </c>
      <c r="D406">
        <f t="shared" si="145"/>
        <v>7.1955303004957871</v>
      </c>
      <c r="E406">
        <f t="shared" si="146"/>
        <v>7.3075848014908642</v>
      </c>
      <c r="F406">
        <f t="shared" si="149"/>
        <v>6.5041095167116119</v>
      </c>
      <c r="G406">
        <f t="shared" si="149"/>
        <v>6.5429524407775768</v>
      </c>
      <c r="H406">
        <f t="shared" si="149"/>
        <v>6.6233881952989577</v>
      </c>
      <c r="I406">
        <f t="shared" si="132"/>
        <v>-1.9226415665226284</v>
      </c>
      <c r="J406">
        <f t="shared" si="147"/>
        <v>6.9352131106039199</v>
      </c>
      <c r="K406">
        <f t="shared" si="151"/>
        <v>6.5861138309881397</v>
      </c>
      <c r="L406">
        <f t="shared" si="151"/>
        <v>6.567276743711334</v>
      </c>
      <c r="M406">
        <f t="shared" si="151"/>
        <v>6.4256728357767781</v>
      </c>
      <c r="N406">
        <f t="shared" si="133"/>
        <v>-2.1203569260448081</v>
      </c>
      <c r="O406">
        <f t="shared" si="148"/>
        <v>7.2573764408474535</v>
      </c>
      <c r="P406">
        <f t="shared" si="152"/>
        <v>6.6602047901155172</v>
      </c>
      <c r="Q406">
        <f t="shared" si="150"/>
        <v>6.6123738662312972</v>
      </c>
      <c r="R406">
        <f t="shared" si="153"/>
        <v>6.5992920845846683</v>
      </c>
      <c r="S406">
        <f t="shared" si="153"/>
        <v>6.4322348261160407</v>
      </c>
      <c r="T406">
        <f t="shared" si="134"/>
        <v>-2.1137949357055454</v>
      </c>
      <c r="U406">
        <f t="shared" si="135"/>
        <v>2.1137949357055454</v>
      </c>
      <c r="V406">
        <f t="shared" si="142"/>
        <v>6.8315734534395833</v>
      </c>
      <c r="W406">
        <f t="shared" si="136"/>
        <v>1.7144563083820028</v>
      </c>
      <c r="X406">
        <f t="shared" si="143"/>
        <v>6.782312541912769</v>
      </c>
      <c r="Y406">
        <f t="shared" si="137"/>
        <v>1.7637172199088171</v>
      </c>
      <c r="Z406">
        <f t="shared" si="144"/>
        <v>6.8459729425602722</v>
      </c>
      <c r="AA406">
        <f t="shared" si="138"/>
        <v>1.7000568192613139</v>
      </c>
      <c r="AB406">
        <f t="shared" si="139"/>
        <v>0.79078976182158556</v>
      </c>
      <c r="AC406">
        <f t="shared" si="140"/>
        <v>6.4662378594853989</v>
      </c>
      <c r="AD406">
        <f t="shared" si="141"/>
        <v>2.0797919023361873</v>
      </c>
    </row>
    <row r="407" spans="1:30">
      <c r="A407">
        <v>405</v>
      </c>
      <c r="B407">
        <v>7.2590439578154049</v>
      </c>
      <c r="C407">
        <f t="shared" si="145"/>
        <v>7.2954545789702676</v>
      </c>
      <c r="D407">
        <f t="shared" si="145"/>
        <v>7.678620314284955</v>
      </c>
      <c r="E407">
        <f t="shared" si="146"/>
        <v>7.7942120035359208</v>
      </c>
      <c r="F407">
        <f t="shared" si="149"/>
        <v>6.9675834735513229</v>
      </c>
      <c r="G407">
        <f t="shared" si="149"/>
        <v>6.4106699356987606</v>
      </c>
      <c r="H407">
        <f t="shared" si="149"/>
        <v>6.6606778088853638</v>
      </c>
      <c r="I407">
        <f t="shared" si="132"/>
        <v>-0.59836614893004114</v>
      </c>
      <c r="J407">
        <f t="shared" si="147"/>
        <v>7.6171960415735445</v>
      </c>
      <c r="K407">
        <f t="shared" si="151"/>
        <v>6.5988050800885372</v>
      </c>
      <c r="L407">
        <f t="shared" si="151"/>
        <v>6.5970157252651305</v>
      </c>
      <c r="M407">
        <f t="shared" si="151"/>
        <v>6.4835667524481515</v>
      </c>
      <c r="N407">
        <f t="shared" si="133"/>
        <v>-0.7754772053672534</v>
      </c>
      <c r="O407">
        <f t="shared" si="148"/>
        <v>7.5455656248219167</v>
      </c>
      <c r="P407">
        <f t="shared" si="152"/>
        <v>6.7762222376985282</v>
      </c>
      <c r="Q407">
        <f t="shared" si="150"/>
        <v>7.0786933036333908</v>
      </c>
      <c r="R407">
        <f t="shared" si="153"/>
        <v>6.5813705678448633</v>
      </c>
      <c r="S407">
        <f t="shared" si="153"/>
        <v>6.4674269634284522</v>
      </c>
      <c r="T407">
        <f t="shared" si="134"/>
        <v>-0.79161699438695265</v>
      </c>
      <c r="U407">
        <f t="shared" si="135"/>
        <v>0.79161699438695265</v>
      </c>
      <c r="V407">
        <f t="shared" si="142"/>
        <v>7.003019084277784</v>
      </c>
      <c r="W407">
        <f t="shared" si="136"/>
        <v>0.25602487353762093</v>
      </c>
      <c r="X407">
        <f t="shared" si="143"/>
        <v>7.1350559858945326</v>
      </c>
      <c r="Y407">
        <f t="shared" si="137"/>
        <v>0.1239879719208723</v>
      </c>
      <c r="Z407">
        <f t="shared" si="144"/>
        <v>7.3559899883386661</v>
      </c>
      <c r="AA407">
        <f t="shared" si="138"/>
        <v>-9.6946030523261228E-2</v>
      </c>
      <c r="AB407">
        <f t="shared" si="139"/>
        <v>-0.5017560421845948</v>
      </c>
      <c r="AC407">
        <f t="shared" si="140"/>
        <v>6.4189389495237092</v>
      </c>
      <c r="AD407">
        <f t="shared" si="141"/>
        <v>0.84010500829169565</v>
      </c>
    </row>
    <row r="408" spans="1:30">
      <c r="A408">
        <v>406</v>
      </c>
      <c r="B408">
        <v>6.6256860891320297</v>
      </c>
      <c r="C408">
        <f t="shared" si="145"/>
        <v>7.9025368598184951</v>
      </c>
      <c r="D408">
        <f t="shared" si="145"/>
        <v>7.3568788516816781</v>
      </c>
      <c r="E408">
        <f t="shared" si="146"/>
        <v>7.2833177052519806</v>
      </c>
      <c r="F408">
        <f t="shared" si="149"/>
        <v>7.4445959401530102</v>
      </c>
      <c r="G408">
        <f t="shared" si="149"/>
        <v>6.5699738038915036</v>
      </c>
      <c r="H408">
        <f t="shared" si="149"/>
        <v>6.5638941125324841</v>
      </c>
      <c r="I408">
        <f t="shared" si="132"/>
        <v>-6.1791976599545606E-2</v>
      </c>
      <c r="J408">
        <f t="shared" si="147"/>
        <v>7.6604199921057914</v>
      </c>
      <c r="K408">
        <f t="shared" si="151"/>
        <v>6.9330327638232045</v>
      </c>
      <c r="L408">
        <f t="shared" si="151"/>
        <v>6.5858216384904988</v>
      </c>
      <c r="M408">
        <f t="shared" si="151"/>
        <v>6.5381131490928857</v>
      </c>
      <c r="N408">
        <f t="shared" si="133"/>
        <v>-8.7572940039144065E-2</v>
      </c>
      <c r="O408">
        <f t="shared" si="148"/>
        <v>7.4534732115110387</v>
      </c>
      <c r="P408">
        <f t="shared" si="152"/>
        <v>6.951099742872815</v>
      </c>
      <c r="Q408">
        <f t="shared" si="150"/>
        <v>7.2576543603421122</v>
      </c>
      <c r="R408">
        <f t="shared" si="153"/>
        <v>6.6861509413545903</v>
      </c>
      <c r="S408">
        <f t="shared" si="153"/>
        <v>6.491435624529295</v>
      </c>
      <c r="T408">
        <f t="shared" si="134"/>
        <v>-0.13425046460273471</v>
      </c>
      <c r="U408">
        <f t="shared" si="135"/>
        <v>0.13425046460273471</v>
      </c>
      <c r="V408">
        <f t="shared" si="142"/>
        <v>7.0286215716315459</v>
      </c>
      <c r="W408">
        <f t="shared" si="136"/>
        <v>-0.40293548249951616</v>
      </c>
      <c r="X408">
        <f t="shared" si="143"/>
        <v>7.1598535802787069</v>
      </c>
      <c r="Y408">
        <f t="shared" si="137"/>
        <v>-0.53416749114667716</v>
      </c>
      <c r="Z408">
        <f t="shared" si="144"/>
        <v>7.3269061791816874</v>
      </c>
      <c r="AA408">
        <f t="shared" si="138"/>
        <v>-0.70122009004965768</v>
      </c>
      <c r="AB408">
        <f t="shared" si="139"/>
        <v>-1.1406739108679709</v>
      </c>
      <c r="AC408">
        <f t="shared" si="140"/>
        <v>6.3719716460665259</v>
      </c>
      <c r="AD408">
        <f t="shared" si="141"/>
        <v>0.25371444306550384</v>
      </c>
    </row>
    <row r="409" spans="1:30">
      <c r="A409">
        <v>407</v>
      </c>
      <c r="B409">
        <v>8.1382920776013297</v>
      </c>
      <c r="C409">
        <f t="shared" si="145"/>
        <v>6.9423650234737178</v>
      </c>
      <c r="D409">
        <f t="shared" si="145"/>
        <v>7.5989957193943809</v>
      </c>
      <c r="E409">
        <f t="shared" si="146"/>
        <v>7.4769199362563397</v>
      </c>
      <c r="F409">
        <f t="shared" si="149"/>
        <v>7.461704836759588</v>
      </c>
      <c r="G409">
        <f t="shared" si="149"/>
        <v>6.9720963101386486</v>
      </c>
      <c r="H409">
        <f t="shared" si="149"/>
        <v>6.5078653934559467</v>
      </c>
      <c r="I409">
        <f t="shared" si="132"/>
        <v>-1.6304266841453829</v>
      </c>
      <c r="J409">
        <f t="shared" si="147"/>
        <v>7.1189098012219922</v>
      </c>
      <c r="K409">
        <f t="shared" si="151"/>
        <v>7.2957854525620514</v>
      </c>
      <c r="L409">
        <f t="shared" si="151"/>
        <v>6.665390091053867</v>
      </c>
      <c r="M409">
        <f t="shared" si="151"/>
        <v>6.5685734047372275</v>
      </c>
      <c r="N409">
        <f t="shared" si="133"/>
        <v>-1.5697186728641022</v>
      </c>
      <c r="O409">
        <f t="shared" si="148"/>
        <v>7.3227862564978592</v>
      </c>
      <c r="P409">
        <f t="shared" si="152"/>
        <v>7.1535028098859854</v>
      </c>
      <c r="Q409">
        <f t="shared" si="150"/>
        <v>7.3922523688736028</v>
      </c>
      <c r="R409">
        <f t="shared" si="153"/>
        <v>6.8427202255327186</v>
      </c>
      <c r="S409">
        <f t="shared" si="153"/>
        <v>6.5408354684209096</v>
      </c>
      <c r="T409">
        <f t="shared" si="134"/>
        <v>-1.5974566091804201</v>
      </c>
      <c r="U409">
        <f t="shared" si="135"/>
        <v>1.5974566091804201</v>
      </c>
      <c r="V409">
        <f t="shared" si="142"/>
        <v>6.9883280233815945</v>
      </c>
      <c r="W409">
        <f t="shared" si="136"/>
        <v>1.1499640542197351</v>
      </c>
      <c r="X409">
        <f t="shared" si="143"/>
        <v>7.0530200820493718</v>
      </c>
      <c r="Y409">
        <f t="shared" si="137"/>
        <v>1.0852719955519579</v>
      </c>
      <c r="Z409">
        <f t="shared" si="144"/>
        <v>7.1165401521667899</v>
      </c>
      <c r="AA409">
        <f t="shared" si="138"/>
        <v>1.0217519254345397</v>
      </c>
      <c r="AB409">
        <f t="shared" si="139"/>
        <v>0.36637207760132995</v>
      </c>
      <c r="AC409">
        <f t="shared" si="140"/>
        <v>6.3253492036135404</v>
      </c>
      <c r="AD409">
        <f t="shared" si="141"/>
        <v>1.8129428739877893</v>
      </c>
    </row>
    <row r="410" spans="1:30">
      <c r="A410">
        <v>408</v>
      </c>
      <c r="B410">
        <v>5.0253218398862849</v>
      </c>
      <c r="C410">
        <f t="shared" si="145"/>
        <v>7.3819890833666797</v>
      </c>
      <c r="D410">
        <f t="shared" si="145"/>
        <v>7.4224509416461064</v>
      </c>
      <c r="E410">
        <f t="shared" si="146"/>
        <v>7.341007374849589</v>
      </c>
      <c r="F410">
        <f t="shared" si="149"/>
        <v>7.5181498816814134</v>
      </c>
      <c r="G410">
        <f t="shared" si="149"/>
        <v>7.2912947501546403</v>
      </c>
      <c r="H410">
        <f t="shared" si="149"/>
        <v>6.6509133499096373</v>
      </c>
      <c r="I410">
        <f t="shared" si="132"/>
        <v>1.6255915100233524</v>
      </c>
      <c r="J410">
        <f t="shared" si="147"/>
        <v>7.6422629715925865</v>
      </c>
      <c r="K410">
        <f t="shared" si="151"/>
        <v>7.3329347363763118</v>
      </c>
      <c r="L410">
        <f t="shared" si="151"/>
        <v>6.853434281865483</v>
      </c>
      <c r="M410">
        <f t="shared" si="151"/>
        <v>6.6038760496302071</v>
      </c>
      <c r="N410">
        <f t="shared" si="133"/>
        <v>1.5785542097439222</v>
      </c>
      <c r="O410">
        <f t="shared" si="148"/>
        <v>7.1188747452513272</v>
      </c>
      <c r="P410">
        <f t="shared" si="152"/>
        <v>7.2728855091348041</v>
      </c>
      <c r="Q410">
        <f t="shared" si="150"/>
        <v>7.5676096891927536</v>
      </c>
      <c r="R410">
        <f t="shared" si="153"/>
        <v>6.9857471744392869</v>
      </c>
      <c r="S410">
        <f t="shared" si="153"/>
        <v>6.6210318366548622</v>
      </c>
      <c r="T410">
        <f t="shared" si="134"/>
        <v>1.5957099967685773</v>
      </c>
      <c r="U410">
        <f t="shared" si="135"/>
        <v>-1.5957099967685773</v>
      </c>
      <c r="V410">
        <f t="shared" si="142"/>
        <v>7.1033244288035684</v>
      </c>
      <c r="W410">
        <f t="shared" si="136"/>
        <v>-2.0780025889172835</v>
      </c>
      <c r="X410">
        <f t="shared" si="143"/>
        <v>7.2700744811597637</v>
      </c>
      <c r="Y410">
        <f t="shared" si="137"/>
        <v>-2.2447526412734788</v>
      </c>
      <c r="Z410">
        <f t="shared" si="144"/>
        <v>7.4230657297971518</v>
      </c>
      <c r="AA410">
        <f t="shared" si="138"/>
        <v>-2.397743889910867</v>
      </c>
      <c r="AB410">
        <f t="shared" si="139"/>
        <v>-2.7521581601137157</v>
      </c>
      <c r="AC410">
        <f t="shared" si="140"/>
        <v>6.2790847808719432</v>
      </c>
      <c r="AD410">
        <f t="shared" si="141"/>
        <v>-1.2537629409856583</v>
      </c>
    </row>
    <row r="411" spans="1:30">
      <c r="A411">
        <v>409</v>
      </c>
      <c r="B411">
        <v>5.5247111661228132</v>
      </c>
      <c r="C411">
        <f t="shared" si="145"/>
        <v>6.5818069587438073</v>
      </c>
      <c r="D411">
        <f t="shared" si="145"/>
        <v>7.1621770534201987</v>
      </c>
      <c r="E411">
        <f t="shared" si="146"/>
        <v>6.5964333355398814</v>
      </c>
      <c r="F411">
        <f t="shared" si="149"/>
        <v>7.3670816721193022</v>
      </c>
      <c r="G411">
        <f t="shared" si="149"/>
        <v>7.4748168861980036</v>
      </c>
      <c r="H411">
        <f t="shared" si="149"/>
        <v>6.9444549547282648</v>
      </c>
      <c r="I411">
        <f t="shared" si="132"/>
        <v>1.4197437886054516</v>
      </c>
      <c r="J411">
        <f t="shared" si="147"/>
        <v>6.762085991108763</v>
      </c>
      <c r="K411">
        <f t="shared" si="151"/>
        <v>7.5096972016234789</v>
      </c>
      <c r="L411">
        <f t="shared" si="151"/>
        <v>7.0401395082125262</v>
      </c>
      <c r="M411">
        <f t="shared" si="151"/>
        <v>6.6754154341687446</v>
      </c>
      <c r="N411">
        <f t="shared" si="133"/>
        <v>1.1507042680459314</v>
      </c>
      <c r="O411">
        <f t="shared" si="148"/>
        <v>6.5146110261115719</v>
      </c>
      <c r="P411">
        <f t="shared" si="152"/>
        <v>7.3396152557859198</v>
      </c>
      <c r="Q411">
        <f t="shared" si="150"/>
        <v>6.9398755203959297</v>
      </c>
      <c r="R411">
        <f t="shared" si="153"/>
        <v>7.1236254934592251</v>
      </c>
      <c r="S411">
        <f t="shared" si="153"/>
        <v>6.7099776643451001</v>
      </c>
      <c r="T411">
        <f t="shared" si="134"/>
        <v>1.1852664982222869</v>
      </c>
      <c r="U411">
        <f t="shared" si="135"/>
        <v>-1.1852664982222869</v>
      </c>
      <c r="V411">
        <f t="shared" si="142"/>
        <v>6.8955241699118401</v>
      </c>
      <c r="W411">
        <f t="shared" si="136"/>
        <v>-1.3708130037890269</v>
      </c>
      <c r="X411">
        <f t="shared" si="143"/>
        <v>6.8211239529050678</v>
      </c>
      <c r="Y411">
        <f t="shared" si="137"/>
        <v>-1.2964127867822546</v>
      </c>
      <c r="Z411">
        <f t="shared" si="144"/>
        <v>6.7037425628238916</v>
      </c>
      <c r="AA411">
        <f t="shared" si="138"/>
        <v>-1.1790313967010784</v>
      </c>
      <c r="AB411">
        <f t="shared" si="139"/>
        <v>-2.2583288338771865</v>
      </c>
      <c r="AC411">
        <f t="shared" si="140"/>
        <v>6.2331914371013051</v>
      </c>
      <c r="AD411">
        <f t="shared" si="141"/>
        <v>-0.70848027097849187</v>
      </c>
    </row>
    <row r="412" spans="1:30">
      <c r="A412">
        <v>410</v>
      </c>
      <c r="B412">
        <v>5.100915754528887</v>
      </c>
      <c r="C412">
        <f t="shared" si="145"/>
        <v>5.2750165030045491</v>
      </c>
      <c r="D412">
        <f t="shared" si="145"/>
        <v>6.9818980210552439</v>
      </c>
      <c r="E412">
        <f t="shared" si="146"/>
        <v>6.2294416945368098</v>
      </c>
      <c r="F412">
        <f t="shared" si="149"/>
        <v>7.1381202155486037</v>
      </c>
      <c r="G412">
        <f t="shared" si="149"/>
        <v>7.4489787968534342</v>
      </c>
      <c r="H412">
        <f t="shared" si="149"/>
        <v>7.2460693154970981</v>
      </c>
      <c r="I412">
        <f t="shared" si="132"/>
        <v>2.1451535609682111</v>
      </c>
      <c r="J412">
        <f t="shared" si="147"/>
        <v>6.3285027931856144</v>
      </c>
      <c r="K412">
        <f t="shared" si="151"/>
        <v>7.2959196890072828</v>
      </c>
      <c r="L412">
        <f t="shared" si="151"/>
        <v>7.2678625385962619</v>
      </c>
      <c r="M412">
        <f t="shared" si="151"/>
        <v>6.7861963799055935</v>
      </c>
      <c r="N412">
        <f t="shared" si="133"/>
        <v>1.6852806253767065</v>
      </c>
      <c r="O412">
        <f t="shared" si="148"/>
        <v>6.0829853854542693</v>
      </c>
      <c r="P412">
        <f t="shared" si="152"/>
        <v>7.1910621728387429</v>
      </c>
      <c r="Q412">
        <f t="shared" si="150"/>
        <v>6.8531808153965743</v>
      </c>
      <c r="R412">
        <f t="shared" si="153"/>
        <v>7.1414098514448483</v>
      </c>
      <c r="S412">
        <f t="shared" si="153"/>
        <v>6.8031510812025582</v>
      </c>
      <c r="T412">
        <f t="shared" si="134"/>
        <v>1.7022353266736712</v>
      </c>
      <c r="U412">
        <f t="shared" si="135"/>
        <v>-1.7022353266736712</v>
      </c>
      <c r="V412">
        <f t="shared" si="142"/>
        <v>6.7584428695329377</v>
      </c>
      <c r="W412">
        <f t="shared" si="136"/>
        <v>-1.6575271150040507</v>
      </c>
      <c r="X412">
        <f t="shared" si="143"/>
        <v>6.5618413955486172</v>
      </c>
      <c r="Y412">
        <f t="shared" si="137"/>
        <v>-1.4609256410197302</v>
      </c>
      <c r="Z412">
        <f t="shared" si="144"/>
        <v>6.350033143813568</v>
      </c>
      <c r="AA412">
        <f t="shared" si="138"/>
        <v>-1.249117389284681</v>
      </c>
      <c r="AB412">
        <f t="shared" si="139"/>
        <v>-2.6876842454711136</v>
      </c>
      <c r="AC412">
        <f t="shared" si="140"/>
        <v>6.1876821284860899</v>
      </c>
      <c r="AD412">
        <f t="shared" si="141"/>
        <v>-1.0867663739572029</v>
      </c>
    </row>
    <row r="413" spans="1:30">
      <c r="A413">
        <v>411</v>
      </c>
      <c r="B413">
        <v>8.2201536921123015</v>
      </c>
      <c r="C413">
        <f t="shared" si="145"/>
        <v>5.3128134603258506</v>
      </c>
      <c r="D413">
        <f t="shared" si="145"/>
        <v>5.9284117308741777</v>
      </c>
      <c r="E413">
        <f t="shared" si="146"/>
        <v>5.216982920179329</v>
      </c>
      <c r="F413">
        <f t="shared" si="149"/>
        <v>6.722294134975427</v>
      </c>
      <c r="G413">
        <f t="shared" si="149"/>
        <v>7.3411172564497731</v>
      </c>
      <c r="H413">
        <f t="shared" si="149"/>
        <v>7.4050301444020263</v>
      </c>
      <c r="I413">
        <f t="shared" si="132"/>
        <v>-0.81512354771027518</v>
      </c>
      <c r="J413">
        <f t="shared" si="147"/>
        <v>5.9473102095348294</v>
      </c>
      <c r="K413">
        <f t="shared" si="151"/>
        <v>6.9629403892772386</v>
      </c>
      <c r="L413">
        <f t="shared" si="151"/>
        <v>7.3585842698922814</v>
      </c>
      <c r="M413">
        <f t="shared" si="151"/>
        <v>6.9567066049320347</v>
      </c>
      <c r="N413">
        <f t="shared" si="133"/>
        <v>-1.2634470871802668</v>
      </c>
      <c r="O413">
        <f t="shared" si="148"/>
        <v>6.4018789060503236</v>
      </c>
      <c r="P413">
        <f t="shared" si="152"/>
        <v>6.8985461249652147</v>
      </c>
      <c r="Q413">
        <f t="shared" si="150"/>
        <v>6.2789951475144576</v>
      </c>
      <c r="R413">
        <f t="shared" si="153"/>
        <v>7.1815443429723942</v>
      </c>
      <c r="S413">
        <f t="shared" si="153"/>
        <v>6.8935040423459215</v>
      </c>
      <c r="T413">
        <f t="shared" si="134"/>
        <v>-1.32664964976638</v>
      </c>
      <c r="U413">
        <f t="shared" si="135"/>
        <v>1.32664964976638</v>
      </c>
      <c r="V413">
        <f t="shared" si="142"/>
        <v>6.592690158032533</v>
      </c>
      <c r="W413">
        <f t="shared" si="136"/>
        <v>1.6274635340797685</v>
      </c>
      <c r="X413">
        <f t="shared" si="143"/>
        <v>6.2696562673446712</v>
      </c>
      <c r="Y413">
        <f t="shared" si="137"/>
        <v>1.9504974247676303</v>
      </c>
      <c r="Z413">
        <f t="shared" si="144"/>
        <v>5.9752979270281639</v>
      </c>
      <c r="AA413">
        <f t="shared" si="138"/>
        <v>2.2448557650841376</v>
      </c>
      <c r="AB413">
        <f t="shared" si="139"/>
        <v>0.42599369211230176</v>
      </c>
      <c r="AC413">
        <f t="shared" si="140"/>
        <v>6.1425697045368004</v>
      </c>
      <c r="AD413">
        <f t="shared" si="141"/>
        <v>2.0775839875755011</v>
      </c>
    </row>
    <row r="414" spans="1:30">
      <c r="A414">
        <v>412</v>
      </c>
      <c r="B414">
        <v>4.8111997309479033</v>
      </c>
      <c r="C414">
        <f t="shared" si="145"/>
        <v>6.6605347233205947</v>
      </c>
      <c r="D414">
        <f t="shared" si="145"/>
        <v>5.2939149816651998</v>
      </c>
      <c r="E414">
        <f t="shared" si="146"/>
        <v>6.2819268709213345</v>
      </c>
      <c r="F414">
        <f t="shared" si="149"/>
        <v>6.0142859834186737</v>
      </c>
      <c r="G414">
        <f t="shared" si="149"/>
        <v>7.0758320075477776</v>
      </c>
      <c r="H414">
        <f t="shared" si="149"/>
        <v>7.4216376465004039</v>
      </c>
      <c r="I414">
        <f t="shared" si="132"/>
        <v>2.6104379155525006</v>
      </c>
      <c r="J414">
        <f t="shared" si="147"/>
        <v>5.9677756131625719</v>
      </c>
      <c r="K414">
        <f t="shared" si="151"/>
        <v>6.6700404913554481</v>
      </c>
      <c r="L414">
        <f t="shared" si="151"/>
        <v>7.2753730040710787</v>
      </c>
      <c r="M414">
        <f t="shared" si="151"/>
        <v>7.1300051496416383</v>
      </c>
      <c r="N414">
        <f t="shared" si="133"/>
        <v>2.318805418693735</v>
      </c>
      <c r="O414">
        <f t="shared" si="148"/>
        <v>5.7364604367196375</v>
      </c>
      <c r="P414">
        <f t="shared" si="152"/>
        <v>6.6882272638730695</v>
      </c>
      <c r="Q414">
        <f t="shared" si="150"/>
        <v>6.4391801032306075</v>
      </c>
      <c r="R414">
        <f t="shared" si="153"/>
        <v>7.0482613169525719</v>
      </c>
      <c r="S414">
        <f t="shared" si="153"/>
        <v>6.993533004867178</v>
      </c>
      <c r="T414">
        <f t="shared" si="134"/>
        <v>2.1823332739192747</v>
      </c>
      <c r="U414">
        <f t="shared" si="135"/>
        <v>-2.1823332739192747</v>
      </c>
      <c r="V414">
        <f t="shared" si="142"/>
        <v>6.7554365114405099</v>
      </c>
      <c r="W414">
        <f t="shared" si="136"/>
        <v>-1.9442367804926066</v>
      </c>
      <c r="X414">
        <f t="shared" si="143"/>
        <v>6.6597557522981976</v>
      </c>
      <c r="Y414">
        <f t="shared" si="137"/>
        <v>-1.8485560213502943</v>
      </c>
      <c r="Z414">
        <f t="shared" si="144"/>
        <v>6.6487546565534048</v>
      </c>
      <c r="AA414">
        <f t="shared" si="138"/>
        <v>-1.8375549256055015</v>
      </c>
      <c r="AB414">
        <f t="shared" si="139"/>
        <v>-2.9885202690520973</v>
      </c>
      <c r="AC414">
        <f t="shared" si="140"/>
        <v>6.0978669045207505</v>
      </c>
      <c r="AD414">
        <f t="shared" si="141"/>
        <v>-1.2866671735728472</v>
      </c>
    </row>
    <row r="415" spans="1:30">
      <c r="A415">
        <v>413</v>
      </c>
      <c r="B415">
        <v>7.0180460076938402</v>
      </c>
      <c r="C415">
        <f t="shared" si="145"/>
        <v>6.5156767115301024</v>
      </c>
      <c r="D415">
        <f t="shared" si="145"/>
        <v>5.9866740918232226</v>
      </c>
      <c r="E415">
        <f t="shared" si="146"/>
        <v>6.0440897258630315</v>
      </c>
      <c r="F415">
        <f t="shared" si="149"/>
        <v>5.909450495212492</v>
      </c>
      <c r="G415">
        <f t="shared" si="149"/>
        <v>6.6249001113142354</v>
      </c>
      <c r="H415">
        <f t="shared" si="149"/>
        <v>7.288642686950328</v>
      </c>
      <c r="I415">
        <f t="shared" si="132"/>
        <v>0.27059667925648778</v>
      </c>
      <c r="J415">
        <f t="shared" si="147"/>
        <v>5.9142450859279769</v>
      </c>
      <c r="K415">
        <f t="shared" si="151"/>
        <v>6.2514186517479446</v>
      </c>
      <c r="L415">
        <f t="shared" si="151"/>
        <v>7.1096494428158623</v>
      </c>
      <c r="M415">
        <f t="shared" si="151"/>
        <v>7.2354898301930373</v>
      </c>
      <c r="N415">
        <f t="shared" si="133"/>
        <v>0.21744382249919703</v>
      </c>
      <c r="O415">
        <f t="shared" si="148"/>
        <v>6.1350052702811499</v>
      </c>
      <c r="P415">
        <f t="shared" si="152"/>
        <v>6.3709620999174259</v>
      </c>
      <c r="Q415">
        <f t="shared" si="150"/>
        <v>6.1367657101999207</v>
      </c>
      <c r="R415">
        <f t="shared" si="153"/>
        <v>6.91184894076732</v>
      </c>
      <c r="S415">
        <f t="shared" si="153"/>
        <v>7.0538847341335078</v>
      </c>
      <c r="T415">
        <f t="shared" si="134"/>
        <v>3.5838726439667568E-2</v>
      </c>
      <c r="U415">
        <f t="shared" si="135"/>
        <v>-3.5838726439667568E-2</v>
      </c>
      <c r="V415">
        <f t="shared" si="142"/>
        <v>6.5610128333912492</v>
      </c>
      <c r="W415">
        <f t="shared" si="136"/>
        <v>0.45703317430259105</v>
      </c>
      <c r="X415">
        <f t="shared" si="143"/>
        <v>6.2900445480281384</v>
      </c>
      <c r="Y415">
        <f t="shared" si="137"/>
        <v>0.72800145966570184</v>
      </c>
      <c r="Z415">
        <f t="shared" si="144"/>
        <v>6.0974881788717541</v>
      </c>
      <c r="AA415">
        <f t="shared" si="138"/>
        <v>0.92055782882208614</v>
      </c>
      <c r="AB415">
        <f t="shared" si="139"/>
        <v>-0.78723399230615954</v>
      </c>
      <c r="AC415">
        <f t="shared" si="140"/>
        <v>6.0535863539234578</v>
      </c>
      <c r="AD415">
        <f t="shared" si="141"/>
        <v>0.96445965377038245</v>
      </c>
    </row>
    <row r="416" spans="1:30">
      <c r="A416">
        <v>414</v>
      </c>
      <c r="B416">
        <v>7.6423941229753698</v>
      </c>
      <c r="C416">
        <f t="shared" si="145"/>
        <v>5.9146228693208718</v>
      </c>
      <c r="D416">
        <f t="shared" si="145"/>
        <v>6.5881057174253481</v>
      </c>
      <c r="E416">
        <f t="shared" si="146"/>
        <v>6.6831331435846808</v>
      </c>
      <c r="F416">
        <f t="shared" si="149"/>
        <v>5.8476665056545656</v>
      </c>
      <c r="G416">
        <f t="shared" si="149"/>
        <v>6.2153435378688648</v>
      </c>
      <c r="H416">
        <f t="shared" si="149"/>
        <v>7.013949791770596</v>
      </c>
      <c r="I416">
        <f t="shared" si="132"/>
        <v>-0.62844433120477383</v>
      </c>
      <c r="J416">
        <f t="shared" si="147"/>
        <v>6.2875787963207337</v>
      </c>
      <c r="K416">
        <f t="shared" si="151"/>
        <v>6.0394584254527484</v>
      </c>
      <c r="L416">
        <f t="shared" si="151"/>
        <v>6.7950798053469779</v>
      </c>
      <c r="M416">
        <f t="shared" si="151"/>
        <v>7.2528673138438711</v>
      </c>
      <c r="N416">
        <f t="shared" si="133"/>
        <v>-0.38952680913149873</v>
      </c>
      <c r="O416">
        <f t="shared" si="148"/>
        <v>6.5585418616516602</v>
      </c>
      <c r="P416">
        <f t="shared" si="152"/>
        <v>6.1741882049233912</v>
      </c>
      <c r="Q416">
        <f t="shared" si="150"/>
        <v>5.9500580318820049</v>
      </c>
      <c r="R416">
        <f t="shared" si="153"/>
        <v>6.7026011643217061</v>
      </c>
      <c r="S416">
        <f t="shared" si="153"/>
        <v>7.0654061866726074</v>
      </c>
      <c r="T416">
        <f t="shared" si="134"/>
        <v>-0.57698793630276235</v>
      </c>
      <c r="U416">
        <f t="shared" si="135"/>
        <v>0.57698793630276235</v>
      </c>
      <c r="V416">
        <f t="shared" si="142"/>
        <v>6.6067161508215086</v>
      </c>
      <c r="W416">
        <f t="shared" si="136"/>
        <v>1.0356779721538611</v>
      </c>
      <c r="X416">
        <f t="shared" si="143"/>
        <v>6.4356448399612791</v>
      </c>
      <c r="Y416">
        <f t="shared" si="137"/>
        <v>1.2067492830140907</v>
      </c>
      <c r="Z416">
        <f t="shared" si="144"/>
        <v>6.3736555275183804</v>
      </c>
      <c r="AA416">
        <f t="shared" si="138"/>
        <v>1.2687385954569894</v>
      </c>
      <c r="AB416">
        <f t="shared" si="139"/>
        <v>-0.16844587702463087</v>
      </c>
      <c r="AC416">
        <f t="shared" si="140"/>
        <v>6.009740560941661</v>
      </c>
      <c r="AD416">
        <f t="shared" si="141"/>
        <v>1.6326535620337088</v>
      </c>
    </row>
    <row r="417" spans="1:30">
      <c r="A417">
        <v>415</v>
      </c>
      <c r="B417">
        <v>4.4493952265122401</v>
      </c>
      <c r="C417">
        <f t="shared" si="145"/>
        <v>7.330220065334605</v>
      </c>
      <c r="D417">
        <f t="shared" si="145"/>
        <v>6.2151497904254871</v>
      </c>
      <c r="E417">
        <f t="shared" si="146"/>
        <v>6.4905466205390381</v>
      </c>
      <c r="F417">
        <f t="shared" si="149"/>
        <v>6.3363832467896826</v>
      </c>
      <c r="G417">
        <f t="shared" si="149"/>
        <v>5.923800994761911</v>
      </c>
      <c r="H417">
        <f t="shared" si="149"/>
        <v>6.6386918855769599</v>
      </c>
      <c r="I417">
        <f t="shared" si="132"/>
        <v>2.1892966590647198</v>
      </c>
      <c r="J417">
        <f t="shared" si="147"/>
        <v>6.9229483884323528</v>
      </c>
      <c r="K417">
        <f t="shared" si="151"/>
        <v>6.0292274262365284</v>
      </c>
      <c r="L417">
        <f t="shared" si="151"/>
        <v>6.4809644894583442</v>
      </c>
      <c r="M417">
        <f t="shared" si="151"/>
        <v>7.1346716305315496</v>
      </c>
      <c r="N417">
        <f t="shared" si="133"/>
        <v>2.6852764040193096</v>
      </c>
      <c r="O417">
        <f t="shared" si="148"/>
        <v>6.4282377560483299</v>
      </c>
      <c r="P417">
        <f t="shared" si="152"/>
        <v>6.1829743720314081</v>
      </c>
      <c r="Q417">
        <f t="shared" si="150"/>
        <v>6.3862367457301863</v>
      </c>
      <c r="R417">
        <f t="shared" si="153"/>
        <v>6.4330092214365822</v>
      </c>
      <c r="S417">
        <f t="shared" si="153"/>
        <v>7.018215184986345</v>
      </c>
      <c r="T417">
        <f t="shared" si="134"/>
        <v>2.5688199584741049</v>
      </c>
      <c r="U417">
        <f t="shared" si="135"/>
        <v>-2.5688199584741049</v>
      </c>
      <c r="V417">
        <f t="shared" si="142"/>
        <v>6.7102839480368948</v>
      </c>
      <c r="W417">
        <f t="shared" si="136"/>
        <v>-2.2608887215246547</v>
      </c>
      <c r="X417">
        <f t="shared" si="143"/>
        <v>6.6769946965640976</v>
      </c>
      <c r="Y417">
        <f t="shared" si="137"/>
        <v>-2.2275994700518575</v>
      </c>
      <c r="Z417">
        <f t="shared" si="144"/>
        <v>6.7542771061554774</v>
      </c>
      <c r="AA417">
        <f t="shared" si="138"/>
        <v>-2.3048818796432373</v>
      </c>
      <c r="AB417">
        <f t="shared" si="139"/>
        <v>-3.3670047734877597</v>
      </c>
      <c r="AC417">
        <f t="shared" si="140"/>
        <v>5.9663419130088791</v>
      </c>
      <c r="AD417">
        <f t="shared" si="141"/>
        <v>-1.516946686496639</v>
      </c>
    </row>
    <row r="418" spans="1:30">
      <c r="A418">
        <v>416</v>
      </c>
      <c r="B418">
        <v>5.0864426874435162</v>
      </c>
      <c r="C418">
        <f t="shared" si="145"/>
        <v>6.0458946747438045</v>
      </c>
      <c r="D418">
        <f t="shared" si="145"/>
        <v>6.6224214673277384</v>
      </c>
      <c r="E418">
        <f t="shared" si="146"/>
        <v>6.3699451190604828</v>
      </c>
      <c r="F418">
        <f t="shared" si="149"/>
        <v>6.4059231633289171</v>
      </c>
      <c r="G418">
        <f t="shared" si="149"/>
        <v>6.0311667492189143</v>
      </c>
      <c r="H418">
        <f t="shared" si="149"/>
        <v>6.2546815479816713</v>
      </c>
      <c r="I418">
        <f t="shared" si="132"/>
        <v>1.1682388605381551</v>
      </c>
      <c r="J418">
        <f t="shared" si="147"/>
        <v>5.9802587720323386</v>
      </c>
      <c r="K418">
        <f t="shared" si="151"/>
        <v>6.2731369709609091</v>
      </c>
      <c r="L418">
        <f t="shared" si="151"/>
        <v>6.2475362486981671</v>
      </c>
      <c r="M418">
        <f t="shared" si="151"/>
        <v>6.9152666854230658</v>
      </c>
      <c r="N418">
        <f t="shared" si="133"/>
        <v>1.8288239979795495</v>
      </c>
      <c r="O418">
        <f t="shared" si="148"/>
        <v>5.8014955551145739</v>
      </c>
      <c r="P418">
        <f t="shared" si="152"/>
        <v>6.2520248461502197</v>
      </c>
      <c r="Q418">
        <f t="shared" si="150"/>
        <v>6.2070174224617567</v>
      </c>
      <c r="R418">
        <f t="shared" si="153"/>
        <v>6.3407360923256251</v>
      </c>
      <c r="S418">
        <f t="shared" si="153"/>
        <v>6.9031124729825715</v>
      </c>
      <c r="T418">
        <f t="shared" si="134"/>
        <v>1.8166697855390552</v>
      </c>
      <c r="U418">
        <f t="shared" si="135"/>
        <v>-1.8166697855390552</v>
      </c>
      <c r="V418">
        <f t="shared" si="142"/>
        <v>6.4841950758844291</v>
      </c>
      <c r="W418">
        <f t="shared" si="136"/>
        <v>-1.3977523884409129</v>
      </c>
      <c r="X418">
        <f t="shared" si="143"/>
        <v>6.2314748025537261</v>
      </c>
      <c r="Y418">
        <f t="shared" si="137"/>
        <v>-1.1450321151102099</v>
      </c>
      <c r="Z418">
        <f t="shared" si="144"/>
        <v>6.0628125422625061</v>
      </c>
      <c r="AA418">
        <f t="shared" si="138"/>
        <v>-0.97636985481898986</v>
      </c>
      <c r="AB418">
        <f t="shared" si="139"/>
        <v>-2.7355173125564844</v>
      </c>
      <c r="AC418">
        <f t="shared" si="140"/>
        <v>5.9234026733545511</v>
      </c>
      <c r="AD418">
        <f t="shared" si="141"/>
        <v>-0.83695998591103482</v>
      </c>
    </row>
    <row r="419" spans="1:30">
      <c r="A419">
        <v>417</v>
      </c>
      <c r="B419">
        <v>5.8628045232846704</v>
      </c>
      <c r="C419">
        <f t="shared" si="145"/>
        <v>4.7679189569778782</v>
      </c>
      <c r="D419">
        <f t="shared" si="145"/>
        <v>6.6880573700392052</v>
      </c>
      <c r="E419">
        <f t="shared" si="146"/>
        <v>5.7260773456437084</v>
      </c>
      <c r="F419">
        <f t="shared" si="149"/>
        <v>6.5145416277280672</v>
      </c>
      <c r="G419">
        <f t="shared" si="149"/>
        <v>6.1966576385910557</v>
      </c>
      <c r="H419">
        <f t="shared" si="149"/>
        <v>6.0567704272832303</v>
      </c>
      <c r="I419">
        <f t="shared" si="132"/>
        <v>0.19396590399855995</v>
      </c>
      <c r="J419">
        <f t="shared" si="147"/>
        <v>6.0490695111562411</v>
      </c>
      <c r="K419">
        <f t="shared" si="151"/>
        <v>6.2762577606783507</v>
      </c>
      <c r="L419">
        <f t="shared" si="151"/>
        <v>6.1483103685995326</v>
      </c>
      <c r="M419">
        <f t="shared" si="151"/>
        <v>6.6583074965798383</v>
      </c>
      <c r="N419">
        <f t="shared" si="133"/>
        <v>0.79550297329516795</v>
      </c>
      <c r="O419">
        <f t="shared" si="148"/>
        <v>6.0118165135819268</v>
      </c>
      <c r="P419">
        <f t="shared" si="152"/>
        <v>6.1319481759630703</v>
      </c>
      <c r="Q419">
        <f t="shared" si="150"/>
        <v>6.2046052446141937</v>
      </c>
      <c r="R419">
        <f t="shared" si="153"/>
        <v>6.2330421935031559</v>
      </c>
      <c r="S419">
        <f t="shared" si="153"/>
        <v>6.7696668464627008</v>
      </c>
      <c r="T419">
        <f t="shared" si="134"/>
        <v>0.90686232317803039</v>
      </c>
      <c r="U419">
        <f t="shared" si="135"/>
        <v>-0.90686232317803039</v>
      </c>
      <c r="V419">
        <f t="shared" si="142"/>
        <v>6.3444198370403377</v>
      </c>
      <c r="W419">
        <f t="shared" si="136"/>
        <v>-0.48161531375566735</v>
      </c>
      <c r="X419">
        <f t="shared" si="143"/>
        <v>6.0024683795316838</v>
      </c>
      <c r="Y419">
        <f t="shared" si="137"/>
        <v>-0.13966385624701338</v>
      </c>
      <c r="Z419">
        <f t="shared" si="144"/>
        <v>5.7699015858168092</v>
      </c>
      <c r="AA419">
        <f t="shared" si="138"/>
        <v>9.2902937467861157E-2</v>
      </c>
      <c r="AB419">
        <f t="shared" si="139"/>
        <v>-1.9647154767153294</v>
      </c>
      <c r="AC419">
        <f t="shared" si="140"/>
        <v>5.8809349775976605</v>
      </c>
      <c r="AD419">
        <f t="shared" si="141"/>
        <v>-1.8130454312990096E-2</v>
      </c>
    </row>
    <row r="420" spans="1:30">
      <c r="A420">
        <v>418</v>
      </c>
      <c r="B420">
        <v>4.7559683080387183</v>
      </c>
      <c r="C420">
        <f t="shared" si="145"/>
        <v>5.4746236053640933</v>
      </c>
      <c r="D420">
        <f t="shared" si="145"/>
        <v>5.4069068158608413</v>
      </c>
      <c r="E420">
        <f t="shared" si="146"/>
        <v>5.1328808124134753</v>
      </c>
      <c r="F420">
        <f t="shared" si="149"/>
        <v>6.19552302841441</v>
      </c>
      <c r="G420">
        <f t="shared" si="149"/>
        <v>6.4189493459488887</v>
      </c>
      <c r="H420">
        <f t="shared" si="149"/>
        <v>6.0505417941906261</v>
      </c>
      <c r="I420">
        <f t="shared" si="132"/>
        <v>1.2945734861519078</v>
      </c>
      <c r="J420">
        <f t="shared" si="147"/>
        <v>5.7602591400539485</v>
      </c>
      <c r="K420">
        <f t="shared" si="151"/>
        <v>6.3099638669854166</v>
      </c>
      <c r="L420">
        <f t="shared" si="151"/>
        <v>6.1545201458321346</v>
      </c>
      <c r="M420">
        <f t="shared" si="151"/>
        <v>6.417972728025755</v>
      </c>
      <c r="N420">
        <f t="shared" si="133"/>
        <v>1.6620044199870367</v>
      </c>
      <c r="O420">
        <f t="shared" si="148"/>
        <v>5.5594009736509022</v>
      </c>
      <c r="P420">
        <f t="shared" si="152"/>
        <v>6.1870193913355278</v>
      </c>
      <c r="Q420">
        <f t="shared" si="150"/>
        <v>5.8117137164762562</v>
      </c>
      <c r="R420">
        <f t="shared" si="153"/>
        <v>6.2206438763531118</v>
      </c>
      <c r="S420">
        <f t="shared" si="153"/>
        <v>6.6115831548844923</v>
      </c>
      <c r="T420">
        <f t="shared" si="134"/>
        <v>1.855614846845774</v>
      </c>
      <c r="U420">
        <f t="shared" si="135"/>
        <v>-1.855614846845774</v>
      </c>
      <c r="V420">
        <f t="shared" si="142"/>
        <v>6.2962583056647707</v>
      </c>
      <c r="W420">
        <f t="shared" si="136"/>
        <v>-1.5402899976260525</v>
      </c>
      <c r="X420">
        <f t="shared" si="143"/>
        <v>5.9745356082822809</v>
      </c>
      <c r="Y420">
        <f t="shared" si="137"/>
        <v>-1.2185673002435626</v>
      </c>
      <c r="Z420">
        <f t="shared" si="144"/>
        <v>5.7977724670571673</v>
      </c>
      <c r="AA420">
        <f t="shared" si="138"/>
        <v>-1.041804159018449</v>
      </c>
      <c r="AB420">
        <f t="shared" si="139"/>
        <v>-3.0771116919612824</v>
      </c>
      <c r="AC420">
        <f t="shared" si="140"/>
        <v>5.8389508303758069</v>
      </c>
      <c r="AD420">
        <f t="shared" si="141"/>
        <v>-1.0829825223370886</v>
      </c>
    </row>
    <row r="421" spans="1:30">
      <c r="A421">
        <v>419</v>
      </c>
      <c r="B421">
        <v>5.8999238743144442</v>
      </c>
      <c r="C421">
        <f t="shared" si="145"/>
        <v>5.3093864156616943</v>
      </c>
      <c r="D421">
        <f t="shared" si="145"/>
        <v>5.1212712811709853</v>
      </c>
      <c r="E421">
        <f t="shared" si="146"/>
        <v>5.2350718395889686</v>
      </c>
      <c r="F421">
        <f t="shared" si="149"/>
        <v>5.7429677590392219</v>
      </c>
      <c r="G421">
        <f t="shared" si="149"/>
        <v>6.3719959398237975</v>
      </c>
      <c r="H421">
        <f t="shared" si="149"/>
        <v>6.2155912445862862</v>
      </c>
      <c r="I421">
        <f t="shared" si="132"/>
        <v>0.315667370271842</v>
      </c>
      <c r="J421">
        <f t="shared" si="147"/>
        <v>5.0386526863197858</v>
      </c>
      <c r="K421">
        <f t="shared" si="151"/>
        <v>6.1781339529187207</v>
      </c>
      <c r="L421">
        <f t="shared" si="151"/>
        <v>6.2221465062153012</v>
      </c>
      <c r="M421">
        <f t="shared" si="151"/>
        <v>6.2578328131470444</v>
      </c>
      <c r="N421">
        <f t="shared" si="133"/>
        <v>0.35790893883260022</v>
      </c>
      <c r="O421">
        <f t="shared" si="148"/>
        <v>5.210906923918718</v>
      </c>
      <c r="P421">
        <f t="shared" si="152"/>
        <v>6.0718985320094792</v>
      </c>
      <c r="Q421">
        <f t="shared" si="150"/>
        <v>5.8025084793247252</v>
      </c>
      <c r="R421">
        <f t="shared" si="153"/>
        <v>6.1160661452273866</v>
      </c>
      <c r="S421">
        <f t="shared" si="153"/>
        <v>6.4736469147845837</v>
      </c>
      <c r="T421">
        <f t="shared" si="134"/>
        <v>0.57372304047013944</v>
      </c>
      <c r="U421">
        <f t="shared" si="135"/>
        <v>-0.57372304047013944</v>
      </c>
      <c r="V421">
        <f t="shared" si="142"/>
        <v>6.1422293059021653</v>
      </c>
      <c r="W421">
        <f t="shared" si="136"/>
        <v>-0.24230543158772111</v>
      </c>
      <c r="X421">
        <f t="shared" si="143"/>
        <v>5.7308221482335684</v>
      </c>
      <c r="Y421">
        <f t="shared" si="137"/>
        <v>0.16910172608087581</v>
      </c>
      <c r="Z421">
        <f t="shared" si="144"/>
        <v>5.4852312193516326</v>
      </c>
      <c r="AA421">
        <f t="shared" si="138"/>
        <v>0.4146926549628116</v>
      </c>
      <c r="AB421">
        <f t="shared" si="139"/>
        <v>-1.9387161256855556</v>
      </c>
      <c r="AC421">
        <f t="shared" si="140"/>
        <v>5.7974621020106607</v>
      </c>
      <c r="AD421">
        <f t="shared" si="141"/>
        <v>0.1024617723037835</v>
      </c>
    </row>
    <row r="422" spans="1:30">
      <c r="A422">
        <v>420</v>
      </c>
      <c r="B422">
        <v>5.1206665323349618</v>
      </c>
      <c r="C422">
        <f t="shared" si="145"/>
        <v>5.3279460911765817</v>
      </c>
      <c r="D422">
        <f t="shared" si="145"/>
        <v>5.3920050105128938</v>
      </c>
      <c r="E422">
        <f t="shared" si="146"/>
        <v>5.506232235212611</v>
      </c>
      <c r="F422">
        <f t="shared" si="149"/>
        <v>5.3646766658820511</v>
      </c>
      <c r="G422">
        <f t="shared" si="149"/>
        <v>6.1510108050605661</v>
      </c>
      <c r="H422">
        <f t="shared" si="149"/>
        <v>6.3292009747879137</v>
      </c>
      <c r="I422">
        <f t="shared" si="132"/>
        <v>1.2085344424529518</v>
      </c>
      <c r="J422">
        <f t="shared" si="147"/>
        <v>5.4012848482703379</v>
      </c>
      <c r="K422">
        <f t="shared" si="151"/>
        <v>5.7070600273905789</v>
      </c>
      <c r="L422">
        <f t="shared" si="151"/>
        <v>6.2593731378858495</v>
      </c>
      <c r="M422">
        <f t="shared" si="151"/>
        <v>6.1931283173362832</v>
      </c>
      <c r="N422">
        <f t="shared" si="133"/>
        <v>1.0724617850013214</v>
      </c>
      <c r="O422">
        <f t="shared" si="148"/>
        <v>5.3451611850832625</v>
      </c>
      <c r="P422">
        <f t="shared" si="152"/>
        <v>5.8023715444628898</v>
      </c>
      <c r="Q422">
        <f t="shared" si="150"/>
        <v>5.6161547904281592</v>
      </c>
      <c r="R422">
        <f t="shared" si="153"/>
        <v>6.0603566067481864</v>
      </c>
      <c r="S422">
        <f t="shared" si="153"/>
        <v>6.3410164488612608</v>
      </c>
      <c r="T422">
        <f t="shared" si="134"/>
        <v>1.220349916526299</v>
      </c>
      <c r="U422">
        <f t="shared" si="135"/>
        <v>-1.220349916526299</v>
      </c>
      <c r="V422">
        <f t="shared" si="142"/>
        <v>6.1179987627433929</v>
      </c>
      <c r="W422">
        <f t="shared" si="136"/>
        <v>-0.99733223040843111</v>
      </c>
      <c r="X422">
        <f t="shared" si="143"/>
        <v>5.7646424934497436</v>
      </c>
      <c r="Y422">
        <f t="shared" si="137"/>
        <v>-0.64397596111478173</v>
      </c>
      <c r="Z422">
        <f t="shared" si="144"/>
        <v>5.6096390158404761</v>
      </c>
      <c r="AA422">
        <f t="shared" si="138"/>
        <v>-0.48897248350551425</v>
      </c>
      <c r="AB422">
        <f t="shared" si="139"/>
        <v>-2.7235334676650389</v>
      </c>
      <c r="AC422">
        <f t="shared" si="140"/>
        <v>5.7564805252107289</v>
      </c>
      <c r="AD422">
        <f t="shared" si="141"/>
        <v>-0.63581399287576712</v>
      </c>
    </row>
    <row r="423" spans="1:30">
      <c r="A423">
        <v>421</v>
      </c>
      <c r="B423">
        <v>6.5878727660746463</v>
      </c>
      <c r="C423">
        <f t="shared" si="145"/>
        <v>5.510295203324703</v>
      </c>
      <c r="D423">
        <f t="shared" si="145"/>
        <v>5.3186662534191385</v>
      </c>
      <c r="E423">
        <f t="shared" si="146"/>
        <v>5.2588529048960417</v>
      </c>
      <c r="F423">
        <f t="shared" si="149"/>
        <v>5.2913949624050183</v>
      </c>
      <c r="G423">
        <f t="shared" si="149"/>
        <v>5.7677224844452271</v>
      </c>
      <c r="H423">
        <f t="shared" si="149"/>
        <v>6.3139853636110841</v>
      </c>
      <c r="I423">
        <f t="shared" si="132"/>
        <v>-0.27388740246356225</v>
      </c>
      <c r="J423">
        <f t="shared" si="147"/>
        <v>5.4098408094931987</v>
      </c>
      <c r="K423">
        <f t="shared" si="151"/>
        <v>5.562316546450079</v>
      </c>
      <c r="L423">
        <f t="shared" si="151"/>
        <v>6.117853901993267</v>
      </c>
      <c r="M423">
        <f t="shared" si="151"/>
        <v>6.1960875396332042</v>
      </c>
      <c r="N423">
        <f t="shared" si="133"/>
        <v>-0.39178522644144209</v>
      </c>
      <c r="O423">
        <f t="shared" si="148"/>
        <v>5.645447200809488</v>
      </c>
      <c r="P423">
        <f t="shared" si="152"/>
        <v>5.5857562302698769</v>
      </c>
      <c r="Q423">
        <f t="shared" si="150"/>
        <v>5.1958668586547585</v>
      </c>
      <c r="R423">
        <f t="shared" si="153"/>
        <v>6.0047060665058796</v>
      </c>
      <c r="S423">
        <f t="shared" si="153"/>
        <v>6.2339756892656739</v>
      </c>
      <c r="T423">
        <f t="shared" si="134"/>
        <v>-0.35389707680897242</v>
      </c>
      <c r="U423">
        <f t="shared" si="135"/>
        <v>0.35389707680897242</v>
      </c>
      <c r="V423">
        <f t="shared" si="142"/>
        <v>6.0182655397025497</v>
      </c>
      <c r="W423">
        <f t="shared" si="136"/>
        <v>0.5696072263720966</v>
      </c>
      <c r="X423">
        <f t="shared" si="143"/>
        <v>5.6358473012267876</v>
      </c>
      <c r="Y423">
        <f t="shared" si="137"/>
        <v>0.95202546484785877</v>
      </c>
      <c r="Z423">
        <f t="shared" si="144"/>
        <v>5.4629472707888223</v>
      </c>
      <c r="AA423">
        <f t="shared" si="138"/>
        <v>1.1249254952858241</v>
      </c>
      <c r="AB423">
        <f t="shared" si="139"/>
        <v>-1.2618872339253535</v>
      </c>
      <c r="AC423">
        <f t="shared" si="140"/>
        <v>5.7160176918123442</v>
      </c>
      <c r="AD423">
        <f t="shared" si="141"/>
        <v>0.87185507426230213</v>
      </c>
    </row>
    <row r="424" spans="1:30">
      <c r="A424">
        <v>422</v>
      </c>
      <c r="B424">
        <v>4.0698903602380962</v>
      </c>
      <c r="C424">
        <f t="shared" si="145"/>
        <v>5.8542696492048041</v>
      </c>
      <c r="D424">
        <f t="shared" si="145"/>
        <v>5.4191206472506419</v>
      </c>
      <c r="E424">
        <f t="shared" si="146"/>
        <v>5.8694877242413499</v>
      </c>
      <c r="F424">
        <f t="shared" si="149"/>
        <v>5.3333856598992071</v>
      </c>
      <c r="G424">
        <f t="shared" si="149"/>
        <v>5.4663464624420968</v>
      </c>
      <c r="H424">
        <f t="shared" si="149"/>
        <v>6.0969097431098627</v>
      </c>
      <c r="I424">
        <f t="shared" si="132"/>
        <v>2.0270193828717664</v>
      </c>
      <c r="J424">
        <f t="shared" si="147"/>
        <v>5.5911078701906929</v>
      </c>
      <c r="K424">
        <f t="shared" si="151"/>
        <v>5.4025093710343182</v>
      </c>
      <c r="L424">
        <f t="shared" si="151"/>
        <v>5.9393685984361984</v>
      </c>
      <c r="M424">
        <f t="shared" si="151"/>
        <v>6.1884734229816383</v>
      </c>
      <c r="N424">
        <f t="shared" si="133"/>
        <v>2.118583062743542</v>
      </c>
      <c r="O424">
        <f t="shared" si="148"/>
        <v>5.286864368200173</v>
      </c>
      <c r="P424">
        <f t="shared" si="152"/>
        <v>5.5545465594088599</v>
      </c>
      <c r="Q424">
        <f t="shared" si="150"/>
        <v>5.5522797819151606</v>
      </c>
      <c r="R424">
        <f t="shared" si="153"/>
        <v>5.8063110853266409</v>
      </c>
      <c r="S424">
        <f t="shared" si="153"/>
        <v>6.1625918301105571</v>
      </c>
      <c r="T424">
        <f t="shared" si="134"/>
        <v>2.0927014698724609</v>
      </c>
      <c r="U424">
        <f t="shared" si="135"/>
        <v>-2.0927014698724609</v>
      </c>
      <c r="V424">
        <f t="shared" si="142"/>
        <v>6.0752262623397595</v>
      </c>
      <c r="W424">
        <f t="shared" si="136"/>
        <v>-2.0053359021016632</v>
      </c>
      <c r="X424">
        <f t="shared" si="143"/>
        <v>5.8262523941963593</v>
      </c>
      <c r="Y424">
        <f t="shared" si="137"/>
        <v>-1.7563620339582631</v>
      </c>
      <c r="Z424">
        <f t="shared" si="144"/>
        <v>5.8004249193745698</v>
      </c>
      <c r="AA424">
        <f t="shared" si="138"/>
        <v>-1.7305345591364736</v>
      </c>
      <c r="AB424">
        <f t="shared" si="139"/>
        <v>-3.7854296397619045</v>
      </c>
      <c r="AC424">
        <f t="shared" si="140"/>
        <v>5.6760850495597861</v>
      </c>
      <c r="AD424">
        <f t="shared" si="141"/>
        <v>-1.6061946893216899</v>
      </c>
    </row>
    <row r="425" spans="1:30">
      <c r="A425">
        <v>423</v>
      </c>
      <c r="B425">
        <v>4.4025259402373846</v>
      </c>
      <c r="C425">
        <f t="shared" si="145"/>
        <v>5.3288815631563713</v>
      </c>
      <c r="D425">
        <f t="shared" si="145"/>
        <v>5.682282426264754</v>
      </c>
      <c r="E425">
        <f t="shared" si="146"/>
        <v>5.2594765528825684</v>
      </c>
      <c r="F425">
        <f t="shared" si="149"/>
        <v>5.5448576214500003</v>
      </c>
      <c r="G425">
        <f t="shared" si="149"/>
        <v>5.3298190960620921</v>
      </c>
      <c r="H425">
        <f t="shared" si="149"/>
        <v>5.7950265839826303</v>
      </c>
      <c r="I425">
        <f t="shared" si="132"/>
        <v>1.3925006437452456</v>
      </c>
      <c r="J425">
        <f t="shared" si="147"/>
        <v>5.4195883832405372</v>
      </c>
      <c r="K425">
        <f t="shared" si="151"/>
        <v>5.360221553568504</v>
      </c>
      <c r="L425">
        <f t="shared" si="151"/>
        <v>5.7125049744484251</v>
      </c>
      <c r="M425">
        <f t="shared" si="151"/>
        <v>6.134685536132654</v>
      </c>
      <c r="N425">
        <f t="shared" si="133"/>
        <v>1.7321595958952694</v>
      </c>
      <c r="O425">
        <f t="shared" si="148"/>
        <v>5.2161758946399068</v>
      </c>
      <c r="P425">
        <f t="shared" si="152"/>
        <v>5.4095561303325095</v>
      </c>
      <c r="Q425">
        <f t="shared" si="150"/>
        <v>5.3828543940475901</v>
      </c>
      <c r="R425">
        <f t="shared" si="153"/>
        <v>5.6971881452355424</v>
      </c>
      <c r="S425">
        <f t="shared" si="153"/>
        <v>6.0735209956107257</v>
      </c>
      <c r="T425">
        <f t="shared" si="134"/>
        <v>1.670995055373341</v>
      </c>
      <c r="U425">
        <f t="shared" si="135"/>
        <v>-1.670995055373341</v>
      </c>
      <c r="V425">
        <f t="shared" si="142"/>
        <v>5.8746926721295933</v>
      </c>
      <c r="W425">
        <f t="shared" si="136"/>
        <v>-1.4721667318922087</v>
      </c>
      <c r="X425">
        <f t="shared" si="143"/>
        <v>5.4749799874047067</v>
      </c>
      <c r="Y425">
        <f t="shared" si="137"/>
        <v>-1.0724540471673221</v>
      </c>
      <c r="Z425">
        <f t="shared" si="144"/>
        <v>5.2812645516336278</v>
      </c>
      <c r="AA425">
        <f t="shared" si="138"/>
        <v>-0.87873861139624321</v>
      </c>
      <c r="AB425">
        <f t="shared" si="139"/>
        <v>-3.4583540597626152</v>
      </c>
      <c r="AC425">
        <f t="shared" si="140"/>
        <v>5.6366938989254267</v>
      </c>
      <c r="AD425">
        <f t="shared" si="141"/>
        <v>-1.2341679586880421</v>
      </c>
    </row>
    <row r="426" spans="1:30">
      <c r="A426">
        <v>424</v>
      </c>
      <c r="B426">
        <v>5.2358538689109118</v>
      </c>
      <c r="C426">
        <f t="shared" si="145"/>
        <v>4.23620815023774</v>
      </c>
      <c r="D426">
        <f t="shared" si="145"/>
        <v>5.5915756061805872</v>
      </c>
      <c r="E426">
        <f t="shared" si="146"/>
        <v>5.0200963555167091</v>
      </c>
      <c r="F426">
        <f t="shared" si="149"/>
        <v>5.4626057273399864</v>
      </c>
      <c r="G426">
        <f t="shared" si="149"/>
        <v>5.3898794145847413</v>
      </c>
      <c r="H426">
        <f t="shared" si="149"/>
        <v>5.521296014316472</v>
      </c>
      <c r="I426">
        <f t="shared" si="132"/>
        <v>0.28544214540556023</v>
      </c>
      <c r="J426">
        <f t="shared" si="147"/>
        <v>5.045238899721272</v>
      </c>
      <c r="K426">
        <f t="shared" si="151"/>
        <v>5.4554554777986919</v>
      </c>
      <c r="L426">
        <f t="shared" si="151"/>
        <v>5.50802687461087</v>
      </c>
      <c r="M426">
        <f t="shared" si="151"/>
        <v>6.0072751531909345</v>
      </c>
      <c r="N426">
        <f t="shared" si="133"/>
        <v>0.77142128428002277</v>
      </c>
      <c r="O426">
        <f t="shared" si="148"/>
        <v>5.0833618935592</v>
      </c>
      <c r="P426">
        <f t="shared" si="152"/>
        <v>5.3409111145303099</v>
      </c>
      <c r="Q426">
        <f t="shared" si="150"/>
        <v>5.139474630206375</v>
      </c>
      <c r="R426">
        <f t="shared" si="153"/>
        <v>5.5602296701411085</v>
      </c>
      <c r="S426">
        <f t="shared" si="153"/>
        <v>5.9842119875661242</v>
      </c>
      <c r="T426">
        <f t="shared" si="134"/>
        <v>0.7483581186552124</v>
      </c>
      <c r="U426">
        <f t="shared" si="135"/>
        <v>-0.7483581186552124</v>
      </c>
      <c r="V426">
        <f t="shared" si="142"/>
        <v>5.7274759989403723</v>
      </c>
      <c r="W426">
        <f t="shared" si="136"/>
        <v>-0.49162213002946054</v>
      </c>
      <c r="X426">
        <f t="shared" si="143"/>
        <v>5.2604891779712419</v>
      </c>
      <c r="Y426">
        <f t="shared" si="137"/>
        <v>-2.4635309060330179E-2</v>
      </c>
      <c r="Z426">
        <f t="shared" si="144"/>
        <v>5.017642968214755</v>
      </c>
      <c r="AA426">
        <f t="shared" si="138"/>
        <v>0.21821090069615678</v>
      </c>
      <c r="AB426">
        <f t="shared" si="139"/>
        <v>-2.630586131089089</v>
      </c>
      <c r="AC426">
        <f t="shared" si="140"/>
        <v>5.5978553899707792</v>
      </c>
      <c r="AD426">
        <f t="shared" si="141"/>
        <v>-0.36200152105986749</v>
      </c>
    </row>
    <row r="427" spans="1:30">
      <c r="A427">
        <v>425</v>
      </c>
      <c r="B427">
        <v>3.8327764225373131</v>
      </c>
      <c r="C427">
        <f t="shared" si="145"/>
        <v>4.8191899045741486</v>
      </c>
      <c r="D427">
        <f t="shared" si="145"/>
        <v>4.7825448566970561</v>
      </c>
      <c r="E427">
        <f t="shared" si="146"/>
        <v>4.5694233897954639</v>
      </c>
      <c r="F427">
        <f t="shared" si="149"/>
        <v>5.3830202108802085</v>
      </c>
      <c r="G427">
        <f t="shared" si="149"/>
        <v>5.4469496695630646</v>
      </c>
      <c r="H427">
        <f t="shared" si="149"/>
        <v>5.3953483243629767</v>
      </c>
      <c r="I427">
        <f t="shared" si="132"/>
        <v>1.5625719018256636</v>
      </c>
      <c r="J427">
        <f t="shared" si="147"/>
        <v>5.0740357338652595</v>
      </c>
      <c r="K427">
        <f t="shared" si="151"/>
        <v>5.3664439906614252</v>
      </c>
      <c r="L427">
        <f t="shared" si="151"/>
        <v>5.4451257372128978</v>
      </c>
      <c r="M427">
        <f t="shared" si="151"/>
        <v>5.8194385873721899</v>
      </c>
      <c r="N427">
        <f t="shared" si="133"/>
        <v>1.9866621648348768</v>
      </c>
      <c r="O427">
        <f t="shared" si="148"/>
        <v>4.8257838715996701</v>
      </c>
      <c r="P427">
        <f t="shared" si="152"/>
        <v>5.3154021084584056</v>
      </c>
      <c r="Q427">
        <f t="shared" si="150"/>
        <v>5.2194555570184074</v>
      </c>
      <c r="R427">
        <f t="shared" si="153"/>
        <v>5.4481898224294616</v>
      </c>
      <c r="S427">
        <f t="shared" si="153"/>
        <v>5.8741429531974569</v>
      </c>
      <c r="T427">
        <f t="shared" si="134"/>
        <v>2.0413665306601438</v>
      </c>
      <c r="U427">
        <f t="shared" si="135"/>
        <v>-2.0413665306601438</v>
      </c>
      <c r="V427">
        <f t="shared" si="142"/>
        <v>5.6783137859374264</v>
      </c>
      <c r="W427">
        <f t="shared" si="136"/>
        <v>-1.8455373634001133</v>
      </c>
      <c r="X427">
        <f t="shared" si="143"/>
        <v>5.2555621161591759</v>
      </c>
      <c r="Y427">
        <f t="shared" si="137"/>
        <v>-1.4227856936218628</v>
      </c>
      <c r="Z427">
        <f t="shared" si="144"/>
        <v>5.0831062384236017</v>
      </c>
      <c r="AA427">
        <f t="shared" si="138"/>
        <v>-1.2503298158862886</v>
      </c>
      <c r="AB427">
        <f t="shared" si="139"/>
        <v>-4.0392235774626872</v>
      </c>
      <c r="AC427">
        <f t="shared" si="140"/>
        <v>5.5595805192493328</v>
      </c>
      <c r="AD427">
        <f t="shared" si="141"/>
        <v>-1.7268040967120197</v>
      </c>
    </row>
    <row r="428" spans="1:30">
      <c r="A428">
        <v>426</v>
      </c>
      <c r="B428">
        <v>5.3857147044364293</v>
      </c>
      <c r="C428">
        <f t="shared" si="145"/>
        <v>4.5343151457241122</v>
      </c>
      <c r="D428">
        <f t="shared" si="145"/>
        <v>4.5276990274059443</v>
      </c>
      <c r="E428">
        <f t="shared" si="146"/>
        <v>4.4903854105618697</v>
      </c>
      <c r="F428">
        <f t="shared" si="149"/>
        <v>4.9496654327315808</v>
      </c>
      <c r="G428">
        <f t="shared" si="149"/>
        <v>5.4634945198900651</v>
      </c>
      <c r="H428">
        <f t="shared" si="149"/>
        <v>5.3888827267366324</v>
      </c>
      <c r="I428">
        <f t="shared" si="132"/>
        <v>3.1680223002030772E-3</v>
      </c>
      <c r="J428">
        <f t="shared" si="147"/>
        <v>4.3852616479809265</v>
      </c>
      <c r="K428">
        <f t="shared" si="151"/>
        <v>5.2824927217544406</v>
      </c>
      <c r="L428">
        <f t="shared" si="151"/>
        <v>5.3961575982657344</v>
      </c>
      <c r="M428">
        <f t="shared" si="151"/>
        <v>5.6512565461770983</v>
      </c>
      <c r="N428">
        <f t="shared" si="133"/>
        <v>0.26554184174066897</v>
      </c>
      <c r="O428">
        <f t="shared" si="148"/>
        <v>4.5853522592720264</v>
      </c>
      <c r="P428">
        <f t="shared" si="152"/>
        <v>5.2115266457616869</v>
      </c>
      <c r="Q428">
        <f t="shared" si="150"/>
        <v>4.8749309817222191</v>
      </c>
      <c r="R428">
        <f t="shared" si="153"/>
        <v>5.3510143353784088</v>
      </c>
      <c r="S428">
        <f t="shared" si="153"/>
        <v>5.7628302327311367</v>
      </c>
      <c r="T428">
        <f t="shared" si="134"/>
        <v>0.3771155282947074</v>
      </c>
      <c r="U428">
        <f t="shared" si="135"/>
        <v>-0.3771155282947074</v>
      </c>
      <c r="V428">
        <f t="shared" si="142"/>
        <v>5.493760049597415</v>
      </c>
      <c r="W428">
        <f t="shared" si="136"/>
        <v>-0.10804534516098574</v>
      </c>
      <c r="X428">
        <f t="shared" si="143"/>
        <v>4.9710049774348031</v>
      </c>
      <c r="Y428">
        <f t="shared" si="137"/>
        <v>0.41470972700162623</v>
      </c>
      <c r="Z428">
        <f t="shared" si="144"/>
        <v>4.7080072936577153</v>
      </c>
      <c r="AA428">
        <f t="shared" si="138"/>
        <v>0.67770741077871399</v>
      </c>
      <c r="AB428">
        <f t="shared" si="139"/>
        <v>-2.4918452955635715</v>
      </c>
      <c r="AC428">
        <f t="shared" si="140"/>
        <v>5.5218801267520252</v>
      </c>
      <c r="AD428">
        <f t="shared" si="141"/>
        <v>-0.13616542231559592</v>
      </c>
    </row>
    <row r="429" spans="1:30">
      <c r="A429">
        <v>427</v>
      </c>
      <c r="B429">
        <v>6.4504400998613063</v>
      </c>
      <c r="C429">
        <f t="shared" si="145"/>
        <v>4.609245563486871</v>
      </c>
      <c r="D429">
        <f t="shared" si="145"/>
        <v>4.67675252514913</v>
      </c>
      <c r="E429">
        <f t="shared" si="146"/>
        <v>4.8181149986282179</v>
      </c>
      <c r="F429">
        <f t="shared" si="149"/>
        <v>4.6933017186246815</v>
      </c>
      <c r="G429">
        <f t="shared" si="149"/>
        <v>5.2650971236505919</v>
      </c>
      <c r="H429">
        <f t="shared" si="149"/>
        <v>5.433441201345957</v>
      </c>
      <c r="I429">
        <f t="shared" si="132"/>
        <v>-1.0169988985153493</v>
      </c>
      <c r="J429">
        <f t="shared" si="147"/>
        <v>4.7142177340305098</v>
      </c>
      <c r="K429">
        <f t="shared" si="151"/>
        <v>4.9810311662019986</v>
      </c>
      <c r="L429">
        <f t="shared" si="151"/>
        <v>5.3661534359457654</v>
      </c>
      <c r="M429">
        <f t="shared" si="151"/>
        <v>5.5154537961344818</v>
      </c>
      <c r="N429">
        <f t="shared" si="133"/>
        <v>-0.93498630372682445</v>
      </c>
      <c r="O429">
        <f t="shared" si="148"/>
        <v>5.0614622071966693</v>
      </c>
      <c r="P429">
        <f t="shared" si="152"/>
        <v>4.9995076574541955</v>
      </c>
      <c r="Q429">
        <f t="shared" si="150"/>
        <v>4.919105677072463</v>
      </c>
      <c r="R429">
        <f t="shared" si="153"/>
        <v>5.2274770339274186</v>
      </c>
      <c r="S429">
        <f t="shared" si="153"/>
        <v>5.6446065208361738</v>
      </c>
      <c r="T429">
        <f t="shared" si="134"/>
        <v>-0.80583357902513253</v>
      </c>
      <c r="U429">
        <f t="shared" si="135"/>
        <v>0.80583357902513253</v>
      </c>
      <c r="V429">
        <f t="shared" si="142"/>
        <v>5.4829555150813167</v>
      </c>
      <c r="W429">
        <f t="shared" si="136"/>
        <v>0.96748458477998955</v>
      </c>
      <c r="X429">
        <f t="shared" si="143"/>
        <v>5.0539469228351281</v>
      </c>
      <c r="Y429">
        <f t="shared" si="137"/>
        <v>1.3964931770261781</v>
      </c>
      <c r="Z429">
        <f t="shared" si="144"/>
        <v>4.9113195168913295</v>
      </c>
      <c r="AA429">
        <f t="shared" si="138"/>
        <v>1.5391205829699768</v>
      </c>
      <c r="AB429">
        <f t="shared" si="139"/>
        <v>-1.4326799001386936</v>
      </c>
      <c r="AC429">
        <f t="shared" si="140"/>
        <v>5.4847648928962034</v>
      </c>
      <c r="AD429">
        <f t="shared" si="141"/>
        <v>0.96567520696510289</v>
      </c>
    </row>
    <row r="430" spans="1:30">
      <c r="A430">
        <v>428</v>
      </c>
      <c r="B430">
        <v>4.1233371370238823</v>
      </c>
      <c r="C430">
        <f t="shared" si="145"/>
        <v>5.9180774021488673</v>
      </c>
      <c r="D430">
        <f t="shared" si="145"/>
        <v>4.571780354605492</v>
      </c>
      <c r="E430">
        <f t="shared" si="146"/>
        <v>5.2229770756116833</v>
      </c>
      <c r="F430">
        <f t="shared" si="149"/>
        <v>4.6259745996618511</v>
      </c>
      <c r="G430">
        <f t="shared" si="149"/>
        <v>5.0086624540788236</v>
      </c>
      <c r="H430">
        <f t="shared" si="149"/>
        <v>5.3918471043679075</v>
      </c>
      <c r="I430">
        <f t="shared" si="132"/>
        <v>1.2685099673440252</v>
      </c>
      <c r="J430">
        <f t="shared" si="147"/>
        <v>5.2261962739364902</v>
      </c>
      <c r="K430">
        <f t="shared" si="151"/>
        <v>4.8046885038994915</v>
      </c>
      <c r="L430">
        <f t="shared" si="151"/>
        <v>5.2713558391041389</v>
      </c>
      <c r="M430">
        <f t="shared" si="151"/>
        <v>5.4288659115088169</v>
      </c>
      <c r="N430">
        <f t="shared" si="133"/>
        <v>1.3055287744849347</v>
      </c>
      <c r="O430">
        <f t="shared" si="148"/>
        <v>5.0056244465539681</v>
      </c>
      <c r="P430">
        <f t="shared" si="152"/>
        <v>4.9544272252534949</v>
      </c>
      <c r="Q430">
        <f t="shared" si="150"/>
        <v>4.8962002327035732</v>
      </c>
      <c r="R430">
        <f t="shared" si="153"/>
        <v>5.1813501703303695</v>
      </c>
      <c r="S430">
        <f t="shared" si="153"/>
        <v>5.5150683487397636</v>
      </c>
      <c r="T430">
        <f t="shared" si="134"/>
        <v>1.3917312117158813</v>
      </c>
      <c r="U430">
        <f t="shared" si="135"/>
        <v>-1.3917312117158813</v>
      </c>
      <c r="V430">
        <f t="shared" si="142"/>
        <v>5.5797039735593152</v>
      </c>
      <c r="W430">
        <f t="shared" si="136"/>
        <v>-1.456366836535433</v>
      </c>
      <c r="X430">
        <f t="shared" si="143"/>
        <v>5.3332455582403639</v>
      </c>
      <c r="Y430">
        <f t="shared" si="137"/>
        <v>-1.2099084212164817</v>
      </c>
      <c r="Z430">
        <f t="shared" si="144"/>
        <v>5.3730556917823229</v>
      </c>
      <c r="AA430">
        <f t="shared" si="138"/>
        <v>-1.2497185547584406</v>
      </c>
      <c r="AB430">
        <f t="shared" si="139"/>
        <v>-3.7653428629761185</v>
      </c>
      <c r="AC430">
        <f t="shared" si="140"/>
        <v>5.4482453355589096</v>
      </c>
      <c r="AD430">
        <f t="shared" si="141"/>
        <v>-1.3249081985350273</v>
      </c>
    </row>
    <row r="431" spans="1:30">
      <c r="A431">
        <v>429</v>
      </c>
      <c r="B431">
        <v>6.8494751495313899</v>
      </c>
      <c r="C431">
        <f t="shared" si="145"/>
        <v>5.2868886184425943</v>
      </c>
      <c r="D431">
        <f t="shared" si="145"/>
        <v>5.2636614828178692</v>
      </c>
      <c r="E431">
        <f t="shared" si="146"/>
        <v>5.3198306471072057</v>
      </c>
      <c r="F431">
        <f t="shared" si="149"/>
        <v>4.8438258282672573</v>
      </c>
      <c r="G431">
        <f t="shared" si="149"/>
        <v>4.7563139170060387</v>
      </c>
      <c r="H431">
        <f t="shared" si="149"/>
        <v>5.2457513658731605</v>
      </c>
      <c r="I431">
        <f t="shared" si="132"/>
        <v>-1.6037237836582294</v>
      </c>
      <c r="J431">
        <f t="shared" si="147"/>
        <v>4.9480670909647326</v>
      </c>
      <c r="K431">
        <f t="shared" si="151"/>
        <v>4.849927847453297</v>
      </c>
      <c r="L431">
        <f t="shared" si="151"/>
        <v>5.1086640956293392</v>
      </c>
      <c r="M431">
        <f t="shared" si="151"/>
        <v>5.3696981526321341</v>
      </c>
      <c r="N431">
        <f t="shared" si="133"/>
        <v>-1.4797769968992558</v>
      </c>
      <c r="O431">
        <f t="shared" si="148"/>
        <v>5.3283487026780643</v>
      </c>
      <c r="P431">
        <f t="shared" si="152"/>
        <v>4.9123169356363068</v>
      </c>
      <c r="Q431">
        <f t="shared" si="150"/>
        <v>4.9051080288345377</v>
      </c>
      <c r="R431">
        <f t="shared" si="153"/>
        <v>5.0720035787951048</v>
      </c>
      <c r="S431">
        <f t="shared" si="153"/>
        <v>5.4109081962403849</v>
      </c>
      <c r="T431">
        <f t="shared" si="134"/>
        <v>-1.438566953291005</v>
      </c>
      <c r="U431">
        <f t="shared" si="135"/>
        <v>1.438566953291005</v>
      </c>
      <c r="V431">
        <f t="shared" si="142"/>
        <v>5.434067289905772</v>
      </c>
      <c r="W431">
        <f t="shared" si="136"/>
        <v>1.4154078596256179</v>
      </c>
      <c r="X431">
        <f t="shared" si="143"/>
        <v>5.0912638739970673</v>
      </c>
      <c r="Y431">
        <f t="shared" si="137"/>
        <v>1.7582112755343227</v>
      </c>
      <c r="Z431">
        <f t="shared" si="144"/>
        <v>4.9981401253547908</v>
      </c>
      <c r="AA431">
        <f t="shared" si="138"/>
        <v>1.8513350241765991</v>
      </c>
      <c r="AB431">
        <f t="shared" si="139"/>
        <v>-1.04476485046861</v>
      </c>
      <c r="AC431">
        <f t="shared" si="140"/>
        <v>5.4123318071553195</v>
      </c>
      <c r="AD431">
        <f t="shared" si="141"/>
        <v>1.4371433423760704</v>
      </c>
    </row>
    <row r="432" spans="1:30">
      <c r="A432">
        <v>430</v>
      </c>
      <c r="B432">
        <v>5.0131106946402246</v>
      </c>
      <c r="C432">
        <f t="shared" si="145"/>
        <v>5.4864061432776356</v>
      </c>
      <c r="D432">
        <f t="shared" si="145"/>
        <v>5.6024830102957308</v>
      </c>
      <c r="E432">
        <f t="shared" si="146"/>
        <v>5.8077507954721925</v>
      </c>
      <c r="F432">
        <f t="shared" si="149"/>
        <v>5.1203075737823696</v>
      </c>
      <c r="G432">
        <f t="shared" si="149"/>
        <v>4.721034048851263</v>
      </c>
      <c r="H432">
        <f t="shared" si="149"/>
        <v>5.0100244982451514</v>
      </c>
      <c r="I432">
        <f t="shared" si="132"/>
        <v>-3.0861963950732374E-3</v>
      </c>
      <c r="J432">
        <f t="shared" si="147"/>
        <v>5.7022417727132515</v>
      </c>
      <c r="K432">
        <f t="shared" si="151"/>
        <v>4.818435686728165</v>
      </c>
      <c r="L432">
        <f t="shared" si="151"/>
        <v>4.9795350598273069</v>
      </c>
      <c r="M432">
        <f t="shared" si="151"/>
        <v>5.2855827422362447</v>
      </c>
      <c r="N432">
        <f t="shared" si="133"/>
        <v>0.27247204759602006</v>
      </c>
      <c r="O432">
        <f t="shared" si="148"/>
        <v>5.5644155570986467</v>
      </c>
      <c r="P432">
        <f t="shared" si="152"/>
        <v>4.9613142974600795</v>
      </c>
      <c r="Q432">
        <f t="shared" si="150"/>
        <v>5.3129328970502057</v>
      </c>
      <c r="R432">
        <f t="shared" si="153"/>
        <v>4.9923791845929291</v>
      </c>
      <c r="S432">
        <f t="shared" si="153"/>
        <v>5.3067107685003121</v>
      </c>
      <c r="T432">
        <f t="shared" si="134"/>
        <v>0.29360007386008746</v>
      </c>
      <c r="U432">
        <f t="shared" si="135"/>
        <v>-0.29360007386008746</v>
      </c>
      <c r="V432">
        <f t="shared" si="142"/>
        <v>5.5756080758683337</v>
      </c>
      <c r="W432">
        <f t="shared" si="136"/>
        <v>-0.56249738122810911</v>
      </c>
      <c r="X432">
        <f t="shared" si="143"/>
        <v>5.4429061291039318</v>
      </c>
      <c r="Y432">
        <f t="shared" si="137"/>
        <v>-0.42979543446370716</v>
      </c>
      <c r="Z432">
        <f t="shared" si="144"/>
        <v>5.5535406326077705</v>
      </c>
      <c r="AA432">
        <f t="shared" si="138"/>
        <v>-0.5404299379675459</v>
      </c>
      <c r="AB432">
        <f t="shared" si="139"/>
        <v>-2.8866893053597762</v>
      </c>
      <c r="AC432">
        <f t="shared" si="140"/>
        <v>5.3770344917631316</v>
      </c>
      <c r="AD432">
        <f t="shared" si="141"/>
        <v>-0.36392379712290701</v>
      </c>
    </row>
    <row r="433" spans="1:30">
      <c r="A433">
        <v>431</v>
      </c>
      <c r="B433">
        <v>6.5177797601210106</v>
      </c>
      <c r="C433">
        <f t="shared" si="145"/>
        <v>5.9312929220858077</v>
      </c>
      <c r="D433">
        <f t="shared" si="145"/>
        <v>5.386647380860115</v>
      </c>
      <c r="E433">
        <f t="shared" si="146"/>
        <v>5.328640993731832</v>
      </c>
      <c r="F433">
        <f t="shared" si="149"/>
        <v>5.4501861727303611</v>
      </c>
      <c r="G433">
        <f t="shared" si="149"/>
        <v>4.863369333903826</v>
      </c>
      <c r="H433">
        <f t="shared" si="149"/>
        <v>4.8286701399787084</v>
      </c>
      <c r="I433">
        <f t="shared" si="132"/>
        <v>-1.6891096201423021</v>
      </c>
      <c r="J433">
        <f t="shared" si="147"/>
        <v>5.609090770264201</v>
      </c>
      <c r="K433">
        <f t="shared" si="151"/>
        <v>5.1476807179112463</v>
      </c>
      <c r="L433">
        <f t="shared" si="151"/>
        <v>4.863520801070738</v>
      </c>
      <c r="M433">
        <f t="shared" si="151"/>
        <v>5.1814271076266376</v>
      </c>
      <c r="N433">
        <f t="shared" si="133"/>
        <v>-1.336352652494373</v>
      </c>
      <c r="O433">
        <f t="shared" si="148"/>
        <v>5.7908285682355629</v>
      </c>
      <c r="P433">
        <f t="shared" si="152"/>
        <v>5.1090406345598751</v>
      </c>
      <c r="Q433">
        <f t="shared" si="150"/>
        <v>5.2758090346717577</v>
      </c>
      <c r="R433">
        <f t="shared" si="153"/>
        <v>5.0212888957335675</v>
      </c>
      <c r="S433">
        <f t="shared" si="153"/>
        <v>5.2120690209089489</v>
      </c>
      <c r="T433">
        <f t="shared" si="134"/>
        <v>-1.3057107392120617</v>
      </c>
      <c r="U433">
        <f t="shared" si="135"/>
        <v>1.3057107392120617</v>
      </c>
      <c r="V433">
        <f t="shared" si="142"/>
        <v>5.5193583377455226</v>
      </c>
      <c r="W433">
        <f t="shared" si="136"/>
        <v>0.99842142237548792</v>
      </c>
      <c r="X433">
        <f t="shared" si="143"/>
        <v>5.35694704221119</v>
      </c>
      <c r="Y433">
        <f t="shared" si="137"/>
        <v>1.1608327179098206</v>
      </c>
      <c r="Z433">
        <f t="shared" si="144"/>
        <v>5.3914116512175063</v>
      </c>
      <c r="AA433">
        <f t="shared" si="138"/>
        <v>1.1263681089035043</v>
      </c>
      <c r="AB433">
        <f t="shared" si="139"/>
        <v>-1.3875802398789894</v>
      </c>
      <c r="AC433">
        <f t="shared" si="140"/>
        <v>5.342363402293727</v>
      </c>
      <c r="AD433">
        <f t="shared" si="141"/>
        <v>1.1754163578272836</v>
      </c>
    </row>
    <row r="434" spans="1:30">
      <c r="A434">
        <v>432</v>
      </c>
      <c r="B434">
        <v>7.5541821608073736</v>
      </c>
      <c r="C434">
        <f t="shared" si="145"/>
        <v>5.7654452273806172</v>
      </c>
      <c r="D434">
        <f t="shared" si="145"/>
        <v>5.7088495326817217</v>
      </c>
      <c r="E434">
        <f t="shared" si="146"/>
        <v>6.1267885347642093</v>
      </c>
      <c r="F434">
        <f t="shared" si="149"/>
        <v>5.4854074787704095</v>
      </c>
      <c r="G434">
        <f t="shared" si="149"/>
        <v>5.1381065249266626</v>
      </c>
      <c r="H434">
        <f t="shared" si="149"/>
        <v>4.7802390999203759</v>
      </c>
      <c r="I434">
        <f t="shared" si="132"/>
        <v>-2.7739430608869977</v>
      </c>
      <c r="J434">
        <f t="shared" si="147"/>
        <v>5.6259256853291273</v>
      </c>
      <c r="K434">
        <f t="shared" si="151"/>
        <v>5.3713989769696688</v>
      </c>
      <c r="L434">
        <f t="shared" si="151"/>
        <v>4.9051831889980502</v>
      </c>
      <c r="M434">
        <f t="shared" si="151"/>
        <v>5.0557689489078808</v>
      </c>
      <c r="N434">
        <f t="shared" si="133"/>
        <v>-2.4984132118994928</v>
      </c>
      <c r="O434">
        <f t="shared" si="148"/>
        <v>6.0115769804247758</v>
      </c>
      <c r="P434">
        <f t="shared" si="152"/>
        <v>5.3501358963525814</v>
      </c>
      <c r="Q434">
        <f t="shared" si="150"/>
        <v>5.723309590935707</v>
      </c>
      <c r="R434">
        <f t="shared" si="153"/>
        <v>5.0306811420091258</v>
      </c>
      <c r="S434">
        <f t="shared" si="153"/>
        <v>5.140918866459633</v>
      </c>
      <c r="T434">
        <f t="shared" si="134"/>
        <v>-2.4132632943477406</v>
      </c>
      <c r="U434">
        <f t="shared" si="135"/>
        <v>2.4132632943477406</v>
      </c>
      <c r="V434">
        <f t="shared" si="142"/>
        <v>5.6192004799830713</v>
      </c>
      <c r="W434">
        <f t="shared" si="136"/>
        <v>1.9349816808243023</v>
      </c>
      <c r="X434">
        <f t="shared" si="143"/>
        <v>5.5891135857931538</v>
      </c>
      <c r="Y434">
        <f t="shared" si="137"/>
        <v>1.9650685750142198</v>
      </c>
      <c r="Z434">
        <f t="shared" si="144"/>
        <v>5.7293220838885572</v>
      </c>
      <c r="AA434">
        <f t="shared" si="138"/>
        <v>1.8248600769188164</v>
      </c>
      <c r="AB434">
        <f t="shared" si="139"/>
        <v>-0.35673783919262725</v>
      </c>
      <c r="AC434">
        <f t="shared" si="140"/>
        <v>5.3083283777108665</v>
      </c>
      <c r="AD434">
        <f t="shared" si="141"/>
        <v>2.2458537830965071</v>
      </c>
    </row>
    <row r="435" spans="1:30">
      <c r="A435">
        <v>433</v>
      </c>
      <c r="B435">
        <v>6.9217570514176998</v>
      </c>
      <c r="C435">
        <f t="shared" si="145"/>
        <v>7.0359809604641921</v>
      </c>
      <c r="D435">
        <f t="shared" si="145"/>
        <v>5.8483690747332124</v>
      </c>
      <c r="E435">
        <f t="shared" si="146"/>
        <v>6.3616908718562017</v>
      </c>
      <c r="F435">
        <f t="shared" si="149"/>
        <v>5.7543934413227449</v>
      </c>
      <c r="G435">
        <f t="shared" si="149"/>
        <v>5.3519670750943797</v>
      </c>
      <c r="H435">
        <f t="shared" si="149"/>
        <v>4.9075033025605839</v>
      </c>
      <c r="I435">
        <f t="shared" si="132"/>
        <v>-2.0142537488571159</v>
      </c>
      <c r="J435">
        <f t="shared" si="147"/>
        <v>6.4836369412749999</v>
      </c>
      <c r="K435">
        <f t="shared" si="151"/>
        <v>5.4713313298178292</v>
      </c>
      <c r="L435">
        <f t="shared" si="151"/>
        <v>5.0468608072655945</v>
      </c>
      <c r="M435">
        <f t="shared" si="151"/>
        <v>4.964225786381359</v>
      </c>
      <c r="N435">
        <f t="shared" si="133"/>
        <v>-1.9575312650363408</v>
      </c>
      <c r="O435">
        <f t="shared" si="148"/>
        <v>6.5712609633035397</v>
      </c>
      <c r="P435">
        <f t="shared" si="152"/>
        <v>5.5401588509982034</v>
      </c>
      <c r="Q435">
        <f t="shared" si="150"/>
        <v>6.0847208336641971</v>
      </c>
      <c r="R435">
        <f t="shared" si="153"/>
        <v>5.1720775768780411</v>
      </c>
      <c r="S435">
        <f t="shared" si="153"/>
        <v>5.0875300008980862</v>
      </c>
      <c r="T435">
        <f t="shared" si="134"/>
        <v>-1.8342270505196137</v>
      </c>
      <c r="U435">
        <f t="shared" si="135"/>
        <v>1.8342270505196137</v>
      </c>
      <c r="V435">
        <f t="shared" si="142"/>
        <v>5.8126986480655018</v>
      </c>
      <c r="W435">
        <f t="shared" si="136"/>
        <v>1.109058403352198</v>
      </c>
      <c r="X435">
        <f t="shared" si="143"/>
        <v>5.9821273007959981</v>
      </c>
      <c r="Y435">
        <f t="shared" si="137"/>
        <v>0.93962975062170173</v>
      </c>
      <c r="Z435">
        <f t="shared" si="144"/>
        <v>6.2767801069642024</v>
      </c>
      <c r="AA435">
        <f t="shared" si="138"/>
        <v>0.6449769444534974</v>
      </c>
      <c r="AB435">
        <f t="shared" si="139"/>
        <v>-0.99472294858230015</v>
      </c>
      <c r="AC435">
        <f t="shared" si="140"/>
        <v>5.2749390802977141</v>
      </c>
      <c r="AD435">
        <f t="shared" si="141"/>
        <v>1.6468179711199857</v>
      </c>
    </row>
    <row r="436" spans="1:30">
      <c r="A436">
        <v>434</v>
      </c>
      <c r="B436">
        <v>4.5312412902866512</v>
      </c>
      <c r="C436">
        <f t="shared" si="145"/>
        <v>7.2379696061125367</v>
      </c>
      <c r="D436">
        <f t="shared" si="145"/>
        <v>6.4007130939224046</v>
      </c>
      <c r="E436">
        <f t="shared" si="146"/>
        <v>6.9979063241153616</v>
      </c>
      <c r="F436">
        <f t="shared" si="149"/>
        <v>5.9390401334507468</v>
      </c>
      <c r="G436">
        <f t="shared" si="149"/>
        <v>5.5633290309411718</v>
      </c>
      <c r="H436">
        <f t="shared" si="149"/>
        <v>5.1178143113082895</v>
      </c>
      <c r="I436">
        <f t="shared" si="132"/>
        <v>0.58657302102163822</v>
      </c>
      <c r="J436">
        <f t="shared" si="147"/>
        <v>6.5017074167465765</v>
      </c>
      <c r="K436">
        <f t="shared" si="151"/>
        <v>5.855223792395396</v>
      </c>
      <c r="L436">
        <f t="shared" si="151"/>
        <v>5.2022116778567273</v>
      </c>
      <c r="M436">
        <f t="shared" si="151"/>
        <v>4.948774964290422</v>
      </c>
      <c r="N436">
        <f t="shared" si="133"/>
        <v>0.41753367400377073</v>
      </c>
      <c r="O436">
        <f t="shared" si="148"/>
        <v>6.1076141914545916</v>
      </c>
      <c r="P436">
        <f t="shared" si="152"/>
        <v>5.8532861543481181</v>
      </c>
      <c r="Q436">
        <f t="shared" si="150"/>
        <v>6.1632736589235968</v>
      </c>
      <c r="R436">
        <f t="shared" si="153"/>
        <v>5.3663467696433296</v>
      </c>
      <c r="S436">
        <f t="shared" si="153"/>
        <v>5.0782967580565233</v>
      </c>
      <c r="T436">
        <f t="shared" si="134"/>
        <v>0.54705546776987202</v>
      </c>
      <c r="U436">
        <f t="shared" si="135"/>
        <v>-0.54705546776987202</v>
      </c>
      <c r="V436">
        <f t="shared" si="142"/>
        <v>5.9236044884007217</v>
      </c>
      <c r="W436">
        <f t="shared" si="136"/>
        <v>-1.3923631981140705</v>
      </c>
      <c r="X436">
        <f t="shared" si="143"/>
        <v>6.1700532509203381</v>
      </c>
      <c r="Y436">
        <f t="shared" si="137"/>
        <v>-1.6388119606336868</v>
      </c>
      <c r="Z436">
        <f t="shared" si="144"/>
        <v>6.4702731903002517</v>
      </c>
      <c r="AA436">
        <f t="shared" si="138"/>
        <v>-1.9390319000136005</v>
      </c>
      <c r="AB436">
        <f t="shared" si="139"/>
        <v>-3.3907987097133496</v>
      </c>
      <c r="AC436">
        <f t="shared" si="140"/>
        <v>5.2422049929729235</v>
      </c>
      <c r="AD436">
        <f t="shared" si="141"/>
        <v>-0.71096370268627229</v>
      </c>
    </row>
    <row r="437" spans="1:30">
      <c r="A437">
        <v>435</v>
      </c>
      <c r="B437">
        <v>5.8670750440741273</v>
      </c>
      <c r="C437">
        <f t="shared" si="145"/>
        <v>5.7264991708521755</v>
      </c>
      <c r="D437">
        <f t="shared" si="145"/>
        <v>7.1369752832883648</v>
      </c>
      <c r="E437">
        <f t="shared" si="146"/>
        <v>6.3357268341705746</v>
      </c>
      <c r="F437">
        <f t="shared" si="149"/>
        <v>6.4954619102452575</v>
      </c>
      <c r="G437">
        <f t="shared" si="149"/>
        <v>5.726280351181301</v>
      </c>
      <c r="H437">
        <f t="shared" si="149"/>
        <v>5.3511342103207378</v>
      </c>
      <c r="I437">
        <f t="shared" si="132"/>
        <v>-0.51594083375338951</v>
      </c>
      <c r="J437">
        <f t="shared" si="147"/>
        <v>6.3812400656581838</v>
      </c>
      <c r="K437">
        <f t="shared" si="151"/>
        <v>6.0550902034037257</v>
      </c>
      <c r="L437">
        <f t="shared" si="151"/>
        <v>5.4614087042735351</v>
      </c>
      <c r="M437">
        <f t="shared" si="151"/>
        <v>5.0044441187977773</v>
      </c>
      <c r="N437">
        <f t="shared" si="133"/>
        <v>-0.86263092527634999</v>
      </c>
      <c r="O437">
        <f t="shared" si="148"/>
        <v>6.2784070613413725</v>
      </c>
      <c r="P437">
        <f t="shared" si="152"/>
        <v>6.0091392521034237</v>
      </c>
      <c r="Q437">
        <f t="shared" si="150"/>
        <v>6.2312576844673915</v>
      </c>
      <c r="R437">
        <f t="shared" si="153"/>
        <v>5.5775256740133337</v>
      </c>
      <c r="S437">
        <f t="shared" si="153"/>
        <v>5.109129524608683</v>
      </c>
      <c r="T437">
        <f t="shared" si="134"/>
        <v>-0.75794551946544431</v>
      </c>
      <c r="U437">
        <f t="shared" si="135"/>
        <v>0.75794551946544431</v>
      </c>
      <c r="V437">
        <f t="shared" si="142"/>
        <v>5.7843681685893147</v>
      </c>
      <c r="W437">
        <f t="shared" si="136"/>
        <v>8.2706875484812592E-2</v>
      </c>
      <c r="X437">
        <f t="shared" si="143"/>
        <v>5.8422908587936009</v>
      </c>
      <c r="Y437">
        <f t="shared" si="137"/>
        <v>2.4784185280526394E-2</v>
      </c>
      <c r="Z437">
        <f t="shared" si="144"/>
        <v>5.8885636202961713</v>
      </c>
      <c r="AA437">
        <f t="shared" si="138"/>
        <v>-2.1488576222044031E-2</v>
      </c>
      <c r="AB437">
        <f t="shared" si="139"/>
        <v>-2.0605249559258727</v>
      </c>
      <c r="AC437">
        <f t="shared" si="140"/>
        <v>5.2101354166565601</v>
      </c>
      <c r="AD437">
        <f t="shared" si="141"/>
        <v>0.65693962741756717</v>
      </c>
    </row>
    <row r="438" spans="1:30">
      <c r="A438">
        <v>436</v>
      </c>
      <c r="B438">
        <v>5.9742535843494267</v>
      </c>
      <c r="C438">
        <f t="shared" si="145"/>
        <v>5.1991581671803893</v>
      </c>
      <c r="D438">
        <f t="shared" si="145"/>
        <v>6.4822343884823557</v>
      </c>
      <c r="E438">
        <f t="shared" si="146"/>
        <v>5.7733577952594928</v>
      </c>
      <c r="F438">
        <f t="shared" si="149"/>
        <v>6.5651080100473793</v>
      </c>
      <c r="G438">
        <f t="shared" si="149"/>
        <v>6.0629651616729161</v>
      </c>
      <c r="H438">
        <f t="shared" si="149"/>
        <v>5.5471921524056178</v>
      </c>
      <c r="I438">
        <f t="shared" si="132"/>
        <v>-0.42706143194380886</v>
      </c>
      <c r="J438">
        <f t="shared" si="147"/>
        <v>6.2185638866464625</v>
      </c>
      <c r="K438">
        <f t="shared" si="151"/>
        <v>6.2481275272522216</v>
      </c>
      <c r="L438">
        <f t="shared" si="151"/>
        <v>5.688261075646655</v>
      </c>
      <c r="M438">
        <f t="shared" si="151"/>
        <v>5.1539160945984763</v>
      </c>
      <c r="N438">
        <f t="shared" si="133"/>
        <v>-0.82033748975095033</v>
      </c>
      <c r="O438">
        <f t="shared" si="148"/>
        <v>6.1697018261870555</v>
      </c>
      <c r="P438">
        <f t="shared" si="152"/>
        <v>6.1519375529519689</v>
      </c>
      <c r="Q438">
        <f t="shared" si="150"/>
        <v>6.0675243335578477</v>
      </c>
      <c r="R438">
        <f t="shared" si="153"/>
        <v>5.798550616618809</v>
      </c>
      <c r="S438">
        <f t="shared" si="153"/>
        <v>5.1933832071450547</v>
      </c>
      <c r="T438">
        <f t="shared" si="134"/>
        <v>-0.78087037720437191</v>
      </c>
      <c r="U438">
        <f t="shared" si="135"/>
        <v>0.78087037720437191</v>
      </c>
      <c r="V438">
        <f t="shared" si="142"/>
        <v>5.7926388561377955</v>
      </c>
      <c r="W438">
        <f t="shared" si="136"/>
        <v>0.18161472821163116</v>
      </c>
      <c r="X438">
        <f t="shared" si="143"/>
        <v>5.8472476958497062</v>
      </c>
      <c r="Y438">
        <f t="shared" si="137"/>
        <v>0.1270058884997205</v>
      </c>
      <c r="Z438">
        <f t="shared" si="144"/>
        <v>5.8821170474295581</v>
      </c>
      <c r="AA438">
        <f t="shared" si="138"/>
        <v>9.2136536919868561E-2</v>
      </c>
      <c r="AB438">
        <f t="shared" si="139"/>
        <v>-1.9589064156505742</v>
      </c>
      <c r="AC438">
        <f t="shared" si="140"/>
        <v>5.1787394676865723</v>
      </c>
      <c r="AD438">
        <f t="shared" si="141"/>
        <v>0.79551411666285432</v>
      </c>
    </row>
    <row r="439" spans="1:30">
      <c r="A439">
        <v>437</v>
      </c>
      <c r="B439">
        <v>7.3795682838582541</v>
      </c>
      <c r="C439">
        <f t="shared" si="145"/>
        <v>5.920664314211777</v>
      </c>
      <c r="D439">
        <f t="shared" si="145"/>
        <v>5.4628286690162824</v>
      </c>
      <c r="E439">
        <f t="shared" si="146"/>
        <v>5.4575233062367348</v>
      </c>
      <c r="F439">
        <f t="shared" si="149"/>
        <v>6.3689969845151424</v>
      </c>
      <c r="G439">
        <f t="shared" si="149"/>
        <v>6.3332033512477937</v>
      </c>
      <c r="H439">
        <f t="shared" si="149"/>
        <v>5.7841915145984624</v>
      </c>
      <c r="I439">
        <f t="shared" si="132"/>
        <v>-1.5953767692597918</v>
      </c>
      <c r="J439">
        <f t="shared" si="147"/>
        <v>5.8235817425319762</v>
      </c>
      <c r="K439">
        <f t="shared" si="151"/>
        <v>6.3962870775815563</v>
      </c>
      <c r="L439">
        <f t="shared" si="151"/>
        <v>5.9074432132172934</v>
      </c>
      <c r="M439">
        <f t="shared" si="151"/>
        <v>5.3496855662606277</v>
      </c>
      <c r="N439">
        <f t="shared" si="133"/>
        <v>-2.0298827175976264</v>
      </c>
      <c r="O439">
        <f t="shared" si="148"/>
        <v>6.1347790507972322</v>
      </c>
      <c r="P439">
        <f t="shared" si="152"/>
        <v>6.2277122045422662</v>
      </c>
      <c r="Q439">
        <f t="shared" si="150"/>
        <v>6.2277148151760473</v>
      </c>
      <c r="R439">
        <f t="shared" si="153"/>
        <v>5.924315856036749</v>
      </c>
      <c r="S439">
        <f t="shared" si="153"/>
        <v>5.3277451124827007</v>
      </c>
      <c r="T439">
        <f t="shared" si="134"/>
        <v>-2.0518231713755535</v>
      </c>
      <c r="U439">
        <f t="shared" si="135"/>
        <v>2.0518231713755535</v>
      </c>
      <c r="V439">
        <f t="shared" si="142"/>
        <v>5.8108003289589583</v>
      </c>
      <c r="W439">
        <f t="shared" si="136"/>
        <v>1.5687679548992959</v>
      </c>
      <c r="X439">
        <f t="shared" si="143"/>
        <v>5.8726488735496503</v>
      </c>
      <c r="Y439">
        <f t="shared" si="137"/>
        <v>1.5069194103086039</v>
      </c>
      <c r="Z439">
        <f t="shared" si="144"/>
        <v>5.909758008505519</v>
      </c>
      <c r="AA439">
        <f t="shared" si="138"/>
        <v>1.4698102753527351</v>
      </c>
      <c r="AB439">
        <f t="shared" si="139"/>
        <v>-0.55915171614174586</v>
      </c>
      <c r="AC439">
        <f t="shared" si="140"/>
        <v>5.1480260752865314</v>
      </c>
      <c r="AD439">
        <f t="shared" si="141"/>
        <v>2.2315422085717227</v>
      </c>
    </row>
    <row r="440" spans="1:30">
      <c r="A440">
        <v>438</v>
      </c>
      <c r="B440">
        <v>3.3634191039914185</v>
      </c>
      <c r="C440">
        <f t="shared" si="145"/>
        <v>6.6769109341038408</v>
      </c>
      <c r="D440">
        <f t="shared" si="145"/>
        <v>5.5599112406960831</v>
      </c>
      <c r="E440">
        <f t="shared" si="146"/>
        <v>6.4069656374272697</v>
      </c>
      <c r="F440">
        <f t="shared" si="149"/>
        <v>5.8555359785556007</v>
      </c>
      <c r="G440">
        <f t="shared" si="149"/>
        <v>6.4765223016025928</v>
      </c>
      <c r="H440">
        <f t="shared" si="149"/>
        <v>6.0408162880340042</v>
      </c>
      <c r="I440">
        <f t="shared" si="132"/>
        <v>2.6773971840425856</v>
      </c>
      <c r="J440">
        <f t="shared" si="147"/>
        <v>5.9380345506421151</v>
      </c>
      <c r="K440">
        <f t="shared" si="151"/>
        <v>6.2312732778958004</v>
      </c>
      <c r="L440">
        <f t="shared" si="151"/>
        <v>6.1386821501582247</v>
      </c>
      <c r="M440">
        <f t="shared" si="151"/>
        <v>5.5648311677485527</v>
      </c>
      <c r="N440">
        <f t="shared" si="133"/>
        <v>2.2014120637571342</v>
      </c>
      <c r="O440">
        <f t="shared" si="148"/>
        <v>5.4231114613119757</v>
      </c>
      <c r="P440">
        <f t="shared" si="152"/>
        <v>6.252352618616758</v>
      </c>
      <c r="Q440">
        <f t="shared" si="150"/>
        <v>6.3713462357989217</v>
      </c>
      <c r="R440">
        <f t="shared" si="153"/>
        <v>6.0829668194541311</v>
      </c>
      <c r="S440">
        <f t="shared" si="153"/>
        <v>5.4782496058665648</v>
      </c>
      <c r="T440">
        <f t="shared" si="134"/>
        <v>2.1148305018751463</v>
      </c>
      <c r="U440">
        <f t="shared" si="135"/>
        <v>-2.1148305018751463</v>
      </c>
      <c r="V440">
        <f t="shared" si="142"/>
        <v>5.9676771244488878</v>
      </c>
      <c r="W440">
        <f t="shared" si="136"/>
        <v>-2.6042580204574692</v>
      </c>
      <c r="X440">
        <f t="shared" si="143"/>
        <v>6.1740327556113712</v>
      </c>
      <c r="Y440">
        <f t="shared" si="137"/>
        <v>-2.8106136516199527</v>
      </c>
      <c r="Z440">
        <f t="shared" si="144"/>
        <v>6.3507010911113397</v>
      </c>
      <c r="AA440">
        <f t="shared" si="138"/>
        <v>-2.9872819871199212</v>
      </c>
      <c r="AB440">
        <f t="shared" si="139"/>
        <v>-4.5808608960085824</v>
      </c>
      <c r="AC440">
        <f t="shared" si="140"/>
        <v>5.1180039790853513</v>
      </c>
      <c r="AD440">
        <f t="shared" si="141"/>
        <v>-1.7545848750939328</v>
      </c>
    </row>
    <row r="441" spans="1:30">
      <c r="A441">
        <v>439</v>
      </c>
      <c r="B441">
        <v>3.6806161447647332</v>
      </c>
      <c r="C441">
        <f t="shared" si="145"/>
        <v>5.3714936939248368</v>
      </c>
      <c r="D441">
        <f t="shared" si="145"/>
        <v>6.2987876241578089</v>
      </c>
      <c r="E441">
        <f t="shared" si="146"/>
        <v>5.5724136573997001</v>
      </c>
      <c r="F441">
        <f t="shared" si="149"/>
        <v>5.8792822463078318</v>
      </c>
      <c r="G441">
        <f t="shared" si="149"/>
        <v>6.2632136577060402</v>
      </c>
      <c r="H441">
        <f t="shared" si="149"/>
        <v>6.2908969381744342</v>
      </c>
      <c r="I441">
        <f t="shared" si="132"/>
        <v>2.610280793409701</v>
      </c>
      <c r="J441">
        <f t="shared" si="147"/>
        <v>5.6460790040683069</v>
      </c>
      <c r="K441">
        <f t="shared" si="151"/>
        <v>6.0903550613696851</v>
      </c>
      <c r="L441">
        <f t="shared" si="151"/>
        <v>6.2326945215333271</v>
      </c>
      <c r="M441">
        <f t="shared" si="151"/>
        <v>5.798948785823927</v>
      </c>
      <c r="N441">
        <f t="shared" si="133"/>
        <v>2.1183326410591938</v>
      </c>
      <c r="O441">
        <f t="shared" si="148"/>
        <v>5.2529864322075923</v>
      </c>
      <c r="P441">
        <f t="shared" si="152"/>
        <v>6.0227227182184446</v>
      </c>
      <c r="Q441">
        <f t="shared" si="150"/>
        <v>5.6728857263295964</v>
      </c>
      <c r="R441">
        <f t="shared" si="153"/>
        <v>6.1909729269313338</v>
      </c>
      <c r="S441">
        <f t="shared" si="153"/>
        <v>5.6536305521073986</v>
      </c>
      <c r="T441">
        <f t="shared" si="134"/>
        <v>1.9730144073426654</v>
      </c>
      <c r="U441">
        <f t="shared" si="135"/>
        <v>-1.9730144073426654</v>
      </c>
      <c r="V441">
        <f t="shared" si="142"/>
        <v>5.7072513224031409</v>
      </c>
      <c r="W441">
        <f t="shared" si="136"/>
        <v>-2.0266351776384077</v>
      </c>
      <c r="X441">
        <f t="shared" si="143"/>
        <v>5.611910025287381</v>
      </c>
      <c r="Y441">
        <f t="shared" si="137"/>
        <v>-1.9312938805226478</v>
      </c>
      <c r="Z441">
        <f t="shared" si="144"/>
        <v>5.4545164949753637</v>
      </c>
      <c r="AA441">
        <f t="shared" si="138"/>
        <v>-1.7739003502106305</v>
      </c>
      <c r="AB441">
        <f t="shared" si="139"/>
        <v>-4.2692238552352668</v>
      </c>
      <c r="AC441">
        <f t="shared" si="140"/>
        <v>5.0886817266896678</v>
      </c>
      <c r="AD441">
        <f t="shared" si="141"/>
        <v>-1.4080655819249346</v>
      </c>
    </row>
    <row r="442" spans="1:30">
      <c r="A442">
        <v>440</v>
      </c>
      <c r="B442">
        <v>6.7903368664926633</v>
      </c>
      <c r="C442">
        <f t="shared" si="145"/>
        <v>3.5220176243780759</v>
      </c>
      <c r="D442">
        <f t="shared" si="145"/>
        <v>6.0242023140143388</v>
      </c>
      <c r="E442">
        <f t="shared" si="146"/>
        <v>4.8078678442048028</v>
      </c>
      <c r="F442">
        <f t="shared" si="149"/>
        <v>5.8123008670212348</v>
      </c>
      <c r="G442">
        <f t="shared" si="149"/>
        <v>6.0346050697928577</v>
      </c>
      <c r="H442">
        <f t="shared" si="149"/>
        <v>6.3576464368521419</v>
      </c>
      <c r="I442">
        <f t="shared" si="132"/>
        <v>-0.4326904296405214</v>
      </c>
      <c r="J442">
        <f t="shared" si="147"/>
        <v>5.0994642792409586</v>
      </c>
      <c r="K442">
        <f t="shared" si="151"/>
        <v>5.9065647959722156</v>
      </c>
      <c r="L442">
        <f t="shared" si="151"/>
        <v>6.2415107360248161</v>
      </c>
      <c r="M442">
        <f t="shared" si="151"/>
        <v>5.9917702401388748</v>
      </c>
      <c r="N442">
        <f t="shared" si="133"/>
        <v>-0.7985666263537885</v>
      </c>
      <c r="O442">
        <f t="shared" si="148"/>
        <v>5.4376387966912993</v>
      </c>
      <c r="P442">
        <f t="shared" si="152"/>
        <v>5.8517971663690451</v>
      </c>
      <c r="Q442">
        <f t="shared" si="150"/>
        <v>5.1326955752207688</v>
      </c>
      <c r="R442">
        <f t="shared" si="153"/>
        <v>6.1223337423755666</v>
      </c>
      <c r="S442">
        <f t="shared" si="153"/>
        <v>5.8234464437829478</v>
      </c>
      <c r="T442">
        <f t="shared" si="134"/>
        <v>-0.96689042270971548</v>
      </c>
      <c r="U442">
        <f t="shared" si="135"/>
        <v>0.96689042270971548</v>
      </c>
      <c r="V442">
        <f t="shared" si="142"/>
        <v>5.5045878046393</v>
      </c>
      <c r="W442">
        <f t="shared" si="136"/>
        <v>1.2857490618533634</v>
      </c>
      <c r="X442">
        <f t="shared" si="143"/>
        <v>5.2256512491828513</v>
      </c>
      <c r="Y442">
        <f t="shared" si="137"/>
        <v>1.564685617309812</v>
      </c>
      <c r="Z442">
        <f t="shared" si="144"/>
        <v>4.9223463899121747</v>
      </c>
      <c r="AA442">
        <f t="shared" si="138"/>
        <v>1.8679904765804887</v>
      </c>
      <c r="AB442">
        <f t="shared" si="139"/>
        <v>-1.1650631335073376</v>
      </c>
      <c r="AC442">
        <f t="shared" si="140"/>
        <v>5.0600676713095591</v>
      </c>
      <c r="AD442">
        <f t="shared" si="141"/>
        <v>1.7302691951831042</v>
      </c>
    </row>
    <row r="443" spans="1:30">
      <c r="A443">
        <v>441</v>
      </c>
      <c r="B443">
        <v>4.2023238101385134</v>
      </c>
      <c r="C443">
        <f t="shared" si="145"/>
        <v>5.2354765056286983</v>
      </c>
      <c r="D443">
        <f t="shared" si="145"/>
        <v>4.4467556591514565</v>
      </c>
      <c r="E443">
        <f t="shared" si="146"/>
        <v>4.611457371749605</v>
      </c>
      <c r="F443">
        <f t="shared" si="149"/>
        <v>5.5957490463439248</v>
      </c>
      <c r="G443">
        <f t="shared" si="149"/>
        <v>5.8490396972948888</v>
      </c>
      <c r="H443">
        <f t="shared" si="149"/>
        <v>6.258113676367163</v>
      </c>
      <c r="I443">
        <f t="shared" si="132"/>
        <v>2.0557898662286496</v>
      </c>
      <c r="J443">
        <f t="shared" si="147"/>
        <v>5.3034850997767675</v>
      </c>
      <c r="K443">
        <f t="shared" si="151"/>
        <v>5.6267898941208392</v>
      </c>
      <c r="L443">
        <f t="shared" si="151"/>
        <v>6.1561200532048144</v>
      </c>
      <c r="M443">
        <f t="shared" si="151"/>
        <v>6.1300826552334158</v>
      </c>
      <c r="N443">
        <f t="shared" si="133"/>
        <v>1.9277588450949024</v>
      </c>
      <c r="O443">
        <f t="shared" si="148"/>
        <v>5.0832528418491165</v>
      </c>
      <c r="P443">
        <f t="shared" si="152"/>
        <v>5.6836435134390308</v>
      </c>
      <c r="Q443">
        <f t="shared" si="150"/>
        <v>5.5092115045884382</v>
      </c>
      <c r="R443">
        <f t="shared" si="153"/>
        <v>5.9505707284250953</v>
      </c>
      <c r="S443">
        <f t="shared" si="153"/>
        <v>5.9494442725716539</v>
      </c>
      <c r="T443">
        <f t="shared" si="134"/>
        <v>1.7471204624331405</v>
      </c>
      <c r="U443">
        <f t="shared" si="135"/>
        <v>-1.7471204624331405</v>
      </c>
      <c r="V443">
        <f t="shared" si="142"/>
        <v>5.633162710824636</v>
      </c>
      <c r="W443">
        <f t="shared" si="136"/>
        <v>-1.4308389006861226</v>
      </c>
      <c r="X443">
        <f t="shared" si="143"/>
        <v>5.5385883726448135</v>
      </c>
      <c r="Y443">
        <f t="shared" si="137"/>
        <v>-1.3362645625063001</v>
      </c>
      <c r="Z443">
        <f t="shared" si="144"/>
        <v>5.482743532886321</v>
      </c>
      <c r="AA443">
        <f t="shared" si="138"/>
        <v>-1.2804197227478076</v>
      </c>
      <c r="AB443">
        <f t="shared" si="139"/>
        <v>-3.7586361898614866</v>
      </c>
      <c r="AC443">
        <f t="shared" si="140"/>
        <v>5.0321699694382671</v>
      </c>
      <c r="AD443">
        <f t="shared" si="141"/>
        <v>-0.82984615929975369</v>
      </c>
    </row>
    <row r="444" spans="1:30">
      <c r="A444">
        <v>442</v>
      </c>
      <c r="B444">
        <v>3.960935490860916</v>
      </c>
      <c r="C444">
        <f t="shared" si="145"/>
        <v>5.4963303383155884</v>
      </c>
      <c r="D444">
        <f t="shared" si="145"/>
        <v>4.3787470650033873</v>
      </c>
      <c r="E444">
        <f t="shared" si="146"/>
        <v>4.8910922737986366</v>
      </c>
      <c r="F444">
        <f t="shared" si="149"/>
        <v>4.997246291118036</v>
      </c>
      <c r="G444">
        <f t="shared" si="149"/>
        <v>5.7624440532243311</v>
      </c>
      <c r="H444">
        <f t="shared" si="149"/>
        <v>6.0489528082645956</v>
      </c>
      <c r="I444">
        <f t="shared" si="132"/>
        <v>2.0880173174036796</v>
      </c>
      <c r="J444">
        <f t="shared" si="147"/>
        <v>4.5091739813468319</v>
      </c>
      <c r="K444">
        <f t="shared" si="151"/>
        <v>5.4967657334320377</v>
      </c>
      <c r="L444">
        <f t="shared" si="151"/>
        <v>5.9637457573396357</v>
      </c>
      <c r="M444">
        <f t="shared" si="151"/>
        <v>6.1922518652302951</v>
      </c>
      <c r="N444">
        <f t="shared" si="133"/>
        <v>2.2313163743693791</v>
      </c>
      <c r="O444">
        <f t="shared" si="148"/>
        <v>4.3995262832496485</v>
      </c>
      <c r="P444">
        <f t="shared" si="152"/>
        <v>5.4663537165714429</v>
      </c>
      <c r="Q444">
        <f t="shared" si="150"/>
        <v>5.2317529655991679</v>
      </c>
      <c r="R444">
        <f t="shared" si="153"/>
        <v>5.8302296984452697</v>
      </c>
      <c r="S444">
        <f t="shared" si="153"/>
        <v>6.0116184483069475</v>
      </c>
      <c r="T444">
        <f t="shared" si="134"/>
        <v>2.0506829574460315</v>
      </c>
      <c r="U444">
        <f t="shared" si="135"/>
        <v>-2.0506829574460315</v>
      </c>
      <c r="V444">
        <f t="shared" si="142"/>
        <v>5.4900788207560236</v>
      </c>
      <c r="W444">
        <f t="shared" si="136"/>
        <v>-1.5291433298951076</v>
      </c>
      <c r="X444">
        <f t="shared" si="143"/>
        <v>5.2713354601435531</v>
      </c>
      <c r="Y444">
        <f t="shared" si="137"/>
        <v>-1.3103999692826371</v>
      </c>
      <c r="Z444">
        <f t="shared" si="144"/>
        <v>5.0986176160619792</v>
      </c>
      <c r="AA444">
        <f t="shared" si="138"/>
        <v>-1.1376821252010632</v>
      </c>
      <c r="AB444">
        <f t="shared" si="139"/>
        <v>-4.0055845091390854</v>
      </c>
      <c r="AC444">
        <f t="shared" si="140"/>
        <v>5.0049965785865487</v>
      </c>
      <c r="AD444">
        <f t="shared" si="141"/>
        <v>-1.0440610877256327</v>
      </c>
    </row>
    <row r="445" spans="1:30">
      <c r="A445">
        <v>443</v>
      </c>
      <c r="B445">
        <v>3.3056409223940797</v>
      </c>
      <c r="C445">
        <f t="shared" si="145"/>
        <v>4.0816296504997149</v>
      </c>
      <c r="D445">
        <f t="shared" si="145"/>
        <v>5.3659034219721438</v>
      </c>
      <c r="E445">
        <f t="shared" si="146"/>
        <v>4.9845320558306971</v>
      </c>
      <c r="F445">
        <f t="shared" si="149"/>
        <v>4.7701391632510157</v>
      </c>
      <c r="G445">
        <f t="shared" si="149"/>
        <v>5.4684320681610652</v>
      </c>
      <c r="H445">
        <f t="shared" si="149"/>
        <v>5.8820296067706925</v>
      </c>
      <c r="I445">
        <f t="shared" si="132"/>
        <v>2.5763886843766128</v>
      </c>
      <c r="J445">
        <f t="shared" si="147"/>
        <v>4.6585530780642062</v>
      </c>
      <c r="K445">
        <f t="shared" si="151"/>
        <v>5.1395505911082164</v>
      </c>
      <c r="L445">
        <f t="shared" si="151"/>
        <v>5.7801188712236948</v>
      </c>
      <c r="M445">
        <f t="shared" si="151"/>
        <v>6.1485177670256483</v>
      </c>
      <c r="N445">
        <f t="shared" si="133"/>
        <v>2.8428768446315686</v>
      </c>
      <c r="O445">
        <f t="shared" si="148"/>
        <v>4.3879706469301807</v>
      </c>
      <c r="P445">
        <f t="shared" si="152"/>
        <v>5.119303163061927</v>
      </c>
      <c r="Q445">
        <f t="shared" si="150"/>
        <v>4.89619995001775</v>
      </c>
      <c r="R445">
        <f t="shared" si="153"/>
        <v>5.6909344704521567</v>
      </c>
      <c r="S445">
        <f t="shared" si="153"/>
        <v>6.0168982952780246</v>
      </c>
      <c r="T445">
        <f t="shared" si="134"/>
        <v>2.7112573728839449</v>
      </c>
      <c r="U445">
        <f t="shared" si="135"/>
        <v>-2.7112573728839449</v>
      </c>
      <c r="V445">
        <f t="shared" si="142"/>
        <v>5.337164487766513</v>
      </c>
      <c r="W445">
        <f t="shared" si="136"/>
        <v>-2.0315235653724333</v>
      </c>
      <c r="X445">
        <f t="shared" si="143"/>
        <v>5.0092554662870254</v>
      </c>
      <c r="Y445">
        <f t="shared" si="137"/>
        <v>-1.7036145438929458</v>
      </c>
      <c r="Z445">
        <f t="shared" si="144"/>
        <v>4.7573129785016599</v>
      </c>
      <c r="AA445">
        <f t="shared" si="138"/>
        <v>-1.4516720561075802</v>
      </c>
      <c r="AB445">
        <f t="shared" si="139"/>
        <v>-4.6664390776059204</v>
      </c>
      <c r="AC445">
        <f t="shared" si="140"/>
        <v>4.978555255072318</v>
      </c>
      <c r="AD445">
        <f t="shared" si="141"/>
        <v>-1.6729143326782383</v>
      </c>
    </row>
    <row r="446" spans="1:30">
      <c r="A446">
        <v>444</v>
      </c>
      <c r="B446">
        <v>3.1065141364040776</v>
      </c>
      <c r="C446">
        <f t="shared" si="145"/>
        <v>3.6332882066274976</v>
      </c>
      <c r="D446">
        <f t="shared" si="145"/>
        <v>4.7889799944076517</v>
      </c>
      <c r="E446">
        <f t="shared" si="146"/>
        <v>3.8229667411311699</v>
      </c>
      <c r="F446">
        <f t="shared" si="149"/>
        <v>4.8290272337929805</v>
      </c>
      <c r="G446">
        <f t="shared" si="149"/>
        <v>5.1210448335709922</v>
      </c>
      <c r="H446">
        <f t="shared" si="149"/>
        <v>5.6933052728934284</v>
      </c>
      <c r="I446">
        <f t="shared" si="132"/>
        <v>2.5867911364893508</v>
      </c>
      <c r="J446">
        <f t="shared" si="147"/>
        <v>4.5648092724715426</v>
      </c>
      <c r="K446">
        <f t="shared" si="151"/>
        <v>4.8926691096071915</v>
      </c>
      <c r="L446">
        <f t="shared" si="151"/>
        <v>5.5424177536583272</v>
      </c>
      <c r="M446">
        <f t="shared" si="151"/>
        <v>6.0353738544482409</v>
      </c>
      <c r="N446">
        <f t="shared" si="133"/>
        <v>2.9288597180441633</v>
      </c>
      <c r="O446">
        <f t="shared" si="148"/>
        <v>4.2731502452580497</v>
      </c>
      <c r="P446">
        <f t="shared" si="152"/>
        <v>4.9122750001855682</v>
      </c>
      <c r="Q446">
        <f t="shared" si="150"/>
        <v>4.2172120564403874</v>
      </c>
      <c r="R446">
        <f t="shared" si="153"/>
        <v>5.4690153262591075</v>
      </c>
      <c r="S446">
        <f t="shared" si="153"/>
        <v>5.9780013976805924</v>
      </c>
      <c r="T446">
        <f t="shared" si="134"/>
        <v>2.8714872612765148</v>
      </c>
      <c r="U446">
        <f t="shared" si="135"/>
        <v>-2.8714872612765148</v>
      </c>
      <c r="V446">
        <f t="shared" si="142"/>
        <v>5.1340121312292695</v>
      </c>
      <c r="W446">
        <f t="shared" si="136"/>
        <v>-2.0274979948251919</v>
      </c>
      <c r="X446">
        <f t="shared" si="143"/>
        <v>4.6685325575084367</v>
      </c>
      <c r="Y446">
        <f t="shared" si="137"/>
        <v>-1.5620184211043591</v>
      </c>
      <c r="Z446">
        <f t="shared" si="144"/>
        <v>4.3218113616693863</v>
      </c>
      <c r="AA446">
        <f t="shared" si="138"/>
        <v>-1.2152972252653087</v>
      </c>
      <c r="AB446">
        <f t="shared" si="139"/>
        <v>-4.8711258635959229</v>
      </c>
      <c r="AC446">
        <f t="shared" si="140"/>
        <v>4.9528535518661565</v>
      </c>
      <c r="AD446">
        <f t="shared" si="141"/>
        <v>-1.8463394154620789</v>
      </c>
    </row>
    <row r="447" spans="1:30">
      <c r="A447">
        <v>445</v>
      </c>
      <c r="B447">
        <v>2.8799149514019122</v>
      </c>
      <c r="C447">
        <f t="shared" si="145"/>
        <v>3.2060775293990789</v>
      </c>
      <c r="D447">
        <f t="shared" si="145"/>
        <v>3.8574589285636063</v>
      </c>
      <c r="E447">
        <f t="shared" si="146"/>
        <v>3.4576968498863576</v>
      </c>
      <c r="F447">
        <f t="shared" si="149"/>
        <v>4.5661970235868345</v>
      </c>
      <c r="G447">
        <f t="shared" si="149"/>
        <v>4.8654708960540107</v>
      </c>
      <c r="H447">
        <f t="shared" si="149"/>
        <v>5.4506403183187961</v>
      </c>
      <c r="I447">
        <f t="shared" si="132"/>
        <v>2.5707253669168839</v>
      </c>
      <c r="J447">
        <f t="shared" si="147"/>
        <v>3.6438535899493969</v>
      </c>
      <c r="K447">
        <f t="shared" si="151"/>
        <v>4.7590053579148366</v>
      </c>
      <c r="L447">
        <f t="shared" si="151"/>
        <v>5.288943832067071</v>
      </c>
      <c r="M447">
        <f t="shared" si="151"/>
        <v>5.8606006088566183</v>
      </c>
      <c r="N447">
        <f t="shared" si="133"/>
        <v>2.980685657454706</v>
      </c>
      <c r="O447">
        <f t="shared" si="148"/>
        <v>3.4910658622398998</v>
      </c>
      <c r="P447">
        <f t="shared" si="152"/>
        <v>4.71630776279566</v>
      </c>
      <c r="Q447">
        <f t="shared" si="150"/>
        <v>4.1743945618424965</v>
      </c>
      <c r="R447">
        <f t="shared" si="153"/>
        <v>5.1099929630326848</v>
      </c>
      <c r="S447">
        <f t="shared" si="153"/>
        <v>5.8756761488147546</v>
      </c>
      <c r="T447">
        <f t="shared" si="134"/>
        <v>2.9957611974128424</v>
      </c>
      <c r="U447">
        <f t="shared" si="135"/>
        <v>-2.9957611974128424</v>
      </c>
      <c r="V447">
        <f t="shared" si="142"/>
        <v>4.9312623317467503</v>
      </c>
      <c r="W447">
        <f t="shared" si="136"/>
        <v>-2.0513473803448381</v>
      </c>
      <c r="X447">
        <f t="shared" si="143"/>
        <v>4.3561288732875649</v>
      </c>
      <c r="Y447">
        <f t="shared" si="137"/>
        <v>-1.4762139218856527</v>
      </c>
      <c r="Z447">
        <f t="shared" si="144"/>
        <v>3.9572221940897938</v>
      </c>
      <c r="AA447">
        <f t="shared" si="138"/>
        <v>-1.0773072426878816</v>
      </c>
      <c r="AB447">
        <f t="shared" si="139"/>
        <v>-5.1032850485980878</v>
      </c>
      <c r="AC447">
        <f t="shared" si="140"/>
        <v>4.9278988164933146</v>
      </c>
      <c r="AD447">
        <f t="shared" si="141"/>
        <v>-2.0479838650914024</v>
      </c>
    </row>
    <row r="448" spans="1:30">
      <c r="A448">
        <v>446</v>
      </c>
      <c r="B448">
        <v>5.2934012993885471</v>
      </c>
      <c r="C448">
        <f t="shared" si="145"/>
        <v>2.9932145439029947</v>
      </c>
      <c r="D448">
        <f t="shared" si="145"/>
        <v>3.4196828680132882</v>
      </c>
      <c r="E448">
        <f t="shared" si="146"/>
        <v>3.0973566700666901</v>
      </c>
      <c r="F448">
        <f t="shared" si="149"/>
        <v>4.0883985489494075</v>
      </c>
      <c r="G448">
        <f t="shared" si="149"/>
        <v>4.7217878068769439</v>
      </c>
      <c r="H448">
        <f t="shared" si="149"/>
        <v>5.1516492659286897</v>
      </c>
      <c r="I448">
        <f t="shared" si="132"/>
        <v>-0.14175203345985743</v>
      </c>
      <c r="J448">
        <f t="shared" si="147"/>
        <v>3.3132513752652466</v>
      </c>
      <c r="K448">
        <f t="shared" si="151"/>
        <v>4.3440974804579948</v>
      </c>
      <c r="L448">
        <f t="shared" si="151"/>
        <v>5.0719976980155703</v>
      </c>
      <c r="M448">
        <f t="shared" si="151"/>
        <v>5.6438065535721815</v>
      </c>
      <c r="N448">
        <f t="shared" si="133"/>
        <v>0.35040525418363444</v>
      </c>
      <c r="O448">
        <f t="shared" si="148"/>
        <v>3.7092813600899062</v>
      </c>
      <c r="P448">
        <f t="shared" si="152"/>
        <v>4.326993175905379</v>
      </c>
      <c r="Q448">
        <f t="shared" si="150"/>
        <v>4.040944362948693</v>
      </c>
      <c r="R448">
        <f t="shared" si="153"/>
        <v>4.860244435618168</v>
      </c>
      <c r="S448">
        <f t="shared" si="153"/>
        <v>5.6955128214983128</v>
      </c>
      <c r="T448">
        <f t="shared" si="134"/>
        <v>0.40211152210976575</v>
      </c>
      <c r="U448">
        <f t="shared" si="135"/>
        <v>-0.40211152210976575</v>
      </c>
      <c r="V448">
        <f t="shared" si="142"/>
        <v>4.7261275937122669</v>
      </c>
      <c r="W448">
        <f t="shared" si="136"/>
        <v>0.56727370567628022</v>
      </c>
      <c r="X448">
        <f t="shared" si="143"/>
        <v>4.0608860889104346</v>
      </c>
      <c r="Y448">
        <f t="shared" si="137"/>
        <v>1.2325152104781125</v>
      </c>
      <c r="Z448">
        <f t="shared" si="144"/>
        <v>3.6340300212834293</v>
      </c>
      <c r="AA448">
        <f t="shared" si="138"/>
        <v>1.6593712781051178</v>
      </c>
      <c r="AB448">
        <f t="shared" si="139"/>
        <v>-2.695358700611453</v>
      </c>
      <c r="AC448">
        <f t="shared" si="140"/>
        <v>4.9036981889927818</v>
      </c>
      <c r="AD448">
        <f t="shared" si="141"/>
        <v>0.38970311039576533</v>
      </c>
    </row>
    <row r="449" spans="1:30">
      <c r="A449">
        <v>447</v>
      </c>
      <c r="B449">
        <v>6.071158702969087</v>
      </c>
      <c r="C449">
        <f t="shared" si="145"/>
        <v>4.0866581253952301</v>
      </c>
      <c r="D449">
        <f t="shared" si="145"/>
        <v>3.0996460366510368</v>
      </c>
      <c r="E449">
        <f t="shared" si="146"/>
        <v>3.7599434623981787</v>
      </c>
      <c r="F449">
        <f t="shared" si="149"/>
        <v>3.4593400870280724</v>
      </c>
      <c r="G449">
        <f t="shared" si="149"/>
        <v>4.4945409354430739</v>
      </c>
      <c r="H449">
        <f t="shared" si="149"/>
        <v>4.9027678455006489</v>
      </c>
      <c r="I449">
        <f t="shared" si="132"/>
        <v>-1.1683908574684381</v>
      </c>
      <c r="J449">
        <f t="shared" si="147"/>
        <v>3.6463678273971545</v>
      </c>
      <c r="K449">
        <f t="shared" si="151"/>
        <v>4.0451168289375978</v>
      </c>
      <c r="L449">
        <f t="shared" si="151"/>
        <v>4.7838306347720607</v>
      </c>
      <c r="M449">
        <f t="shared" si="151"/>
        <v>5.4208695387411669</v>
      </c>
      <c r="N449">
        <f t="shared" si="133"/>
        <v>-0.65028916422792005</v>
      </c>
      <c r="O449">
        <f t="shared" si="148"/>
        <v>4.1313260025115408</v>
      </c>
      <c r="P449">
        <f t="shared" si="152"/>
        <v>4.0521988795535373</v>
      </c>
      <c r="Q449">
        <f t="shared" si="150"/>
        <v>3.7914551017646745</v>
      </c>
      <c r="R449">
        <f t="shared" si="153"/>
        <v>4.678285900239489</v>
      </c>
      <c r="S449">
        <f t="shared" si="153"/>
        <v>5.4851646037054138</v>
      </c>
      <c r="T449">
        <f t="shared" si="134"/>
        <v>-0.58599409926367318</v>
      </c>
      <c r="U449">
        <f t="shared" si="135"/>
        <v>0.58599409926367318</v>
      </c>
      <c r="V449">
        <f t="shared" si="142"/>
        <v>4.7828549642798945</v>
      </c>
      <c r="W449">
        <f t="shared" si="136"/>
        <v>1.2883037386891925</v>
      </c>
      <c r="X449">
        <f t="shared" si="143"/>
        <v>4.3073891310060572</v>
      </c>
      <c r="Y449">
        <f t="shared" si="137"/>
        <v>1.7637695719630297</v>
      </c>
      <c r="Z449">
        <f t="shared" si="144"/>
        <v>4.1318414047149643</v>
      </c>
      <c r="AA449">
        <f t="shared" si="138"/>
        <v>1.9393172982541227</v>
      </c>
      <c r="AB449">
        <f t="shared" si="139"/>
        <v>-1.9231612970309131</v>
      </c>
      <c r="AC449">
        <f t="shared" si="140"/>
        <v>4.8802585999339847</v>
      </c>
      <c r="AD449">
        <f t="shared" si="141"/>
        <v>1.1909001030351023</v>
      </c>
    </row>
    <row r="450" spans="1:30">
      <c r="A450">
        <v>448</v>
      </c>
      <c r="B450">
        <v>4.3965416583307757</v>
      </c>
      <c r="C450">
        <f t="shared" si="145"/>
        <v>5.6822800011788175</v>
      </c>
      <c r="D450">
        <f t="shared" si="145"/>
        <v>3.5399363346491124</v>
      </c>
      <c r="E450">
        <f t="shared" si="146"/>
        <v>4.7481583179198488</v>
      </c>
      <c r="F450">
        <f t="shared" si="149"/>
        <v>3.438332327450409</v>
      </c>
      <c r="G450">
        <f t="shared" si="149"/>
        <v>4.0379785531881049</v>
      </c>
      <c r="H450">
        <f t="shared" si="149"/>
        <v>4.6939332127913431</v>
      </c>
      <c r="I450">
        <f t="shared" si="132"/>
        <v>0.29739155446056742</v>
      </c>
      <c r="J450">
        <f t="shared" si="147"/>
        <v>4.3377472725409056</v>
      </c>
      <c r="K450">
        <f t="shared" si="151"/>
        <v>3.7920705162708352</v>
      </c>
      <c r="L450">
        <f t="shared" si="151"/>
        <v>4.5102221942294047</v>
      </c>
      <c r="M450">
        <f t="shared" si="151"/>
        <v>5.1717974796282569</v>
      </c>
      <c r="N450">
        <f t="shared" si="133"/>
        <v>0.77525582129748116</v>
      </c>
      <c r="O450">
        <f t="shared" si="148"/>
        <v>4.3495061496988798</v>
      </c>
      <c r="P450">
        <f t="shared" si="152"/>
        <v>3.9985588234059151</v>
      </c>
      <c r="Q450">
        <f t="shared" si="150"/>
        <v>4.102927583903103</v>
      </c>
      <c r="R450">
        <f t="shared" si="153"/>
        <v>4.3919931664355287</v>
      </c>
      <c r="S450">
        <f t="shared" si="153"/>
        <v>5.2731171323411452</v>
      </c>
      <c r="T450">
        <f t="shared" si="134"/>
        <v>0.8765754740103695</v>
      </c>
      <c r="U450">
        <f t="shared" si="135"/>
        <v>-0.8765754740103695</v>
      </c>
      <c r="V450">
        <f t="shared" si="142"/>
        <v>4.9116853381488141</v>
      </c>
      <c r="W450">
        <f t="shared" si="136"/>
        <v>-0.51514367981803844</v>
      </c>
      <c r="X450">
        <f t="shared" si="143"/>
        <v>4.6601430453986632</v>
      </c>
      <c r="Y450">
        <f t="shared" si="137"/>
        <v>-0.26360138706788749</v>
      </c>
      <c r="Z450">
        <f t="shared" si="144"/>
        <v>4.7136365941912013</v>
      </c>
      <c r="AA450">
        <f t="shared" si="138"/>
        <v>-0.31709493586042559</v>
      </c>
      <c r="AB450">
        <f t="shared" si="139"/>
        <v>-3.6033383416692244</v>
      </c>
      <c r="AC450">
        <f t="shared" si="140"/>
        <v>4.8575867684916831</v>
      </c>
      <c r="AD450">
        <f t="shared" si="141"/>
        <v>-0.46104511016090743</v>
      </c>
    </row>
    <row r="451" spans="1:30">
      <c r="A451">
        <v>449</v>
      </c>
      <c r="B451">
        <v>3.0995177836859926</v>
      </c>
      <c r="C451">
        <f t="shared" si="145"/>
        <v>5.2338501806499309</v>
      </c>
      <c r="D451">
        <f t="shared" si="145"/>
        <v>4.8844690632870238</v>
      </c>
      <c r="E451">
        <f t="shared" si="146"/>
        <v>5.2537005535628039</v>
      </c>
      <c r="F451">
        <f t="shared" si="149"/>
        <v>3.868486150128239</v>
      </c>
      <c r="G451">
        <f t="shared" si="149"/>
        <v>3.6620236544759628</v>
      </c>
      <c r="H451">
        <f t="shared" si="149"/>
        <v>4.4181024318360409</v>
      </c>
      <c r="I451">
        <f t="shared" ref="I451:I514" si="154">H451-B451</f>
        <v>1.3185846481500483</v>
      </c>
      <c r="J451">
        <f t="shared" si="147"/>
        <v>4.6602541530225805</v>
      </c>
      <c r="K451">
        <f t="shared" si="151"/>
        <v>3.735305016288176</v>
      </c>
      <c r="L451">
        <f t="shared" si="151"/>
        <v>4.2350725458953162</v>
      </c>
      <c r="M451">
        <f t="shared" si="151"/>
        <v>4.9137485897710267</v>
      </c>
      <c r="N451">
        <f t="shared" ref="N451:N514" si="155">M451-B451</f>
        <v>1.8142308060850341</v>
      </c>
      <c r="O451">
        <f t="shared" si="148"/>
        <v>4.3481068791552628</v>
      </c>
      <c r="P451">
        <f t="shared" si="152"/>
        <v>3.9908659239596553</v>
      </c>
      <c r="Q451">
        <f t="shared" si="150"/>
        <v>4.1755286118147472</v>
      </c>
      <c r="R451">
        <f t="shared" si="153"/>
        <v>4.2038556028195178</v>
      </c>
      <c r="S451">
        <f t="shared" si="153"/>
        <v>5.0334110436728556</v>
      </c>
      <c r="T451">
        <f t="shared" ref="T451:T514" si="156">S451-B451</f>
        <v>1.933893259986863</v>
      </c>
      <c r="U451">
        <f t="shared" ref="U451:U514" si="157">B451-S451</f>
        <v>-1.933893259986863</v>
      </c>
      <c r="V451">
        <f t="shared" si="142"/>
        <v>4.8601709701670099</v>
      </c>
      <c r="W451">
        <f t="shared" ref="W451:W514" si="158">B451-V451</f>
        <v>-1.7606531864810173</v>
      </c>
      <c r="X451">
        <f t="shared" si="143"/>
        <v>4.6074227679850859</v>
      </c>
      <c r="Y451">
        <f t="shared" ref="Y451:Y514" si="159">B451-X451</f>
        <v>-1.5079049842990933</v>
      </c>
      <c r="Z451">
        <f t="shared" si="144"/>
        <v>4.6185081134330739</v>
      </c>
      <c r="AA451">
        <f t="shared" ref="AA451:AA514" si="160">B451-Z451</f>
        <v>-1.5189903297470813</v>
      </c>
      <c r="AB451">
        <f t="shared" ref="AB451:AB514" si="161">B451- ((0.00556 * A451)  +5.509)</f>
        <v>-4.905922216314007</v>
      </c>
      <c r="AC451">
        <f t="shared" ref="AC451:AC514" si="162">0.00075*A451 + 5.509 + ($AI$6*SIN((A451/$AI$7)+ $AI$8))+ ($AI$6*COS((A451/$AI$7) + $AI$8))+ $AI$9</f>
        <v>4.8356892005795622</v>
      </c>
      <c r="AD451">
        <f t="shared" ref="AD451:AD514" si="163">B451-AC451</f>
        <v>-1.7361714168935696</v>
      </c>
    </row>
    <row r="452" spans="1:30">
      <c r="A452">
        <v>450</v>
      </c>
      <c r="B452">
        <v>3.541901797574126</v>
      </c>
      <c r="C452">
        <f t="shared" si="145"/>
        <v>3.7480297210083844</v>
      </c>
      <c r="D452">
        <f t="shared" si="145"/>
        <v>5.4580650909143742</v>
      </c>
      <c r="E452">
        <f t="shared" si="146"/>
        <v>4.5224060483286186</v>
      </c>
      <c r="F452">
        <f t="shared" si="149"/>
        <v>4.587267444626943</v>
      </c>
      <c r="G452">
        <f t="shared" si="149"/>
        <v>3.5887195215355736</v>
      </c>
      <c r="H452">
        <f t="shared" si="149"/>
        <v>4.0648477143690469</v>
      </c>
      <c r="I452">
        <f t="shared" si="154"/>
        <v>0.52294591679492086</v>
      </c>
      <c r="J452">
        <f t="shared" si="147"/>
        <v>4.7151548610936009</v>
      </c>
      <c r="K452">
        <f t="shared" si="151"/>
        <v>3.9894051570564715</v>
      </c>
      <c r="L452">
        <f t="shared" si="151"/>
        <v>3.979147460488651</v>
      </c>
      <c r="M452">
        <f t="shared" si="151"/>
        <v>4.6502807682280878</v>
      </c>
      <c r="N452">
        <f t="shared" si="155"/>
        <v>1.1083789706539617</v>
      </c>
      <c r="O452">
        <f t="shared" si="148"/>
        <v>4.480504248389706</v>
      </c>
      <c r="P452">
        <f t="shared" si="152"/>
        <v>4.0058572507390977</v>
      </c>
      <c r="Q452">
        <f t="shared" si="150"/>
        <v>4.1411747553633989</v>
      </c>
      <c r="R452">
        <f t="shared" si="153"/>
        <v>4.0837437131190173</v>
      </c>
      <c r="S452">
        <f t="shared" si="153"/>
        <v>4.7855645657340835</v>
      </c>
      <c r="T452">
        <f t="shared" si="156"/>
        <v>1.2436627681599575</v>
      </c>
      <c r="U452">
        <f t="shared" si="157"/>
        <v>-1.2436627681599575</v>
      </c>
      <c r="V452">
        <f t="shared" ref="V452:V515" si="164">V451+0.1*(B451-V451)</f>
        <v>4.6841056515189079</v>
      </c>
      <c r="W452">
        <f t="shared" si="158"/>
        <v>-1.1422038539447819</v>
      </c>
      <c r="X452">
        <f t="shared" ref="X452:X515" si="165">X451+0.2*(B451-X451)</f>
        <v>4.3058417711252677</v>
      </c>
      <c r="Y452">
        <f t="shared" si="159"/>
        <v>-0.76393997355114163</v>
      </c>
      <c r="Z452">
        <f t="shared" ref="Z452:Z515" si="166">Z451+0.3*(B451-Z451)</f>
        <v>4.1628110145089492</v>
      </c>
      <c r="AA452">
        <f t="shared" si="160"/>
        <v>-0.62090921693482315</v>
      </c>
      <c r="AB452">
        <f t="shared" si="161"/>
        <v>-4.4690982024258732</v>
      </c>
      <c r="AC452">
        <f t="shared" si="162"/>
        <v>4.8145721870430842</v>
      </c>
      <c r="AD452">
        <f t="shared" si="163"/>
        <v>-1.2726703894689582</v>
      </c>
    </row>
    <row r="453" spans="1:30">
      <c r="A453">
        <v>451</v>
      </c>
      <c r="B453">
        <v>5.7782947230539845</v>
      </c>
      <c r="C453">
        <f t="shared" ref="C453:D516" si="167">AVERAGE(B451:B452)</f>
        <v>3.3207097906300591</v>
      </c>
      <c r="D453">
        <f t="shared" si="167"/>
        <v>4.4909399508291576</v>
      </c>
      <c r="E453">
        <f t="shared" si="146"/>
        <v>3.6793204131969652</v>
      </c>
      <c r="F453">
        <f t="shared" si="149"/>
        <v>4.8414216399370913</v>
      </c>
      <c r="G453">
        <f t="shared" si="149"/>
        <v>3.9646953074018634</v>
      </c>
      <c r="H453">
        <f t="shared" si="149"/>
        <v>3.7629072430665471</v>
      </c>
      <c r="I453">
        <f t="shared" si="154"/>
        <v>-2.0153874799874374</v>
      </c>
      <c r="J453">
        <f t="shared" si="147"/>
        <v>4.2772799856399955</v>
      </c>
      <c r="K453">
        <f t="shared" si="151"/>
        <v>4.3398810285135605</v>
      </c>
      <c r="L453">
        <f t="shared" si="151"/>
        <v>3.8904743796382704</v>
      </c>
      <c r="M453">
        <f t="shared" si="151"/>
        <v>4.3770682088463584</v>
      </c>
      <c r="N453">
        <f t="shared" si="155"/>
        <v>-1.4012265142076261</v>
      </c>
      <c r="O453">
        <f t="shared" si="148"/>
        <v>4.5774829331227931</v>
      </c>
      <c r="P453">
        <f t="shared" si="152"/>
        <v>4.2037449279690593</v>
      </c>
      <c r="Q453">
        <f t="shared" si="150"/>
        <v>4.213739365558407</v>
      </c>
      <c r="R453">
        <f t="shared" si="153"/>
        <v>4.0710708296061862</v>
      </c>
      <c r="S453">
        <f t="shared" si="153"/>
        <v>4.5546859635440677</v>
      </c>
      <c r="T453">
        <f t="shared" si="156"/>
        <v>-1.2236087595099168</v>
      </c>
      <c r="U453">
        <f t="shared" si="157"/>
        <v>1.2236087595099168</v>
      </c>
      <c r="V453">
        <f t="shared" si="164"/>
        <v>4.5698852661244294</v>
      </c>
      <c r="W453">
        <f t="shared" si="158"/>
        <v>1.2084094569295551</v>
      </c>
      <c r="X453">
        <f t="shared" si="165"/>
        <v>4.1530537764150397</v>
      </c>
      <c r="Y453">
        <f t="shared" si="159"/>
        <v>1.6252409466389448</v>
      </c>
      <c r="Z453">
        <f t="shared" si="166"/>
        <v>3.9765382494285024</v>
      </c>
      <c r="AA453">
        <f t="shared" si="160"/>
        <v>1.8017564736254821</v>
      </c>
      <c r="AB453">
        <f t="shared" si="161"/>
        <v>-2.2382652769460156</v>
      </c>
      <c r="AC453">
        <f t="shared" si="162"/>
        <v>4.7942418019120741</v>
      </c>
      <c r="AD453">
        <f t="shared" si="163"/>
        <v>0.98405292114191045</v>
      </c>
    </row>
    <row r="454" spans="1:30">
      <c r="A454">
        <v>452</v>
      </c>
      <c r="B454">
        <v>4.994316780394815</v>
      </c>
      <c r="C454">
        <f t="shared" si="167"/>
        <v>4.6600982603140553</v>
      </c>
      <c r="D454">
        <f t="shared" si="167"/>
        <v>3.5343697558192217</v>
      </c>
      <c r="E454">
        <f t="shared" ref="E454:E517" si="168">AVERAGE(B451:B453)</f>
        <v>4.1399047681047003</v>
      </c>
      <c r="F454">
        <f t="shared" si="149"/>
        <v>4.4851423383627962</v>
      </c>
      <c r="G454">
        <f t="shared" si="149"/>
        <v>4.4323917448974237</v>
      </c>
      <c r="H454">
        <f t="shared" si="149"/>
        <v>3.7384794944711328</v>
      </c>
      <c r="I454">
        <f t="shared" si="154"/>
        <v>-1.2558372859236822</v>
      </c>
      <c r="J454">
        <f t="shared" si="147"/>
        <v>4.2040639906612203</v>
      </c>
      <c r="K454">
        <f t="shared" si="151"/>
        <v>4.4976090680742713</v>
      </c>
      <c r="L454">
        <f t="shared" si="151"/>
        <v>3.9641654295322608</v>
      </c>
      <c r="M454">
        <f t="shared" si="151"/>
        <v>4.1537291450629104</v>
      </c>
      <c r="N454">
        <f t="shared" si="155"/>
        <v>-0.84058763533190461</v>
      </c>
      <c r="O454">
        <f t="shared" si="148"/>
        <v>4.3621145486079396</v>
      </c>
      <c r="P454">
        <f t="shared" si="152"/>
        <v>4.3773852425756372</v>
      </c>
      <c r="Q454">
        <f t="shared" si="150"/>
        <v>4.696802660833753</v>
      </c>
      <c r="R454">
        <f t="shared" si="153"/>
        <v>4.0776282968921702</v>
      </c>
      <c r="S454">
        <f t="shared" si="153"/>
        <v>4.3815322746396514</v>
      </c>
      <c r="T454">
        <f t="shared" si="156"/>
        <v>-0.61278450575516352</v>
      </c>
      <c r="U454">
        <f t="shared" si="157"/>
        <v>0.61278450575516352</v>
      </c>
      <c r="V454">
        <f t="shared" si="164"/>
        <v>4.6907262118173847</v>
      </c>
      <c r="W454">
        <f t="shared" si="158"/>
        <v>0.30359056857743028</v>
      </c>
      <c r="X454">
        <f t="shared" si="165"/>
        <v>4.4781019657428285</v>
      </c>
      <c r="Y454">
        <f t="shared" si="159"/>
        <v>0.51621481465198649</v>
      </c>
      <c r="Z454">
        <f t="shared" si="166"/>
        <v>4.5170651915161475</v>
      </c>
      <c r="AA454">
        <f t="shared" si="160"/>
        <v>0.47725158887866748</v>
      </c>
      <c r="AB454">
        <f t="shared" si="161"/>
        <v>-3.0278032196051861</v>
      </c>
      <c r="AC454">
        <f t="shared" si="162"/>
        <v>4.7747039007135195</v>
      </c>
      <c r="AD454">
        <f t="shared" si="163"/>
        <v>0.2196128796812955</v>
      </c>
    </row>
    <row r="455" spans="1:30">
      <c r="A455">
        <v>453</v>
      </c>
      <c r="B455">
        <v>3.8062209387618497</v>
      </c>
      <c r="C455">
        <f t="shared" si="167"/>
        <v>5.3863057517244002</v>
      </c>
      <c r="D455">
        <f t="shared" si="167"/>
        <v>3.9904040254720572</v>
      </c>
      <c r="E455">
        <f t="shared" si="168"/>
        <v>4.7715044336743082</v>
      </c>
      <c r="F455">
        <f t="shared" si="149"/>
        <v>4.113877076543428</v>
      </c>
      <c r="G455">
        <f t="shared" si="149"/>
        <v>4.6379438076422765</v>
      </c>
      <c r="H455">
        <f t="shared" si="149"/>
        <v>3.9952688579449536</v>
      </c>
      <c r="I455">
        <f t="shared" si="154"/>
        <v>0.18904791918310382</v>
      </c>
      <c r="J455">
        <f t="shared" ref="J455:J518" si="169">AVERAGE(B451:B454)</f>
        <v>4.3535077711772292</v>
      </c>
      <c r="K455">
        <f t="shared" si="151"/>
        <v>4.4641882476043495</v>
      </c>
      <c r="L455">
        <f t="shared" si="151"/>
        <v>4.1405500674831197</v>
      </c>
      <c r="M455">
        <f t="shared" si="151"/>
        <v>4.017214953888625</v>
      </c>
      <c r="N455">
        <f t="shared" si="155"/>
        <v>0.21099401512677529</v>
      </c>
      <c r="O455">
        <f t="shared" ref="O455:O518" si="170">AVERAGE(B451:B455)</f>
        <v>4.2440504046941534</v>
      </c>
      <c r="P455">
        <f t="shared" si="152"/>
        <v>4.423542951794917</v>
      </c>
      <c r="Q455">
        <f t="shared" si="150"/>
        <v>4.6469552410014634</v>
      </c>
      <c r="R455">
        <f t="shared" si="153"/>
        <v>4.1869380132063467</v>
      </c>
      <c r="S455">
        <f t="shared" si="153"/>
        <v>4.2510962515186508</v>
      </c>
      <c r="T455">
        <f t="shared" si="156"/>
        <v>0.44487531275680103</v>
      </c>
      <c r="U455">
        <f t="shared" si="157"/>
        <v>-0.44487531275680103</v>
      </c>
      <c r="V455">
        <f t="shared" si="164"/>
        <v>4.7210852686751279</v>
      </c>
      <c r="W455">
        <f t="shared" si="158"/>
        <v>-0.91486432991327815</v>
      </c>
      <c r="X455">
        <f t="shared" si="165"/>
        <v>4.581344928673226</v>
      </c>
      <c r="Y455">
        <f t="shared" si="159"/>
        <v>-0.77512398991137621</v>
      </c>
      <c r="Z455">
        <f t="shared" si="166"/>
        <v>4.6602406681797479</v>
      </c>
      <c r="AA455">
        <f t="shared" si="160"/>
        <v>-0.85401972941789817</v>
      </c>
      <c r="AB455">
        <f t="shared" si="161"/>
        <v>-4.22145906123815</v>
      </c>
      <c r="AC455">
        <f t="shared" si="162"/>
        <v>4.7559641188450819</v>
      </c>
      <c r="AD455">
        <f t="shared" si="163"/>
        <v>-0.94974318008323211</v>
      </c>
    </row>
    <row r="456" spans="1:30">
      <c r="A456">
        <v>454</v>
      </c>
      <c r="B456">
        <v>3.8616557042909099</v>
      </c>
      <c r="C456">
        <f t="shared" si="167"/>
        <v>4.4002688595783326</v>
      </c>
      <c r="D456">
        <f t="shared" si="167"/>
        <v>5.0232020060192273</v>
      </c>
      <c r="E456">
        <f t="shared" si="168"/>
        <v>4.8596108140702166</v>
      </c>
      <c r="F456">
        <f t="shared" si="149"/>
        <v>4.1969098716586579</v>
      </c>
      <c r="G456">
        <f t="shared" si="149"/>
        <v>4.4801470182811052</v>
      </c>
      <c r="H456">
        <f t="shared" si="149"/>
        <v>4.345010286647188</v>
      </c>
      <c r="I456">
        <f t="shared" si="154"/>
        <v>0.48335458235627815</v>
      </c>
      <c r="J456">
        <f t="shared" si="169"/>
        <v>4.5301835599461935</v>
      </c>
      <c r="K456">
        <f t="shared" si="151"/>
        <v>4.3875016521430119</v>
      </c>
      <c r="L456">
        <f t="shared" si="151"/>
        <v>4.3227708753121625</v>
      </c>
      <c r="M456">
        <f t="shared" si="151"/>
        <v>3.9935843342855755</v>
      </c>
      <c r="N456">
        <f t="shared" si="155"/>
        <v>0.13192862999466559</v>
      </c>
      <c r="O456">
        <f t="shared" si="170"/>
        <v>4.3964779888151373</v>
      </c>
      <c r="P456">
        <f t="shared" si="152"/>
        <v>4.402451802793971</v>
      </c>
      <c r="Q456">
        <f t="shared" si="150"/>
        <v>4.2694656136335913</v>
      </c>
      <c r="R456">
        <f t="shared" si="153"/>
        <v>4.3295213697458124</v>
      </c>
      <c r="S456">
        <f t="shared" si="153"/>
        <v>4.1692049370131281</v>
      </c>
      <c r="T456">
        <f t="shared" si="156"/>
        <v>0.30754923272221824</v>
      </c>
      <c r="U456">
        <f t="shared" si="157"/>
        <v>-0.30754923272221824</v>
      </c>
      <c r="V456">
        <f t="shared" si="164"/>
        <v>4.6295988356838</v>
      </c>
      <c r="W456">
        <f t="shared" si="158"/>
        <v>-0.76794313139289017</v>
      </c>
      <c r="X456">
        <f t="shared" si="165"/>
        <v>4.426320130690951</v>
      </c>
      <c r="Y456">
        <f t="shared" si="159"/>
        <v>-0.56466442640004111</v>
      </c>
      <c r="Z456">
        <f t="shared" si="166"/>
        <v>4.4040347493543788</v>
      </c>
      <c r="AA456">
        <f t="shared" si="160"/>
        <v>-0.5423790450634689</v>
      </c>
      <c r="AB456">
        <f t="shared" si="161"/>
        <v>-4.1715842957090894</v>
      </c>
      <c r="AC456">
        <f t="shared" si="162"/>
        <v>4.7380278700097378</v>
      </c>
      <c r="AD456">
        <f t="shared" si="163"/>
        <v>-0.87637216571882792</v>
      </c>
    </row>
    <row r="457" spans="1:30">
      <c r="A457">
        <v>455</v>
      </c>
      <c r="B457">
        <v>6.5036316678640418</v>
      </c>
      <c r="C457">
        <f t="shared" si="167"/>
        <v>3.8339383215263796</v>
      </c>
      <c r="D457">
        <f t="shared" si="167"/>
        <v>4.8932873056513664</v>
      </c>
      <c r="E457">
        <f t="shared" si="168"/>
        <v>4.2207311411491917</v>
      </c>
      <c r="F457">
        <f t="shared" ref="F457:H520" si="171">AVERAGE(E454:E456)</f>
        <v>4.5903400052830747</v>
      </c>
      <c r="G457">
        <f t="shared" si="171"/>
        <v>4.2653097621882941</v>
      </c>
      <c r="H457">
        <f t="shared" si="171"/>
        <v>4.5168275236069348</v>
      </c>
      <c r="I457">
        <f t="shared" si="154"/>
        <v>-1.9868041442571069</v>
      </c>
      <c r="J457">
        <f t="shared" si="169"/>
        <v>4.6101220366253903</v>
      </c>
      <c r="K457">
        <f t="shared" si="151"/>
        <v>4.3412588268561594</v>
      </c>
      <c r="L457">
        <f t="shared" si="151"/>
        <v>4.4222949990837979</v>
      </c>
      <c r="M457">
        <f t="shared" si="151"/>
        <v>4.0794901879914534</v>
      </c>
      <c r="N457">
        <f t="shared" si="155"/>
        <v>-2.4241414798725884</v>
      </c>
      <c r="O457">
        <f t="shared" si="170"/>
        <v>4.9888239628731208</v>
      </c>
      <c r="P457">
        <f t="shared" si="152"/>
        <v>4.4121260247259455</v>
      </c>
      <c r="Q457">
        <f t="shared" ref="Q457:Q520" si="172">AVERAGE(B451:B456)</f>
        <v>4.180317954626946</v>
      </c>
      <c r="R457">
        <f t="shared" si="153"/>
        <v>4.3572777080342275</v>
      </c>
      <c r="S457">
        <f t="shared" si="153"/>
        <v>4.1587929708981752</v>
      </c>
      <c r="T457">
        <f t="shared" si="156"/>
        <v>-2.3448386969658666</v>
      </c>
      <c r="U457">
        <f t="shared" si="157"/>
        <v>2.3448386969658666</v>
      </c>
      <c r="V457">
        <f t="shared" si="164"/>
        <v>4.5528045225445108</v>
      </c>
      <c r="W457">
        <f t="shared" si="158"/>
        <v>1.9508271453195309</v>
      </c>
      <c r="X457">
        <f t="shared" si="165"/>
        <v>4.3133872454109428</v>
      </c>
      <c r="Y457">
        <f t="shared" si="159"/>
        <v>2.190244422453099</v>
      </c>
      <c r="Z457">
        <f t="shared" si="166"/>
        <v>4.2413210358353384</v>
      </c>
      <c r="AA457">
        <f t="shared" si="160"/>
        <v>2.2623106320287034</v>
      </c>
      <c r="AB457">
        <f t="shared" si="161"/>
        <v>-1.5351683321359584</v>
      </c>
      <c r="AC457">
        <f t="shared" si="162"/>
        <v>4.7209003447120113</v>
      </c>
      <c r="AD457">
        <f t="shared" si="163"/>
        <v>1.7827313231520305</v>
      </c>
    </row>
    <row r="458" spans="1:30">
      <c r="A458">
        <v>456</v>
      </c>
      <c r="B458">
        <v>3.2688949614349054</v>
      </c>
      <c r="C458">
        <f t="shared" si="167"/>
        <v>5.1826436860774763</v>
      </c>
      <c r="D458">
        <f t="shared" si="167"/>
        <v>4.1171035905523556</v>
      </c>
      <c r="E458">
        <f t="shared" si="168"/>
        <v>4.7238361036389334</v>
      </c>
      <c r="F458">
        <f t="shared" si="171"/>
        <v>4.6172821296312385</v>
      </c>
      <c r="G458">
        <f t="shared" si="171"/>
        <v>4.3003756511617199</v>
      </c>
      <c r="H458">
        <f t="shared" si="171"/>
        <v>4.4611335293705592</v>
      </c>
      <c r="I458">
        <f t="shared" si="154"/>
        <v>1.1922385679356537</v>
      </c>
      <c r="J458">
        <f t="shared" si="169"/>
        <v>4.7914562728279044</v>
      </c>
      <c r="K458">
        <f t="shared" si="151"/>
        <v>4.4244693396025081</v>
      </c>
      <c r="L458">
        <f t="shared" si="151"/>
        <v>4.4226394486694476</v>
      </c>
      <c r="M458">
        <f t="shared" si="151"/>
        <v>4.2124453428528348</v>
      </c>
      <c r="N458">
        <f t="shared" si="155"/>
        <v>0.94355038141792935</v>
      </c>
      <c r="O458">
        <f t="shared" si="170"/>
        <v>4.4869440105493048</v>
      </c>
      <c r="P458">
        <f t="shared" si="152"/>
        <v>4.5137899676226283</v>
      </c>
      <c r="Q458">
        <f t="shared" si="172"/>
        <v>4.7476702686566208</v>
      </c>
      <c r="R458">
        <f t="shared" si="153"/>
        <v>4.3580759318362601</v>
      </c>
      <c r="S458">
        <f t="shared" si="153"/>
        <v>4.184363321767294</v>
      </c>
      <c r="T458">
        <f t="shared" si="156"/>
        <v>0.91546836033238854</v>
      </c>
      <c r="U458">
        <f t="shared" si="157"/>
        <v>-0.91546836033238854</v>
      </c>
      <c r="V458">
        <f t="shared" si="164"/>
        <v>4.7478872370764638</v>
      </c>
      <c r="W458">
        <f t="shared" si="158"/>
        <v>-1.4789922756415583</v>
      </c>
      <c r="X458">
        <f t="shared" si="165"/>
        <v>4.7514361299015624</v>
      </c>
      <c r="Y458">
        <f t="shared" si="159"/>
        <v>-1.482541168466657</v>
      </c>
      <c r="Z458">
        <f t="shared" si="166"/>
        <v>4.9200142254439498</v>
      </c>
      <c r="AA458">
        <f t="shared" si="160"/>
        <v>-1.6511192640090444</v>
      </c>
      <c r="AB458">
        <f t="shared" si="161"/>
        <v>-4.7754650385650956</v>
      </c>
      <c r="AC458">
        <f t="shared" si="162"/>
        <v>4.7045865088162016</v>
      </c>
      <c r="AD458">
        <f t="shared" si="163"/>
        <v>-1.4356915473812961</v>
      </c>
    </row>
    <row r="459" spans="1:30">
      <c r="A459">
        <v>457</v>
      </c>
      <c r="B459">
        <v>6.9342766004093246</v>
      </c>
      <c r="C459">
        <f t="shared" si="167"/>
        <v>4.8862633146494741</v>
      </c>
      <c r="D459">
        <f t="shared" si="167"/>
        <v>4.5082910038019275</v>
      </c>
      <c r="E459">
        <f t="shared" si="168"/>
        <v>4.5447274445299533</v>
      </c>
      <c r="F459">
        <f t="shared" si="171"/>
        <v>4.6013926862861139</v>
      </c>
      <c r="G459">
        <f t="shared" si="171"/>
        <v>4.4681773355243237</v>
      </c>
      <c r="H459">
        <f t="shared" si="171"/>
        <v>4.3486108105437067</v>
      </c>
      <c r="I459">
        <f t="shared" si="154"/>
        <v>-2.5856657898656179</v>
      </c>
      <c r="J459">
        <f t="shared" si="169"/>
        <v>4.3601008180879264</v>
      </c>
      <c r="K459">
        <f t="shared" ref="K459:M522" si="173">AVERAGE(J455:J458)</f>
        <v>4.5713174101441796</v>
      </c>
      <c r="L459">
        <f t="shared" si="173"/>
        <v>4.404354516551507</v>
      </c>
      <c r="M459">
        <f t="shared" si="173"/>
        <v>4.3270638476371319</v>
      </c>
      <c r="N459">
        <f t="shared" si="155"/>
        <v>-2.6072127527721927</v>
      </c>
      <c r="O459">
        <f t="shared" si="170"/>
        <v>4.8749359745522058</v>
      </c>
      <c r="P459">
        <f t="shared" si="152"/>
        <v>4.495682183107931</v>
      </c>
      <c r="Q459">
        <f t="shared" si="172"/>
        <v>4.7021691293000849</v>
      </c>
      <c r="R459">
        <f t="shared" si="153"/>
        <v>4.4591585173851307</v>
      </c>
      <c r="S459">
        <f t="shared" si="153"/>
        <v>4.2300853582201681</v>
      </c>
      <c r="T459">
        <f t="shared" si="156"/>
        <v>-2.7041912421891565</v>
      </c>
      <c r="U459">
        <f t="shared" si="157"/>
        <v>2.7041912421891565</v>
      </c>
      <c r="V459">
        <f t="shared" si="164"/>
        <v>4.599988009512308</v>
      </c>
      <c r="W459">
        <f t="shared" si="158"/>
        <v>2.3342885908970166</v>
      </c>
      <c r="X459">
        <f t="shared" si="165"/>
        <v>4.4549278962082308</v>
      </c>
      <c r="Y459">
        <f t="shared" si="159"/>
        <v>2.4793487042010938</v>
      </c>
      <c r="Z459">
        <f t="shared" si="166"/>
        <v>4.4246784462412361</v>
      </c>
      <c r="AA459">
        <f t="shared" si="160"/>
        <v>2.5095981541680885</v>
      </c>
      <c r="AB459">
        <f t="shared" si="161"/>
        <v>-1.1156433995906756</v>
      </c>
      <c r="AC459">
        <f t="shared" si="162"/>
        <v>4.6890911021670023</v>
      </c>
      <c r="AD459">
        <f t="shared" si="163"/>
        <v>2.2451854982423223</v>
      </c>
    </row>
    <row r="460" spans="1:30">
      <c r="A460">
        <v>458</v>
      </c>
      <c r="B460">
        <v>4.8749237742709184</v>
      </c>
      <c r="C460">
        <f t="shared" si="167"/>
        <v>5.1015857809221146</v>
      </c>
      <c r="D460">
        <f t="shared" si="167"/>
        <v>5.0344535003634752</v>
      </c>
      <c r="E460">
        <f t="shared" si="168"/>
        <v>5.5689344099027567</v>
      </c>
      <c r="F460">
        <f t="shared" si="171"/>
        <v>4.4964315631060261</v>
      </c>
      <c r="G460">
        <f t="shared" si="171"/>
        <v>4.603004940400143</v>
      </c>
      <c r="H460">
        <f t="shared" si="171"/>
        <v>4.3446209162914462</v>
      </c>
      <c r="I460">
        <f t="shared" si="154"/>
        <v>-0.53030285797947219</v>
      </c>
      <c r="J460">
        <f t="shared" si="169"/>
        <v>5.1421147334997954</v>
      </c>
      <c r="K460">
        <f t="shared" si="173"/>
        <v>4.5729656718718532</v>
      </c>
      <c r="L460">
        <f t="shared" si="173"/>
        <v>4.4311368071864647</v>
      </c>
      <c r="M460">
        <f t="shared" si="173"/>
        <v>4.393014959904229</v>
      </c>
      <c r="N460">
        <f t="shared" si="155"/>
        <v>-0.48190881436668942</v>
      </c>
      <c r="O460">
        <f t="shared" si="170"/>
        <v>5.0886765416540198</v>
      </c>
      <c r="P460">
        <f t="shared" si="152"/>
        <v>4.5982464682967841</v>
      </c>
      <c r="Q460">
        <f t="shared" si="172"/>
        <v>4.8948327755259742</v>
      </c>
      <c r="R460">
        <f t="shared" si="153"/>
        <v>4.5405634780087434</v>
      </c>
      <c r="S460">
        <f t="shared" si="153"/>
        <v>4.2947666395166584</v>
      </c>
      <c r="T460">
        <f t="shared" si="156"/>
        <v>-0.58015713475426001</v>
      </c>
      <c r="U460">
        <f t="shared" si="157"/>
        <v>0.58015713475426001</v>
      </c>
      <c r="V460">
        <f t="shared" si="164"/>
        <v>4.8334168686020096</v>
      </c>
      <c r="W460">
        <f t="shared" si="158"/>
        <v>4.15069056689088E-2</v>
      </c>
      <c r="X460">
        <f t="shared" si="165"/>
        <v>4.9507976370484492</v>
      </c>
      <c r="Y460">
        <f t="shared" si="159"/>
        <v>-7.5873862777530832E-2</v>
      </c>
      <c r="Z460">
        <f t="shared" si="166"/>
        <v>5.177557892491663</v>
      </c>
      <c r="AA460">
        <f t="shared" si="160"/>
        <v>-0.3026341182207446</v>
      </c>
      <c r="AB460">
        <f t="shared" si="161"/>
        <v>-3.1805562257290809</v>
      </c>
      <c r="AC460">
        <f t="shared" si="162"/>
        <v>4.6744186372729137</v>
      </c>
      <c r="AD460">
        <f t="shared" si="163"/>
        <v>0.20050513699800465</v>
      </c>
    </row>
    <row r="461" spans="1:30">
      <c r="A461">
        <v>459</v>
      </c>
      <c r="B461">
        <v>6.5171816158471252</v>
      </c>
      <c r="C461">
        <f t="shared" si="167"/>
        <v>5.9046001873401215</v>
      </c>
      <c r="D461">
        <f t="shared" si="167"/>
        <v>4.9939245477857943</v>
      </c>
      <c r="E461">
        <f t="shared" si="168"/>
        <v>5.0260317787050495</v>
      </c>
      <c r="F461">
        <f t="shared" si="171"/>
        <v>4.9458326526905481</v>
      </c>
      <c r="G461">
        <f t="shared" si="171"/>
        <v>4.5717021263411262</v>
      </c>
      <c r="H461">
        <f t="shared" si="171"/>
        <v>4.4571859756953955</v>
      </c>
      <c r="I461">
        <f t="shared" si="154"/>
        <v>-2.0599956401517296</v>
      </c>
      <c r="J461">
        <f t="shared" si="169"/>
        <v>5.3954317509947973</v>
      </c>
      <c r="K461">
        <f t="shared" si="173"/>
        <v>4.7259484652602541</v>
      </c>
      <c r="L461">
        <f t="shared" si="173"/>
        <v>4.4775028121186748</v>
      </c>
      <c r="M461">
        <f t="shared" si="173"/>
        <v>4.4201064428728047</v>
      </c>
      <c r="N461">
        <f t="shared" si="155"/>
        <v>-2.0970751729743204</v>
      </c>
      <c r="O461">
        <f t="shared" si="170"/>
        <v>5.6197817239652625</v>
      </c>
      <c r="P461">
        <f t="shared" ref="P461:P524" si="174">AVERAGE(O456:O460)</f>
        <v>4.7671716956887575</v>
      </c>
      <c r="Q461">
        <f t="shared" si="172"/>
        <v>4.8749339411719914</v>
      </c>
      <c r="R461">
        <f t="shared" si="153"/>
        <v>4.5735684971241133</v>
      </c>
      <c r="S461">
        <f t="shared" si="153"/>
        <v>4.3719225030360871</v>
      </c>
      <c r="T461">
        <f t="shared" si="156"/>
        <v>-2.1452591128110381</v>
      </c>
      <c r="U461">
        <f t="shared" si="157"/>
        <v>2.1452591128110381</v>
      </c>
      <c r="V461">
        <f t="shared" si="164"/>
        <v>4.8375675591689005</v>
      </c>
      <c r="W461">
        <f t="shared" si="158"/>
        <v>1.6796140566782247</v>
      </c>
      <c r="X461">
        <f t="shared" si="165"/>
        <v>4.9356228644929434</v>
      </c>
      <c r="Y461">
        <f t="shared" si="159"/>
        <v>1.5815587513541818</v>
      </c>
      <c r="Z461">
        <f t="shared" si="166"/>
        <v>5.0867676570254394</v>
      </c>
      <c r="AA461">
        <f t="shared" si="160"/>
        <v>1.4304139588216858</v>
      </c>
      <c r="AB461">
        <f t="shared" si="161"/>
        <v>-1.543858384152875</v>
      </c>
      <c r="AC461">
        <f t="shared" si="162"/>
        <v>4.6605733980527972</v>
      </c>
      <c r="AD461">
        <f t="shared" si="163"/>
        <v>1.8566082177943279</v>
      </c>
    </row>
    <row r="462" spans="1:30">
      <c r="A462">
        <v>460</v>
      </c>
      <c r="B462">
        <v>5.0227881924771722</v>
      </c>
      <c r="C462">
        <f t="shared" si="167"/>
        <v>5.6960526950590218</v>
      </c>
      <c r="D462">
        <f t="shared" si="167"/>
        <v>5.5030929841311185</v>
      </c>
      <c r="E462">
        <f t="shared" si="168"/>
        <v>6.1087939968424552</v>
      </c>
      <c r="F462">
        <f t="shared" si="171"/>
        <v>5.0465645443792537</v>
      </c>
      <c r="G462">
        <f t="shared" si="171"/>
        <v>4.6812189673608957</v>
      </c>
      <c r="H462">
        <f t="shared" si="171"/>
        <v>4.5476281340885309</v>
      </c>
      <c r="I462">
        <f t="shared" si="154"/>
        <v>-0.47516005838864128</v>
      </c>
      <c r="J462">
        <f t="shared" si="169"/>
        <v>5.3988192379905682</v>
      </c>
      <c r="K462">
        <f t="shared" si="173"/>
        <v>4.9222758938526052</v>
      </c>
      <c r="L462">
        <f t="shared" si="173"/>
        <v>4.5736752217196983</v>
      </c>
      <c r="M462">
        <f t="shared" si="173"/>
        <v>4.4339083961315238</v>
      </c>
      <c r="N462">
        <f t="shared" si="155"/>
        <v>-0.58887979634564847</v>
      </c>
      <c r="O462">
        <f t="shared" si="170"/>
        <v>5.3236130288878893</v>
      </c>
      <c r="P462">
        <f t="shared" si="174"/>
        <v>5.0118324427187826</v>
      </c>
      <c r="Q462">
        <f t="shared" si="172"/>
        <v>5.3267607206862042</v>
      </c>
      <c r="R462">
        <f t="shared" si="153"/>
        <v>4.6115649471525346</v>
      </c>
      <c r="S462">
        <f t="shared" si="153"/>
        <v>4.4363609170223812</v>
      </c>
      <c r="T462">
        <f t="shared" si="156"/>
        <v>-0.58642727545479101</v>
      </c>
      <c r="U462">
        <f t="shared" si="157"/>
        <v>0.58642727545479101</v>
      </c>
      <c r="V462">
        <f t="shared" si="164"/>
        <v>5.0055289648367225</v>
      </c>
      <c r="W462">
        <f t="shared" si="158"/>
        <v>1.7259227640449737E-2</v>
      </c>
      <c r="X462">
        <f t="shared" si="165"/>
        <v>5.2519346147637798</v>
      </c>
      <c r="Y462">
        <f t="shared" si="159"/>
        <v>-0.22914642228660753</v>
      </c>
      <c r="Z462">
        <f t="shared" si="166"/>
        <v>5.5158918446719447</v>
      </c>
      <c r="AA462">
        <f t="shared" si="160"/>
        <v>-0.49310365219477248</v>
      </c>
      <c r="AB462">
        <f t="shared" si="161"/>
        <v>-3.0438118075228289</v>
      </c>
      <c r="AC462">
        <f t="shared" si="162"/>
        <v>4.6475594386459225</v>
      </c>
      <c r="AD462">
        <f t="shared" si="163"/>
        <v>0.37522875383124976</v>
      </c>
    </row>
    <row r="463" spans="1:30">
      <c r="A463">
        <v>461</v>
      </c>
      <c r="B463">
        <v>6.1663735116189375</v>
      </c>
      <c r="C463">
        <f t="shared" si="167"/>
        <v>5.7699849041621487</v>
      </c>
      <c r="D463">
        <f t="shared" si="167"/>
        <v>5.8003264411995712</v>
      </c>
      <c r="E463">
        <f t="shared" si="168"/>
        <v>5.4716311941984053</v>
      </c>
      <c r="F463">
        <f t="shared" si="171"/>
        <v>5.5679200618167535</v>
      </c>
      <c r="G463">
        <f t="shared" si="171"/>
        <v>4.829609586725276</v>
      </c>
      <c r="H463">
        <f t="shared" si="171"/>
        <v>4.6186420113673883</v>
      </c>
      <c r="I463">
        <f t="shared" si="154"/>
        <v>-1.5477315002515493</v>
      </c>
      <c r="J463">
        <f t="shared" si="169"/>
        <v>5.8372925457511347</v>
      </c>
      <c r="K463">
        <f t="shared" si="173"/>
        <v>5.0741166351432714</v>
      </c>
      <c r="L463">
        <f t="shared" si="173"/>
        <v>4.6981268602822226</v>
      </c>
      <c r="M463">
        <f t="shared" si="173"/>
        <v>4.4716673393940862</v>
      </c>
      <c r="N463">
        <f t="shared" si="155"/>
        <v>-1.6947061722248513</v>
      </c>
      <c r="O463">
        <f t="shared" si="170"/>
        <v>5.9031087389246952</v>
      </c>
      <c r="P463">
        <f t="shared" si="174"/>
        <v>5.0787902559217368</v>
      </c>
      <c r="Q463">
        <f t="shared" si="172"/>
        <v>5.5202828020505805</v>
      </c>
      <c r="R463">
        <f t="shared" ref="R463:S526" si="175">AVERAGE(Q457:Q462)</f>
        <v>4.7877807983279697</v>
      </c>
      <c r="S463">
        <f t="shared" si="175"/>
        <v>4.4833681799235015</v>
      </c>
      <c r="T463">
        <f t="shared" si="156"/>
        <v>-1.6830053316954361</v>
      </c>
      <c r="U463">
        <f t="shared" si="157"/>
        <v>1.6830053316954361</v>
      </c>
      <c r="V463">
        <f t="shared" si="164"/>
        <v>5.0072548876007676</v>
      </c>
      <c r="W463">
        <f t="shared" si="158"/>
        <v>1.1591186240181699</v>
      </c>
      <c r="X463">
        <f t="shared" si="165"/>
        <v>5.2061053303064586</v>
      </c>
      <c r="Y463">
        <f t="shared" si="159"/>
        <v>0.96026818131247893</v>
      </c>
      <c r="Z463">
        <f t="shared" si="166"/>
        <v>5.3679607490135126</v>
      </c>
      <c r="AA463">
        <f t="shared" si="160"/>
        <v>0.79841276260542493</v>
      </c>
      <c r="AB463">
        <f t="shared" si="161"/>
        <v>-1.9057864883810627</v>
      </c>
      <c r="AC463">
        <f t="shared" si="162"/>
        <v>4.6353805822858432</v>
      </c>
      <c r="AD463">
        <f t="shared" si="163"/>
        <v>1.5309929293330944</v>
      </c>
    </row>
    <row r="464" spans="1:30">
      <c r="A464">
        <v>462</v>
      </c>
      <c r="B464">
        <v>4.1884948161941953</v>
      </c>
      <c r="C464">
        <f t="shared" si="167"/>
        <v>5.5945808520480549</v>
      </c>
      <c r="D464">
        <f t="shared" si="167"/>
        <v>5.7330187996105852</v>
      </c>
      <c r="E464">
        <f t="shared" si="168"/>
        <v>5.9021144399810792</v>
      </c>
      <c r="F464">
        <f t="shared" si="171"/>
        <v>5.5354856565819697</v>
      </c>
      <c r="G464">
        <f t="shared" si="171"/>
        <v>5.186772419628852</v>
      </c>
      <c r="H464">
        <f t="shared" si="171"/>
        <v>4.6941768934757659</v>
      </c>
      <c r="I464">
        <f t="shared" si="154"/>
        <v>0.50568207728157066</v>
      </c>
      <c r="J464">
        <f t="shared" si="169"/>
        <v>5.6453167735535388</v>
      </c>
      <c r="K464">
        <f t="shared" si="173"/>
        <v>5.4434145670590741</v>
      </c>
      <c r="L464">
        <f t="shared" si="173"/>
        <v>4.8238266665319962</v>
      </c>
      <c r="M464">
        <f t="shared" si="173"/>
        <v>4.5451104253267651</v>
      </c>
      <c r="N464">
        <f t="shared" si="155"/>
        <v>0.35661560913256984</v>
      </c>
      <c r="O464">
        <f t="shared" si="170"/>
        <v>5.3539523820816699</v>
      </c>
      <c r="P464">
        <f t="shared" si="174"/>
        <v>5.3620232015968146</v>
      </c>
      <c r="Q464">
        <f t="shared" si="172"/>
        <v>5.4640731093430643</v>
      </c>
      <c r="R464">
        <f t="shared" si="175"/>
        <v>5.0111082728985759</v>
      </c>
      <c r="S464">
        <f t="shared" si="175"/>
        <v>4.5551186949724585</v>
      </c>
      <c r="T464">
        <f t="shared" si="156"/>
        <v>0.36662387877826319</v>
      </c>
      <c r="U464">
        <f t="shared" si="157"/>
        <v>-0.36662387877826319</v>
      </c>
      <c r="V464">
        <f t="shared" si="164"/>
        <v>5.1231667500025848</v>
      </c>
      <c r="W464">
        <f t="shared" si="158"/>
        <v>-0.93467193380838953</v>
      </c>
      <c r="X464">
        <f t="shared" si="165"/>
        <v>5.3981589665689542</v>
      </c>
      <c r="Y464">
        <f t="shared" si="159"/>
        <v>-1.2096641503747589</v>
      </c>
      <c r="Z464">
        <f t="shared" si="166"/>
        <v>5.6074845777951401</v>
      </c>
      <c r="AA464">
        <f t="shared" si="160"/>
        <v>-1.4189897616009448</v>
      </c>
      <c r="AB464">
        <f t="shared" si="161"/>
        <v>-3.8892251838058041</v>
      </c>
      <c r="AC464">
        <f t="shared" si="162"/>
        <v>4.6240404202384164</v>
      </c>
      <c r="AD464">
        <f t="shared" si="163"/>
        <v>-0.43554560404422116</v>
      </c>
    </row>
    <row r="465" spans="1:30">
      <c r="A465">
        <v>463</v>
      </c>
      <c r="B465">
        <v>3.1971685872898412</v>
      </c>
      <c r="C465">
        <f t="shared" si="167"/>
        <v>5.1774341639065664</v>
      </c>
      <c r="D465">
        <f t="shared" si="167"/>
        <v>5.6822828781051022</v>
      </c>
      <c r="E465">
        <f t="shared" si="168"/>
        <v>5.125885506763435</v>
      </c>
      <c r="F465">
        <f t="shared" si="171"/>
        <v>5.8275132103406468</v>
      </c>
      <c r="G465">
        <f t="shared" si="171"/>
        <v>5.3833234209259926</v>
      </c>
      <c r="H465">
        <f t="shared" si="171"/>
        <v>4.899200324571674</v>
      </c>
      <c r="I465">
        <f t="shared" si="154"/>
        <v>1.7020317372818328</v>
      </c>
      <c r="J465">
        <f t="shared" si="169"/>
        <v>5.4737095340343576</v>
      </c>
      <c r="K465">
        <f t="shared" si="173"/>
        <v>5.56921507707251</v>
      </c>
      <c r="L465">
        <f t="shared" si="173"/>
        <v>5.0414388903288012</v>
      </c>
      <c r="M465">
        <f t="shared" si="173"/>
        <v>4.6432828901631478</v>
      </c>
      <c r="N465">
        <f t="shared" si="155"/>
        <v>1.4461143028733066</v>
      </c>
      <c r="O465">
        <f t="shared" si="170"/>
        <v>5.0184013446854543</v>
      </c>
      <c r="P465">
        <f t="shared" si="174"/>
        <v>5.4578264831027061</v>
      </c>
      <c r="Q465">
        <f t="shared" si="172"/>
        <v>5.6173397518029446</v>
      </c>
      <c r="R465">
        <f t="shared" si="175"/>
        <v>5.130508746346317</v>
      </c>
      <c r="S465">
        <f t="shared" si="175"/>
        <v>4.6639574184828438</v>
      </c>
      <c r="T465">
        <f t="shared" si="156"/>
        <v>1.4667888311930026</v>
      </c>
      <c r="U465">
        <f t="shared" si="157"/>
        <v>-1.4667888311930026</v>
      </c>
      <c r="V465">
        <f t="shared" si="164"/>
        <v>5.0296995566217459</v>
      </c>
      <c r="W465">
        <f t="shared" si="158"/>
        <v>-1.8325309693319047</v>
      </c>
      <c r="X465">
        <f t="shared" si="165"/>
        <v>5.1562261364940021</v>
      </c>
      <c r="Y465">
        <f t="shared" si="159"/>
        <v>-1.9590575492041609</v>
      </c>
      <c r="Z465">
        <f t="shared" si="166"/>
        <v>5.1817876493148569</v>
      </c>
      <c r="AA465">
        <f t="shared" si="160"/>
        <v>-1.9846190620250157</v>
      </c>
      <c r="AB465">
        <f t="shared" si="161"/>
        <v>-4.886111412710159</v>
      </c>
      <c r="AC465">
        <f t="shared" si="162"/>
        <v>4.6135423108042506</v>
      </c>
      <c r="AD465">
        <f t="shared" si="163"/>
        <v>-1.4163737235144094</v>
      </c>
    </row>
    <row r="466" spans="1:30">
      <c r="A466">
        <v>464</v>
      </c>
      <c r="B466">
        <v>4.9536353712986063</v>
      </c>
      <c r="C466">
        <f t="shared" si="167"/>
        <v>3.6928317017420182</v>
      </c>
      <c r="D466">
        <f t="shared" si="167"/>
        <v>5.3860075079773111</v>
      </c>
      <c r="E466">
        <f t="shared" si="168"/>
        <v>4.517345638367658</v>
      </c>
      <c r="F466">
        <f t="shared" si="171"/>
        <v>5.4998770469809735</v>
      </c>
      <c r="G466">
        <f t="shared" si="171"/>
        <v>5.643639642913123</v>
      </c>
      <c r="H466">
        <f t="shared" si="171"/>
        <v>5.1332351424267069</v>
      </c>
      <c r="I466">
        <f t="shared" si="154"/>
        <v>0.17959977112810055</v>
      </c>
      <c r="J466">
        <f t="shared" si="169"/>
        <v>4.6437062768950366</v>
      </c>
      <c r="K466">
        <f t="shared" si="173"/>
        <v>5.5887845228324</v>
      </c>
      <c r="L466">
        <f t="shared" si="173"/>
        <v>5.2522555432818656</v>
      </c>
      <c r="M466">
        <f t="shared" si="173"/>
        <v>4.7842669097156794</v>
      </c>
      <c r="N466">
        <f t="shared" si="155"/>
        <v>-0.16936846158292695</v>
      </c>
      <c r="O466">
        <f t="shared" si="170"/>
        <v>4.7056920957757509</v>
      </c>
      <c r="P466">
        <f t="shared" si="174"/>
        <v>5.4437714437089939</v>
      </c>
      <c r="Q466">
        <f t="shared" si="172"/>
        <v>4.9944884162830316</v>
      </c>
      <c r="R466">
        <f t="shared" si="175"/>
        <v>5.2830371834301264</v>
      </c>
      <c r="S466">
        <f t="shared" si="175"/>
        <v>4.7758491233097082</v>
      </c>
      <c r="T466">
        <f t="shared" si="156"/>
        <v>-0.17778624798889808</v>
      </c>
      <c r="U466">
        <f t="shared" si="157"/>
        <v>0.17778624798889808</v>
      </c>
      <c r="V466">
        <f t="shared" si="164"/>
        <v>4.8464464596885559</v>
      </c>
      <c r="W466">
        <f t="shared" si="158"/>
        <v>0.1071889116100504</v>
      </c>
      <c r="X466">
        <f t="shared" si="165"/>
        <v>4.7644146266531697</v>
      </c>
      <c r="Y466">
        <f t="shared" si="159"/>
        <v>0.18922074464543659</v>
      </c>
      <c r="Z466">
        <f t="shared" si="166"/>
        <v>4.5864019307073525</v>
      </c>
      <c r="AA466">
        <f t="shared" si="160"/>
        <v>0.36723344059125385</v>
      </c>
      <c r="AB466">
        <f t="shared" si="161"/>
        <v>-3.1352046287013948</v>
      </c>
      <c r="AC466">
        <f t="shared" si="162"/>
        <v>4.6038893783858628</v>
      </c>
      <c r="AD466">
        <f t="shared" si="163"/>
        <v>0.34974599291274355</v>
      </c>
    </row>
    <row r="467" spans="1:30">
      <c r="A467">
        <v>465</v>
      </c>
      <c r="B467">
        <v>6.4872008375071175</v>
      </c>
      <c r="C467">
        <f t="shared" si="167"/>
        <v>4.0754019792942238</v>
      </c>
      <c r="D467">
        <f t="shared" si="167"/>
        <v>4.4351329328242919</v>
      </c>
      <c r="E467">
        <f t="shared" si="168"/>
        <v>4.1130995915942146</v>
      </c>
      <c r="F467">
        <f t="shared" si="171"/>
        <v>5.1817818617040574</v>
      </c>
      <c r="G467">
        <f t="shared" si="171"/>
        <v>5.6209586379678633</v>
      </c>
      <c r="H467">
        <f t="shared" si="171"/>
        <v>5.4045784944893223</v>
      </c>
      <c r="I467">
        <f t="shared" si="154"/>
        <v>-1.0826223430177953</v>
      </c>
      <c r="J467">
        <f t="shared" si="169"/>
        <v>4.6264180716003951</v>
      </c>
      <c r="K467">
        <f t="shared" si="173"/>
        <v>5.4000062825585164</v>
      </c>
      <c r="L467">
        <f t="shared" si="173"/>
        <v>5.4188827005268134</v>
      </c>
      <c r="M467">
        <f t="shared" si="173"/>
        <v>4.9539119901062216</v>
      </c>
      <c r="N467">
        <f t="shared" si="155"/>
        <v>-1.5332888474008959</v>
      </c>
      <c r="O467">
        <f t="shared" si="170"/>
        <v>4.9985746247817398</v>
      </c>
      <c r="P467">
        <f t="shared" si="174"/>
        <v>5.2609535180710925</v>
      </c>
      <c r="Q467">
        <f t="shared" si="172"/>
        <v>5.007607015787646</v>
      </c>
      <c r="R467">
        <f t="shared" si="175"/>
        <v>5.2996464568896364</v>
      </c>
      <c r="S467">
        <f t="shared" si="175"/>
        <v>4.8995947408799383</v>
      </c>
      <c r="T467">
        <f t="shared" si="156"/>
        <v>-1.5876060966271792</v>
      </c>
      <c r="U467">
        <f t="shared" si="157"/>
        <v>1.5876060966271792</v>
      </c>
      <c r="V467">
        <f t="shared" si="164"/>
        <v>4.8571653508495611</v>
      </c>
      <c r="W467">
        <f t="shared" si="158"/>
        <v>1.6300354866575564</v>
      </c>
      <c r="X467">
        <f t="shared" si="165"/>
        <v>4.8022587755822572</v>
      </c>
      <c r="Y467">
        <f t="shared" si="159"/>
        <v>1.6849420619248603</v>
      </c>
      <c r="Z467">
        <f t="shared" si="166"/>
        <v>4.6965719628847289</v>
      </c>
      <c r="AA467">
        <f t="shared" si="160"/>
        <v>1.7906288746223886</v>
      </c>
      <c r="AB467">
        <f t="shared" si="161"/>
        <v>-1.6071991624928827</v>
      </c>
      <c r="AC467">
        <f t="shared" si="162"/>
        <v>4.5950845126198097</v>
      </c>
      <c r="AD467">
        <f t="shared" si="163"/>
        <v>1.8921163248873079</v>
      </c>
    </row>
    <row r="468" spans="1:30">
      <c r="A468">
        <v>466</v>
      </c>
      <c r="B468">
        <v>3.927105852643042</v>
      </c>
      <c r="C468">
        <f t="shared" si="167"/>
        <v>5.7204181044028619</v>
      </c>
      <c r="D468">
        <f t="shared" si="167"/>
        <v>3.884116840518121</v>
      </c>
      <c r="E468">
        <f t="shared" si="168"/>
        <v>4.8793349320318553</v>
      </c>
      <c r="F468">
        <f t="shared" si="171"/>
        <v>4.5854435789084356</v>
      </c>
      <c r="G468">
        <f t="shared" si="171"/>
        <v>5.5030573730085592</v>
      </c>
      <c r="H468">
        <f t="shared" si="171"/>
        <v>5.5493072339356599</v>
      </c>
      <c r="I468">
        <f t="shared" si="154"/>
        <v>1.6222013812926179</v>
      </c>
      <c r="J468">
        <f t="shared" si="169"/>
        <v>4.7066249030724396</v>
      </c>
      <c r="K468">
        <f t="shared" si="173"/>
        <v>5.0972876640208318</v>
      </c>
      <c r="L468">
        <f t="shared" si="173"/>
        <v>5.5003551123806247</v>
      </c>
      <c r="M468">
        <f t="shared" si="173"/>
        <v>5.1341009501673689</v>
      </c>
      <c r="N468">
        <f t="shared" si="155"/>
        <v>1.2069950975243269</v>
      </c>
      <c r="O468">
        <f t="shared" si="170"/>
        <v>4.55072109298656</v>
      </c>
      <c r="P468">
        <f t="shared" si="174"/>
        <v>5.1959458372498615</v>
      </c>
      <c r="Q468">
        <f t="shared" si="172"/>
        <v>5.0026102193976447</v>
      </c>
      <c r="R468">
        <f t="shared" si="175"/>
        <v>5.3217586359922446</v>
      </c>
      <c r="S468">
        <f t="shared" si="175"/>
        <v>5.0206077341741935</v>
      </c>
      <c r="T468">
        <f t="shared" si="156"/>
        <v>1.0935018815311515</v>
      </c>
      <c r="U468">
        <f t="shared" si="157"/>
        <v>-1.0935018815311515</v>
      </c>
      <c r="V468">
        <f t="shared" si="164"/>
        <v>5.0201688995153164</v>
      </c>
      <c r="W468">
        <f t="shared" si="158"/>
        <v>-1.0930630468722744</v>
      </c>
      <c r="X468">
        <f t="shared" si="165"/>
        <v>5.1392471879672295</v>
      </c>
      <c r="Y468">
        <f t="shared" si="159"/>
        <v>-1.2121413353241874</v>
      </c>
      <c r="Z468">
        <f t="shared" si="166"/>
        <v>5.2337606252714455</v>
      </c>
      <c r="AA468">
        <f t="shared" si="160"/>
        <v>-1.3066547726284035</v>
      </c>
      <c r="AB468">
        <f t="shared" si="161"/>
        <v>-4.1728541473569578</v>
      </c>
      <c r="AC468">
        <f t="shared" si="162"/>
        <v>4.5871303675740362</v>
      </c>
      <c r="AD468">
        <f t="shared" si="163"/>
        <v>-0.66002451493099423</v>
      </c>
    </row>
    <row r="469" spans="1:30">
      <c r="A469">
        <v>467</v>
      </c>
      <c r="B469">
        <v>6.5440963243774366</v>
      </c>
      <c r="C469">
        <f t="shared" si="167"/>
        <v>5.2071533450750795</v>
      </c>
      <c r="D469">
        <f t="shared" si="167"/>
        <v>4.8979100418485428</v>
      </c>
      <c r="E469">
        <f t="shared" si="168"/>
        <v>5.1226473538162551</v>
      </c>
      <c r="F469">
        <f t="shared" si="171"/>
        <v>4.5032600539979093</v>
      </c>
      <c r="G469">
        <f t="shared" si="171"/>
        <v>5.0890341625311555</v>
      </c>
      <c r="H469">
        <f t="shared" si="171"/>
        <v>5.5892185512965149</v>
      </c>
      <c r="I469">
        <f t="shared" si="154"/>
        <v>-0.9548777730809217</v>
      </c>
      <c r="J469">
        <f t="shared" si="169"/>
        <v>4.6412776621846517</v>
      </c>
      <c r="K469">
        <f t="shared" si="173"/>
        <v>4.8626146964005574</v>
      </c>
      <c r="L469">
        <f t="shared" si="173"/>
        <v>5.4138233866210648</v>
      </c>
      <c r="M469">
        <f t="shared" si="173"/>
        <v>5.3032330616295269</v>
      </c>
      <c r="N469">
        <f t="shared" si="155"/>
        <v>-1.2408632627479097</v>
      </c>
      <c r="O469">
        <f t="shared" si="170"/>
        <v>5.021841394623209</v>
      </c>
      <c r="P469">
        <f t="shared" si="174"/>
        <v>4.9254683080622348</v>
      </c>
      <c r="Q469">
        <f t="shared" si="172"/>
        <v>4.8199964960919566</v>
      </c>
      <c r="R469">
        <f t="shared" si="175"/>
        <v>5.2677335524441515</v>
      </c>
      <c r="S469">
        <f t="shared" si="175"/>
        <v>5.1389733489808114</v>
      </c>
      <c r="T469">
        <f t="shared" si="156"/>
        <v>-1.4051229753966252</v>
      </c>
      <c r="U469">
        <f t="shared" si="157"/>
        <v>1.4051229753966252</v>
      </c>
      <c r="V469">
        <f t="shared" si="164"/>
        <v>4.9108625948280888</v>
      </c>
      <c r="W469">
        <f t="shared" si="158"/>
        <v>1.6332337295493478</v>
      </c>
      <c r="X469">
        <f t="shared" si="165"/>
        <v>4.8968189209023922</v>
      </c>
      <c r="Y469">
        <f t="shared" si="159"/>
        <v>1.6472774034750444</v>
      </c>
      <c r="Z469">
        <f t="shared" si="166"/>
        <v>4.8417641934829243</v>
      </c>
      <c r="AA469">
        <f t="shared" si="160"/>
        <v>1.7023321308945123</v>
      </c>
      <c r="AB469">
        <f t="shared" si="161"/>
        <v>-1.5614236756225637</v>
      </c>
      <c r="AC469">
        <f t="shared" si="162"/>
        <v>4.5800293610106415</v>
      </c>
      <c r="AD469">
        <f t="shared" si="163"/>
        <v>1.9640669633667951</v>
      </c>
    </row>
    <row r="470" spans="1:30">
      <c r="A470">
        <v>468</v>
      </c>
      <c r="B470">
        <v>4.5369388636902368</v>
      </c>
      <c r="C470">
        <f t="shared" si="167"/>
        <v>5.2356010885102391</v>
      </c>
      <c r="D470">
        <f t="shared" si="167"/>
        <v>5.4637857247389707</v>
      </c>
      <c r="E470">
        <f t="shared" si="168"/>
        <v>5.6528010048425328</v>
      </c>
      <c r="F470">
        <f t="shared" si="171"/>
        <v>4.705027292480775</v>
      </c>
      <c r="G470">
        <f t="shared" si="171"/>
        <v>4.7568284982034674</v>
      </c>
      <c r="H470">
        <f t="shared" si="171"/>
        <v>5.4043500578358596</v>
      </c>
      <c r="I470">
        <f t="shared" si="154"/>
        <v>0.86741119414562284</v>
      </c>
      <c r="J470">
        <f t="shared" si="169"/>
        <v>5.4780095964565501</v>
      </c>
      <c r="K470">
        <f t="shared" si="173"/>
        <v>4.6545067284381307</v>
      </c>
      <c r="L470">
        <f t="shared" si="173"/>
        <v>5.2371732914530771</v>
      </c>
      <c r="M470">
        <f t="shared" si="173"/>
        <v>5.3963291857025917</v>
      </c>
      <c r="N470">
        <f t="shared" si="155"/>
        <v>0.85939032201235488</v>
      </c>
      <c r="O470">
        <f t="shared" si="170"/>
        <v>5.2897954499032878</v>
      </c>
      <c r="P470">
        <f t="shared" si="174"/>
        <v>4.8590461105705431</v>
      </c>
      <c r="Q470">
        <f t="shared" si="172"/>
        <v>4.8829502982183728</v>
      </c>
      <c r="R470">
        <f t="shared" si="175"/>
        <v>5.1510191681177142</v>
      </c>
      <c r="S470">
        <f t="shared" si="175"/>
        <v>5.2189654746668426</v>
      </c>
      <c r="T470">
        <f t="shared" si="156"/>
        <v>0.68202661097660577</v>
      </c>
      <c r="U470">
        <f t="shared" si="157"/>
        <v>-0.68202661097660577</v>
      </c>
      <c r="V470">
        <f t="shared" si="164"/>
        <v>5.0741859677830234</v>
      </c>
      <c r="W470">
        <f t="shared" si="158"/>
        <v>-0.53724710409278664</v>
      </c>
      <c r="X470">
        <f t="shared" si="165"/>
        <v>5.2262744015974008</v>
      </c>
      <c r="Y470">
        <f t="shared" si="159"/>
        <v>-0.68933553790716395</v>
      </c>
      <c r="Z470">
        <f t="shared" si="166"/>
        <v>5.3524638327512779</v>
      </c>
      <c r="AA470">
        <f t="shared" si="160"/>
        <v>-0.81552496906104111</v>
      </c>
      <c r="AB470">
        <f t="shared" si="161"/>
        <v>-3.5741411363097644</v>
      </c>
      <c r="AC470">
        <f t="shared" si="162"/>
        <v>4.5737836737143009</v>
      </c>
      <c r="AD470">
        <f t="shared" si="163"/>
        <v>-3.6844810024064145E-2</v>
      </c>
    </row>
    <row r="471" spans="1:30">
      <c r="A471">
        <v>469</v>
      </c>
      <c r="B471">
        <v>5.1362835297124949</v>
      </c>
      <c r="C471">
        <f t="shared" si="167"/>
        <v>5.5405175940338367</v>
      </c>
      <c r="D471">
        <f t="shared" si="167"/>
        <v>5.2213772167926589</v>
      </c>
      <c r="E471">
        <f t="shared" si="168"/>
        <v>5.002713680236905</v>
      </c>
      <c r="F471">
        <f t="shared" si="171"/>
        <v>5.2182610968968817</v>
      </c>
      <c r="G471">
        <f t="shared" si="171"/>
        <v>4.5979103084623736</v>
      </c>
      <c r="H471">
        <f t="shared" si="171"/>
        <v>5.1163066779143946</v>
      </c>
      <c r="I471">
        <f t="shared" si="154"/>
        <v>-1.997685179810027E-2</v>
      </c>
      <c r="J471">
        <f t="shared" si="169"/>
        <v>5.373835469554459</v>
      </c>
      <c r="K471">
        <f t="shared" si="173"/>
        <v>4.8630825583285091</v>
      </c>
      <c r="L471">
        <f t="shared" si="173"/>
        <v>5.0036038428545089</v>
      </c>
      <c r="M471">
        <f t="shared" si="173"/>
        <v>5.3925586227453941</v>
      </c>
      <c r="N471">
        <f t="shared" si="155"/>
        <v>0.25627509303289919</v>
      </c>
      <c r="O471">
        <f t="shared" si="170"/>
        <v>5.3263250815860657</v>
      </c>
      <c r="P471">
        <f t="shared" si="174"/>
        <v>4.9133249316141097</v>
      </c>
      <c r="Q471">
        <f t="shared" si="172"/>
        <v>4.9410243061343806</v>
      </c>
      <c r="R471">
        <f t="shared" si="175"/>
        <v>5.0541653662635992</v>
      </c>
      <c r="S471">
        <f t="shared" si="175"/>
        <v>5.242283957203365</v>
      </c>
      <c r="T471">
        <f t="shared" si="156"/>
        <v>0.10600042749087013</v>
      </c>
      <c r="U471">
        <f t="shared" si="157"/>
        <v>-0.10600042749087013</v>
      </c>
      <c r="V471">
        <f t="shared" si="164"/>
        <v>5.0204612573737446</v>
      </c>
      <c r="W471">
        <f t="shared" si="158"/>
        <v>0.11582227233875031</v>
      </c>
      <c r="X471">
        <f t="shared" si="165"/>
        <v>5.0884072940159681</v>
      </c>
      <c r="Y471">
        <f t="shared" si="159"/>
        <v>4.787623569652677E-2</v>
      </c>
      <c r="Z471">
        <f t="shared" si="166"/>
        <v>5.1078063420329656</v>
      </c>
      <c r="AA471">
        <f t="shared" si="160"/>
        <v>2.8477187679529337E-2</v>
      </c>
      <c r="AB471">
        <f t="shared" si="161"/>
        <v>-2.9803564702875054</v>
      </c>
      <c r="AC471">
        <f t="shared" si="162"/>
        <v>4.5683952488865041</v>
      </c>
      <c r="AD471">
        <f t="shared" si="163"/>
        <v>0.56788828082599085</v>
      </c>
    </row>
    <row r="472" spans="1:30">
      <c r="A472">
        <v>470</v>
      </c>
      <c r="B472">
        <v>6.0240800488925217</v>
      </c>
      <c r="C472">
        <f t="shared" si="167"/>
        <v>4.8366111967013659</v>
      </c>
      <c r="D472">
        <f t="shared" si="167"/>
        <v>5.3880593412720383</v>
      </c>
      <c r="E472">
        <f t="shared" si="168"/>
        <v>5.4057729059267219</v>
      </c>
      <c r="F472">
        <f t="shared" si="171"/>
        <v>5.2593873462985643</v>
      </c>
      <c r="G472">
        <f t="shared" si="171"/>
        <v>4.808849481125189</v>
      </c>
      <c r="H472">
        <f t="shared" si="171"/>
        <v>4.8145909897323316</v>
      </c>
      <c r="I472">
        <f t="shared" si="154"/>
        <v>-1.2094890591601901</v>
      </c>
      <c r="J472">
        <f t="shared" si="169"/>
        <v>5.0361061426058029</v>
      </c>
      <c r="K472">
        <f t="shared" si="173"/>
        <v>5.0499369078170249</v>
      </c>
      <c r="L472">
        <f t="shared" si="173"/>
        <v>4.869372911797007</v>
      </c>
      <c r="M472">
        <f t="shared" si="173"/>
        <v>5.2887389083273195</v>
      </c>
      <c r="N472">
        <f t="shared" si="155"/>
        <v>-0.73534114056520217</v>
      </c>
      <c r="O472">
        <f t="shared" si="170"/>
        <v>5.2337009238631467</v>
      </c>
      <c r="P472">
        <f t="shared" si="174"/>
        <v>5.0374515287761721</v>
      </c>
      <c r="Q472">
        <f t="shared" si="172"/>
        <v>5.264210129871489</v>
      </c>
      <c r="R472">
        <f t="shared" si="175"/>
        <v>4.9414461253188389</v>
      </c>
      <c r="S472">
        <f t="shared" si="175"/>
        <v>5.2295600605229122</v>
      </c>
      <c r="T472">
        <f t="shared" si="156"/>
        <v>-0.79451998836960946</v>
      </c>
      <c r="U472">
        <f t="shared" si="157"/>
        <v>0.79451998836960946</v>
      </c>
      <c r="V472">
        <f t="shared" si="164"/>
        <v>5.0320434846076196</v>
      </c>
      <c r="W472">
        <f t="shared" si="158"/>
        <v>0.99203656428490206</v>
      </c>
      <c r="X472">
        <f t="shared" si="165"/>
        <v>5.0979825411552735</v>
      </c>
      <c r="Y472">
        <f t="shared" si="159"/>
        <v>0.92609750773724819</v>
      </c>
      <c r="Z472">
        <f t="shared" si="166"/>
        <v>5.1163494983368247</v>
      </c>
      <c r="AA472">
        <f t="shared" si="160"/>
        <v>0.90773055055569696</v>
      </c>
      <c r="AB472">
        <f t="shared" si="161"/>
        <v>-2.0981199511074777</v>
      </c>
      <c r="AC472">
        <f t="shared" si="162"/>
        <v>4.563865791605787</v>
      </c>
      <c r="AD472">
        <f t="shared" si="163"/>
        <v>1.4602142572867347</v>
      </c>
    </row>
    <row r="473" spans="1:30">
      <c r="A473">
        <v>471</v>
      </c>
      <c r="B473">
        <v>3.3546110601367749</v>
      </c>
      <c r="C473">
        <f t="shared" si="167"/>
        <v>5.5801817893025083</v>
      </c>
      <c r="D473">
        <f t="shared" si="167"/>
        <v>5.1885643953676013</v>
      </c>
      <c r="E473">
        <f t="shared" si="168"/>
        <v>5.2324341474317508</v>
      </c>
      <c r="F473">
        <f t="shared" si="171"/>
        <v>5.3537625303353868</v>
      </c>
      <c r="G473">
        <f t="shared" si="171"/>
        <v>5.0608919118920737</v>
      </c>
      <c r="H473">
        <f t="shared" si="171"/>
        <v>4.7211960959303427</v>
      </c>
      <c r="I473">
        <f t="shared" si="154"/>
        <v>1.3665850357935678</v>
      </c>
      <c r="J473">
        <f t="shared" si="169"/>
        <v>5.5603496916681721</v>
      </c>
      <c r="K473">
        <f t="shared" si="173"/>
        <v>5.1323072177003652</v>
      </c>
      <c r="L473">
        <f t="shared" si="173"/>
        <v>4.8575352227460558</v>
      </c>
      <c r="M473">
        <f t="shared" si="173"/>
        <v>5.1309933581814144</v>
      </c>
      <c r="N473">
        <f t="shared" si="155"/>
        <v>1.7763822980446395</v>
      </c>
      <c r="O473">
        <f t="shared" si="170"/>
        <v>5.119201965361893</v>
      </c>
      <c r="P473">
        <f t="shared" si="174"/>
        <v>5.084476788592454</v>
      </c>
      <c r="Q473">
        <f t="shared" si="172"/>
        <v>5.4426175761371418</v>
      </c>
      <c r="R473">
        <f t="shared" si="175"/>
        <v>4.9863997442502486</v>
      </c>
      <c r="S473">
        <f t="shared" si="175"/>
        <v>5.1726282175043643</v>
      </c>
      <c r="T473">
        <f t="shared" si="156"/>
        <v>1.8180171573675894</v>
      </c>
      <c r="U473">
        <f t="shared" si="157"/>
        <v>-1.8180171573675894</v>
      </c>
      <c r="V473">
        <f t="shared" si="164"/>
        <v>5.13124714103611</v>
      </c>
      <c r="W473">
        <f t="shared" si="158"/>
        <v>-1.7766360808993351</v>
      </c>
      <c r="X473">
        <f t="shared" si="165"/>
        <v>5.2832020427027233</v>
      </c>
      <c r="Y473">
        <f t="shared" si="159"/>
        <v>-1.9285909825659484</v>
      </c>
      <c r="Z473">
        <f t="shared" si="166"/>
        <v>5.3886686635035339</v>
      </c>
      <c r="AA473">
        <f t="shared" si="160"/>
        <v>-2.034057603366759</v>
      </c>
      <c r="AB473">
        <f t="shared" si="161"/>
        <v>-4.7731489398632254</v>
      </c>
      <c r="AC473">
        <f t="shared" si="162"/>
        <v>4.5601967683541149</v>
      </c>
      <c r="AD473">
        <f t="shared" si="163"/>
        <v>-1.20558570821734</v>
      </c>
    </row>
    <row r="474" spans="1:30">
      <c r="A474">
        <v>472</v>
      </c>
      <c r="B474">
        <v>2.2017010515833224</v>
      </c>
      <c r="C474">
        <f t="shared" si="167"/>
        <v>4.6893455545146487</v>
      </c>
      <c r="D474">
        <f t="shared" si="167"/>
        <v>5.2083964930019366</v>
      </c>
      <c r="E474">
        <f t="shared" si="168"/>
        <v>4.8383248795805969</v>
      </c>
      <c r="F474">
        <f t="shared" si="171"/>
        <v>5.213640244531792</v>
      </c>
      <c r="G474">
        <f t="shared" si="171"/>
        <v>5.2771369911769446</v>
      </c>
      <c r="H474">
        <f t="shared" si="171"/>
        <v>4.8225505671598787</v>
      </c>
      <c r="I474">
        <f t="shared" si="154"/>
        <v>2.6208495155765563</v>
      </c>
      <c r="J474">
        <f t="shared" si="169"/>
        <v>4.7629783756080073</v>
      </c>
      <c r="K474">
        <f t="shared" si="173"/>
        <v>5.362075225071246</v>
      </c>
      <c r="L474">
        <f t="shared" si="173"/>
        <v>4.9249583530710073</v>
      </c>
      <c r="M474">
        <f t="shared" si="173"/>
        <v>4.991921317212662</v>
      </c>
      <c r="N474">
        <f t="shared" si="155"/>
        <v>2.7902202656293396</v>
      </c>
      <c r="O474">
        <f t="shared" si="170"/>
        <v>4.25072291080307</v>
      </c>
      <c r="P474">
        <f t="shared" si="174"/>
        <v>5.1981729630675204</v>
      </c>
      <c r="Q474">
        <f t="shared" si="172"/>
        <v>4.9205192799087518</v>
      </c>
      <c r="R474">
        <f t="shared" si="175"/>
        <v>5.0589015043084977</v>
      </c>
      <c r="S474">
        <f t="shared" si="175"/>
        <v>5.1204204320644662</v>
      </c>
      <c r="T474">
        <f t="shared" si="156"/>
        <v>2.9187193804811438</v>
      </c>
      <c r="U474">
        <f t="shared" si="157"/>
        <v>-2.9187193804811438</v>
      </c>
      <c r="V474">
        <f t="shared" si="164"/>
        <v>4.9535835329461761</v>
      </c>
      <c r="W474">
        <f t="shared" si="158"/>
        <v>-2.7518824813628537</v>
      </c>
      <c r="X474">
        <f t="shared" si="165"/>
        <v>4.8974838461895338</v>
      </c>
      <c r="Y474">
        <f t="shared" si="159"/>
        <v>-2.6957827946062114</v>
      </c>
      <c r="Z474">
        <f t="shared" si="166"/>
        <v>4.7784513824935058</v>
      </c>
      <c r="AA474">
        <f t="shared" si="160"/>
        <v>-2.5767503309101834</v>
      </c>
      <c r="AB474">
        <f t="shared" si="161"/>
        <v>-5.9316189484166788</v>
      </c>
      <c r="AC474">
        <f t="shared" si="162"/>
        <v>4.5573894066095324</v>
      </c>
      <c r="AD474">
        <f t="shared" si="163"/>
        <v>-2.35568835502621</v>
      </c>
    </row>
    <row r="475" spans="1:30">
      <c r="A475">
        <v>473</v>
      </c>
      <c r="B475">
        <v>5.7601564378064207</v>
      </c>
      <c r="C475">
        <f t="shared" si="167"/>
        <v>2.7781560558600487</v>
      </c>
      <c r="D475">
        <f t="shared" si="167"/>
        <v>5.1347636719085781</v>
      </c>
      <c r="E475">
        <f t="shared" si="168"/>
        <v>3.8601307202042068</v>
      </c>
      <c r="F475">
        <f t="shared" si="171"/>
        <v>5.1588439776463568</v>
      </c>
      <c r="G475">
        <f t="shared" si="171"/>
        <v>5.2755967070552474</v>
      </c>
      <c r="H475">
        <f t="shared" si="171"/>
        <v>5.0489594613980691</v>
      </c>
      <c r="I475">
        <f t="shared" si="154"/>
        <v>-0.71119697640835167</v>
      </c>
      <c r="J475">
        <f t="shared" si="169"/>
        <v>4.1791689225812778</v>
      </c>
      <c r="K475">
        <f t="shared" si="173"/>
        <v>5.1833174198591099</v>
      </c>
      <c r="L475">
        <f t="shared" si="173"/>
        <v>5.1018504772292861</v>
      </c>
      <c r="M475">
        <f t="shared" si="173"/>
        <v>4.9138675826171454</v>
      </c>
      <c r="N475">
        <f t="shared" si="155"/>
        <v>-0.84628885518927532</v>
      </c>
      <c r="O475">
        <f t="shared" si="170"/>
        <v>4.4953664256263064</v>
      </c>
      <c r="P475">
        <f t="shared" si="174"/>
        <v>5.0439492663034926</v>
      </c>
      <c r="Q475">
        <f t="shared" si="172"/>
        <v>4.6329518130654641</v>
      </c>
      <c r="R475">
        <f t="shared" si="175"/>
        <v>5.0452196810603489</v>
      </c>
      <c r="S475">
        <f t="shared" si="175"/>
        <v>5.0766109101171759</v>
      </c>
      <c r="T475">
        <f t="shared" si="156"/>
        <v>-0.68354552768924481</v>
      </c>
      <c r="U475">
        <f t="shared" si="157"/>
        <v>0.68354552768924481</v>
      </c>
      <c r="V475">
        <f t="shared" si="164"/>
        <v>4.6783952848098904</v>
      </c>
      <c r="W475">
        <f t="shared" si="158"/>
        <v>1.0817611529965303</v>
      </c>
      <c r="X475">
        <f t="shared" si="165"/>
        <v>4.3583272872682919</v>
      </c>
      <c r="Y475">
        <f t="shared" si="159"/>
        <v>1.4018291505381288</v>
      </c>
      <c r="Z475">
        <f t="shared" si="166"/>
        <v>4.0054262832204506</v>
      </c>
      <c r="AA475">
        <f t="shared" si="160"/>
        <v>1.7547301545859701</v>
      </c>
      <c r="AB475">
        <f t="shared" si="161"/>
        <v>-2.3787235621935796</v>
      </c>
      <c r="AC475">
        <f t="shared" si="162"/>
        <v>4.5554446945052067</v>
      </c>
      <c r="AD475">
        <f t="shared" si="163"/>
        <v>1.204711743301214</v>
      </c>
    </row>
    <row r="476" spans="1:30">
      <c r="A476">
        <v>474</v>
      </c>
      <c r="B476">
        <v>4.3330631286507693</v>
      </c>
      <c r="C476">
        <f t="shared" si="167"/>
        <v>3.9809287446948716</v>
      </c>
      <c r="D476">
        <f t="shared" si="167"/>
        <v>3.7337508051873485</v>
      </c>
      <c r="E476">
        <f t="shared" si="168"/>
        <v>3.7721561831755062</v>
      </c>
      <c r="F476">
        <f t="shared" si="171"/>
        <v>4.6436299157388516</v>
      </c>
      <c r="G476">
        <f t="shared" si="171"/>
        <v>5.2420822508378455</v>
      </c>
      <c r="H476">
        <f t="shared" si="171"/>
        <v>5.2045418700414219</v>
      </c>
      <c r="I476">
        <f t="shared" si="154"/>
        <v>0.87147874139065262</v>
      </c>
      <c r="J476">
        <f t="shared" si="169"/>
        <v>4.3351371496047602</v>
      </c>
      <c r="K476">
        <f t="shared" si="173"/>
        <v>4.8846507831158146</v>
      </c>
      <c r="L476">
        <f t="shared" si="173"/>
        <v>5.1819091926119363</v>
      </c>
      <c r="M476">
        <f t="shared" si="173"/>
        <v>4.938429241210839</v>
      </c>
      <c r="N476">
        <f t="shared" si="155"/>
        <v>0.60536611256006978</v>
      </c>
      <c r="O476">
        <f t="shared" si="170"/>
        <v>4.3347223454139625</v>
      </c>
      <c r="P476">
        <f t="shared" si="174"/>
        <v>4.8850634614480963</v>
      </c>
      <c r="Q476">
        <f t="shared" si="172"/>
        <v>4.5022951653036287</v>
      </c>
      <c r="R476">
        <f t="shared" si="175"/>
        <v>5.0140455672225999</v>
      </c>
      <c r="S476">
        <f t="shared" si="175"/>
        <v>5.0395252648865414</v>
      </c>
      <c r="T476">
        <f t="shared" si="156"/>
        <v>0.70646213623577214</v>
      </c>
      <c r="U476">
        <f t="shared" si="157"/>
        <v>-0.70646213623577214</v>
      </c>
      <c r="V476">
        <f t="shared" si="164"/>
        <v>4.7865714001095432</v>
      </c>
      <c r="W476">
        <f t="shared" si="158"/>
        <v>-0.45350827145877393</v>
      </c>
      <c r="X476">
        <f t="shared" si="165"/>
        <v>4.6386931173759178</v>
      </c>
      <c r="Y476">
        <f t="shared" si="159"/>
        <v>-0.30562998872514857</v>
      </c>
      <c r="Z476">
        <f t="shared" si="166"/>
        <v>4.5318453295962415</v>
      </c>
      <c r="AA476">
        <f t="shared" si="160"/>
        <v>-0.19878220094547228</v>
      </c>
      <c r="AB476">
        <f t="shared" si="161"/>
        <v>-3.8113768713492302</v>
      </c>
      <c r="AC476">
        <f t="shared" si="162"/>
        <v>4.5543633805549488</v>
      </c>
      <c r="AD476">
        <f t="shared" si="163"/>
        <v>-0.22130025190417957</v>
      </c>
    </row>
    <row r="477" spans="1:30">
      <c r="A477">
        <v>475</v>
      </c>
      <c r="B477">
        <v>2.536488976742783</v>
      </c>
      <c r="C477">
        <f t="shared" si="167"/>
        <v>5.046609783228595</v>
      </c>
      <c r="D477">
        <f t="shared" si="167"/>
        <v>3.3795424002774599</v>
      </c>
      <c r="E477">
        <f t="shared" si="168"/>
        <v>4.0983068726801708</v>
      </c>
      <c r="F477">
        <f t="shared" si="171"/>
        <v>4.156870594320103</v>
      </c>
      <c r="G477">
        <f t="shared" si="171"/>
        <v>5.0053713793056671</v>
      </c>
      <c r="H477">
        <f t="shared" si="171"/>
        <v>5.2649386496900128</v>
      </c>
      <c r="I477">
        <f t="shared" si="154"/>
        <v>2.7284496729472298</v>
      </c>
      <c r="J477">
        <f t="shared" si="169"/>
        <v>3.912382919544322</v>
      </c>
      <c r="K477">
        <f t="shared" si="173"/>
        <v>4.7094085348655543</v>
      </c>
      <c r="L477">
        <f t="shared" si="173"/>
        <v>5.1405876614366335</v>
      </c>
      <c r="M477">
        <f t="shared" si="173"/>
        <v>5.016563311414572</v>
      </c>
      <c r="N477">
        <f t="shared" si="155"/>
        <v>2.4800743346717891</v>
      </c>
      <c r="O477">
        <f t="shared" si="170"/>
        <v>3.6372041309840144</v>
      </c>
      <c r="P477">
        <f t="shared" si="174"/>
        <v>4.6867429142136752</v>
      </c>
      <c r="Q477">
        <f t="shared" si="172"/>
        <v>4.4683158761303838</v>
      </c>
      <c r="R477">
        <f t="shared" si="175"/>
        <v>4.9506030450701433</v>
      </c>
      <c r="S477">
        <f t="shared" si="175"/>
        <v>5.016696331404022</v>
      </c>
      <c r="T477">
        <f t="shared" si="156"/>
        <v>2.4802073546612391</v>
      </c>
      <c r="U477">
        <f t="shared" si="157"/>
        <v>-2.4802073546612391</v>
      </c>
      <c r="V477">
        <f t="shared" si="164"/>
        <v>4.7412205729636661</v>
      </c>
      <c r="W477">
        <f t="shared" si="158"/>
        <v>-2.2047315962208831</v>
      </c>
      <c r="X477">
        <f t="shared" si="165"/>
        <v>4.5775671196308885</v>
      </c>
      <c r="Y477">
        <f t="shared" si="159"/>
        <v>-2.0410781428881055</v>
      </c>
      <c r="Z477">
        <f t="shared" si="166"/>
        <v>4.4722106693125996</v>
      </c>
      <c r="AA477">
        <f t="shared" si="160"/>
        <v>-1.9357216925698166</v>
      </c>
      <c r="AB477">
        <f t="shared" si="161"/>
        <v>-5.6135110232572174</v>
      </c>
      <c r="AC477">
        <f t="shared" si="162"/>
        <v>4.5541459734453067</v>
      </c>
      <c r="AD477">
        <f t="shared" si="163"/>
        <v>-2.0176569967025237</v>
      </c>
    </row>
    <row r="478" spans="1:30">
      <c r="A478">
        <v>476</v>
      </c>
      <c r="B478">
        <v>4.9652679604010599</v>
      </c>
      <c r="C478">
        <f t="shared" si="167"/>
        <v>3.4347760526967761</v>
      </c>
      <c r="D478">
        <f t="shared" si="167"/>
        <v>4.5137692639617333</v>
      </c>
      <c r="E478">
        <f t="shared" si="168"/>
        <v>4.209902847733324</v>
      </c>
      <c r="F478">
        <f t="shared" si="171"/>
        <v>3.9101979253532946</v>
      </c>
      <c r="G478">
        <f t="shared" si="171"/>
        <v>4.6531148292351041</v>
      </c>
      <c r="H478">
        <f t="shared" si="171"/>
        <v>5.174350112399587</v>
      </c>
      <c r="I478">
        <f t="shared" si="154"/>
        <v>0.20908215199852709</v>
      </c>
      <c r="J478">
        <f t="shared" si="169"/>
        <v>3.7078523986958238</v>
      </c>
      <c r="K478">
        <f t="shared" si="173"/>
        <v>4.2974168418345915</v>
      </c>
      <c r="L478">
        <f t="shared" si="173"/>
        <v>5.0348629907279312</v>
      </c>
      <c r="M478">
        <f t="shared" si="173"/>
        <v>5.0873264210872158</v>
      </c>
      <c r="N478">
        <f t="shared" si="155"/>
        <v>0.12205846068615589</v>
      </c>
      <c r="O478">
        <f t="shared" si="170"/>
        <v>3.9593355110368713</v>
      </c>
      <c r="P478">
        <f t="shared" si="174"/>
        <v>4.3674435556378493</v>
      </c>
      <c r="Q478">
        <f t="shared" si="172"/>
        <v>4.0350167839687652</v>
      </c>
      <c r="R478">
        <f t="shared" si="175"/>
        <v>4.8718183067361434</v>
      </c>
      <c r="S478">
        <f t="shared" si="175"/>
        <v>4.9994359445384458</v>
      </c>
      <c r="T478">
        <f t="shared" si="156"/>
        <v>3.4167984137385865E-2</v>
      </c>
      <c r="U478">
        <f t="shared" si="157"/>
        <v>-3.4167984137385865E-2</v>
      </c>
      <c r="V478">
        <f t="shared" si="164"/>
        <v>4.5207474133415779</v>
      </c>
      <c r="W478">
        <f t="shared" si="158"/>
        <v>0.44452054705948196</v>
      </c>
      <c r="X478">
        <f t="shared" si="165"/>
        <v>4.1693514910532672</v>
      </c>
      <c r="Y478">
        <f t="shared" si="159"/>
        <v>0.7959164693477927</v>
      </c>
      <c r="Z478">
        <f t="shared" si="166"/>
        <v>3.8914941615416545</v>
      </c>
      <c r="AA478">
        <f t="shared" si="160"/>
        <v>1.0737737988594054</v>
      </c>
      <c r="AB478">
        <f t="shared" si="161"/>
        <v>-3.1902920395989414</v>
      </c>
      <c r="AC478">
        <f t="shared" si="162"/>
        <v>4.5547927418942527</v>
      </c>
      <c r="AD478">
        <f t="shared" si="163"/>
        <v>0.41047521850680724</v>
      </c>
    </row>
    <row r="479" spans="1:30">
      <c r="A479">
        <v>477</v>
      </c>
      <c r="B479">
        <v>6.3329190771199002</v>
      </c>
      <c r="C479">
        <f t="shared" si="167"/>
        <v>3.7508784685719214</v>
      </c>
      <c r="D479">
        <f t="shared" si="167"/>
        <v>4.2406929179626855</v>
      </c>
      <c r="E479">
        <f t="shared" si="168"/>
        <v>3.9449400219315378</v>
      </c>
      <c r="F479">
        <f t="shared" si="171"/>
        <v>4.0267886345296668</v>
      </c>
      <c r="G479">
        <f t="shared" si="171"/>
        <v>4.2368994784707494</v>
      </c>
      <c r="H479">
        <f t="shared" si="171"/>
        <v>4.9668561531262059</v>
      </c>
      <c r="I479">
        <f t="shared" si="154"/>
        <v>-1.3660629239936943</v>
      </c>
      <c r="J479">
        <f t="shared" si="169"/>
        <v>4.398744125900258</v>
      </c>
      <c r="K479">
        <f t="shared" si="173"/>
        <v>4.0336353476065465</v>
      </c>
      <c r="L479">
        <f t="shared" si="173"/>
        <v>4.7686983949187676</v>
      </c>
      <c r="M479">
        <f t="shared" si="173"/>
        <v>5.114802580501447</v>
      </c>
      <c r="N479">
        <f t="shared" si="155"/>
        <v>-1.2181164966184532</v>
      </c>
      <c r="O479">
        <f t="shared" si="170"/>
        <v>4.7855791161441861</v>
      </c>
      <c r="P479">
        <f t="shared" si="174"/>
        <v>4.1354702647728452</v>
      </c>
      <c r="Q479">
        <f t="shared" si="172"/>
        <v>3.858548102553522</v>
      </c>
      <c r="R479">
        <f t="shared" si="175"/>
        <v>4.6669527490856888</v>
      </c>
      <c r="S479">
        <f t="shared" si="175"/>
        <v>4.9878313081079968</v>
      </c>
      <c r="T479">
        <f t="shared" si="156"/>
        <v>-1.3450877690119034</v>
      </c>
      <c r="U479">
        <f t="shared" si="157"/>
        <v>1.3450877690119034</v>
      </c>
      <c r="V479">
        <f t="shared" si="164"/>
        <v>4.5651994680475259</v>
      </c>
      <c r="W479">
        <f t="shared" si="158"/>
        <v>1.7677196090723744</v>
      </c>
      <c r="X479">
        <f t="shared" si="165"/>
        <v>4.3285347849228257</v>
      </c>
      <c r="Y479">
        <f t="shared" si="159"/>
        <v>2.0043842921970745</v>
      </c>
      <c r="Z479">
        <f t="shared" si="166"/>
        <v>4.2136263011994757</v>
      </c>
      <c r="AA479">
        <f t="shared" si="160"/>
        <v>2.1192927759204245</v>
      </c>
      <c r="AB479">
        <f t="shared" si="161"/>
        <v>-1.8282009228801002</v>
      </c>
      <c r="AC479">
        <f t="shared" si="162"/>
        <v>4.5563037145765568</v>
      </c>
      <c r="AD479">
        <f t="shared" si="163"/>
        <v>1.7766153625433434</v>
      </c>
    </row>
    <row r="480" spans="1:30">
      <c r="A480">
        <v>478</v>
      </c>
      <c r="B480">
        <v>5.3309134828963733</v>
      </c>
      <c r="C480">
        <f t="shared" si="167"/>
        <v>5.6490935187604805</v>
      </c>
      <c r="D480">
        <f t="shared" si="167"/>
        <v>3.5928272606343485</v>
      </c>
      <c r="E480">
        <f t="shared" si="168"/>
        <v>4.6115586714212471</v>
      </c>
      <c r="F480">
        <f t="shared" si="171"/>
        <v>4.0843832474483444</v>
      </c>
      <c r="G480">
        <f t="shared" si="171"/>
        <v>4.0312857180676884</v>
      </c>
      <c r="H480">
        <f t="shared" si="171"/>
        <v>4.6317952290038411</v>
      </c>
      <c r="I480">
        <f t="shared" si="154"/>
        <v>-0.69911825389253224</v>
      </c>
      <c r="J480">
        <f t="shared" si="169"/>
        <v>4.5419347857286283</v>
      </c>
      <c r="K480">
        <f t="shared" si="173"/>
        <v>4.0885291484362911</v>
      </c>
      <c r="L480">
        <f t="shared" si="173"/>
        <v>4.4812778768556267</v>
      </c>
      <c r="M480">
        <f t="shared" si="173"/>
        <v>5.0315145599238171</v>
      </c>
      <c r="N480">
        <f t="shared" si="155"/>
        <v>-0.29939892297255621</v>
      </c>
      <c r="O480">
        <f t="shared" si="170"/>
        <v>4.6997305251621775</v>
      </c>
      <c r="P480">
        <f t="shared" si="174"/>
        <v>4.2424415058410689</v>
      </c>
      <c r="Q480">
        <f t="shared" si="172"/>
        <v>4.3549327720507094</v>
      </c>
      <c r="R480">
        <f t="shared" si="175"/>
        <v>4.4029411701550858</v>
      </c>
      <c r="S480">
        <f t="shared" si="175"/>
        <v>4.9345901422472371</v>
      </c>
      <c r="T480">
        <f t="shared" si="156"/>
        <v>-0.39632334064913621</v>
      </c>
      <c r="U480">
        <f t="shared" si="157"/>
        <v>0.39632334064913621</v>
      </c>
      <c r="V480">
        <f t="shared" si="164"/>
        <v>4.7419714289547636</v>
      </c>
      <c r="W480">
        <f t="shared" si="158"/>
        <v>0.5889420539416097</v>
      </c>
      <c r="X480">
        <f t="shared" si="165"/>
        <v>4.7294116433622406</v>
      </c>
      <c r="Y480">
        <f t="shared" si="159"/>
        <v>0.60150183953413272</v>
      </c>
      <c r="Z480">
        <f t="shared" si="166"/>
        <v>4.8494141339756034</v>
      </c>
      <c r="AA480">
        <f t="shared" si="160"/>
        <v>0.48149934892076995</v>
      </c>
      <c r="AB480">
        <f t="shared" si="161"/>
        <v>-2.8357665171036261</v>
      </c>
      <c r="AC480">
        <f t="shared" si="162"/>
        <v>4.5586786801158103</v>
      </c>
      <c r="AD480">
        <f t="shared" si="163"/>
        <v>0.772234802780563</v>
      </c>
    </row>
    <row r="481" spans="1:30">
      <c r="A481">
        <v>479</v>
      </c>
      <c r="B481">
        <v>4.8491302788607795</v>
      </c>
      <c r="C481">
        <f t="shared" si="167"/>
        <v>5.8319162800081372</v>
      </c>
      <c r="D481">
        <f t="shared" si="167"/>
        <v>4.6999859936662007</v>
      </c>
      <c r="E481">
        <f t="shared" si="168"/>
        <v>5.5430335068057781</v>
      </c>
      <c r="F481">
        <f t="shared" si="171"/>
        <v>4.2554671803620359</v>
      </c>
      <c r="G481">
        <f t="shared" si="171"/>
        <v>4.0071232691104353</v>
      </c>
      <c r="H481">
        <f t="shared" si="171"/>
        <v>4.3071000085911813</v>
      </c>
      <c r="I481">
        <f t="shared" si="154"/>
        <v>-0.54203027026959827</v>
      </c>
      <c r="J481">
        <f t="shared" si="169"/>
        <v>4.7913973742900291</v>
      </c>
      <c r="K481">
        <f t="shared" si="173"/>
        <v>4.1402285574672586</v>
      </c>
      <c r="L481">
        <f t="shared" si="173"/>
        <v>4.2822474681857461</v>
      </c>
      <c r="M481">
        <f t="shared" si="173"/>
        <v>4.8563567309847393</v>
      </c>
      <c r="N481">
        <f t="shared" si="155"/>
        <v>7.2264521239597812E-3</v>
      </c>
      <c r="O481">
        <f t="shared" si="170"/>
        <v>4.8029439552041797</v>
      </c>
      <c r="P481">
        <f t="shared" si="174"/>
        <v>4.2833143257482424</v>
      </c>
      <c r="Q481">
        <f t="shared" si="172"/>
        <v>4.8764681772695511</v>
      </c>
      <c r="R481">
        <f t="shared" si="175"/>
        <v>4.3086767521787452</v>
      </c>
      <c r="S481">
        <f t="shared" si="175"/>
        <v>4.8252634198883344</v>
      </c>
      <c r="T481">
        <f t="shared" si="156"/>
        <v>-2.3866858972445115E-2</v>
      </c>
      <c r="U481">
        <f t="shared" si="157"/>
        <v>2.3866858972445115E-2</v>
      </c>
      <c r="V481">
        <f t="shared" si="164"/>
        <v>4.8008656343489244</v>
      </c>
      <c r="W481">
        <f t="shared" si="158"/>
        <v>4.8264644511855082E-2</v>
      </c>
      <c r="X481">
        <f t="shared" si="165"/>
        <v>4.8497120112690668</v>
      </c>
      <c r="Y481">
        <f t="shared" si="159"/>
        <v>-5.8173240828729433E-4</v>
      </c>
      <c r="Z481">
        <f t="shared" si="166"/>
        <v>4.9938639386518346</v>
      </c>
      <c r="AA481">
        <f t="shared" si="160"/>
        <v>-0.14473365979105512</v>
      </c>
      <c r="AB481">
        <f t="shared" si="161"/>
        <v>-3.3231097211392209</v>
      </c>
      <c r="AC481">
        <f t="shared" si="162"/>
        <v>4.5619171871431465</v>
      </c>
      <c r="AD481">
        <f t="shared" si="163"/>
        <v>0.28721309171763298</v>
      </c>
    </row>
    <row r="482" spans="1:30">
      <c r="A482">
        <v>480</v>
      </c>
      <c r="B482">
        <v>6.4367677906721177</v>
      </c>
      <c r="C482">
        <f t="shared" si="167"/>
        <v>5.0900218808785764</v>
      </c>
      <c r="D482">
        <f t="shared" si="167"/>
        <v>5.7405048993843089</v>
      </c>
      <c r="E482">
        <f t="shared" si="168"/>
        <v>5.5043209462923519</v>
      </c>
      <c r="F482">
        <f t="shared" si="171"/>
        <v>4.6998440667195212</v>
      </c>
      <c r="G482">
        <f t="shared" si="171"/>
        <v>4.1222130207800154</v>
      </c>
      <c r="H482">
        <f t="shared" si="171"/>
        <v>4.0917694885496241</v>
      </c>
      <c r="I482">
        <f t="shared" si="154"/>
        <v>-2.3449983021224936</v>
      </c>
      <c r="J482">
        <f t="shared" si="169"/>
        <v>5.3695576998195289</v>
      </c>
      <c r="K482">
        <f t="shared" si="173"/>
        <v>4.3599821711536846</v>
      </c>
      <c r="L482">
        <f t="shared" si="173"/>
        <v>4.1399524738361713</v>
      </c>
      <c r="M482">
        <f t="shared" si="173"/>
        <v>4.6417716826720179</v>
      </c>
      <c r="N482">
        <f t="shared" si="155"/>
        <v>-1.7949961080000998</v>
      </c>
      <c r="O482">
        <f t="shared" si="170"/>
        <v>5.582999717990047</v>
      </c>
      <c r="P482">
        <f t="shared" si="174"/>
        <v>4.3769586477062861</v>
      </c>
      <c r="Q482">
        <f t="shared" si="172"/>
        <v>4.7246304841119446</v>
      </c>
      <c r="R482">
        <f t="shared" si="175"/>
        <v>4.3492628128794264</v>
      </c>
      <c r="S482">
        <f t="shared" si="175"/>
        <v>4.7025062650747342</v>
      </c>
      <c r="T482">
        <f t="shared" si="156"/>
        <v>-1.7342615255973834</v>
      </c>
      <c r="U482">
        <f t="shared" si="157"/>
        <v>1.7342615255973834</v>
      </c>
      <c r="V482">
        <f t="shared" si="164"/>
        <v>4.8056920988001099</v>
      </c>
      <c r="W482">
        <f t="shared" si="158"/>
        <v>1.6310756918720077</v>
      </c>
      <c r="X482">
        <f t="shared" si="165"/>
        <v>4.849595664787409</v>
      </c>
      <c r="Y482">
        <f t="shared" si="159"/>
        <v>1.5871721258847087</v>
      </c>
      <c r="Z482">
        <f t="shared" si="166"/>
        <v>4.9504438407145184</v>
      </c>
      <c r="AA482">
        <f t="shared" si="160"/>
        <v>1.4863239499575993</v>
      </c>
      <c r="AB482">
        <f t="shared" si="161"/>
        <v>-1.7410322093278836</v>
      </c>
      <c r="AC482">
        <f t="shared" si="162"/>
        <v>4.5660185444226125</v>
      </c>
      <c r="AD482">
        <f t="shared" si="163"/>
        <v>1.8707492462495052</v>
      </c>
    </row>
    <row r="483" spans="1:30">
      <c r="A483">
        <v>481</v>
      </c>
      <c r="B483">
        <v>4.1940843867416033</v>
      </c>
      <c r="C483">
        <f t="shared" si="167"/>
        <v>5.642949034766449</v>
      </c>
      <c r="D483">
        <f t="shared" si="167"/>
        <v>5.4609690804433573</v>
      </c>
      <c r="E483">
        <f t="shared" si="168"/>
        <v>5.5389371841430899</v>
      </c>
      <c r="F483">
        <f t="shared" si="171"/>
        <v>5.2196377081731251</v>
      </c>
      <c r="G483">
        <f t="shared" si="171"/>
        <v>4.3465648315099665</v>
      </c>
      <c r="H483">
        <f t="shared" si="171"/>
        <v>4.0535406693193794</v>
      </c>
      <c r="I483">
        <f t="shared" si="154"/>
        <v>-0.14054371742222393</v>
      </c>
      <c r="J483">
        <f t="shared" si="169"/>
        <v>5.7374326573872931</v>
      </c>
      <c r="K483">
        <f t="shared" si="173"/>
        <v>4.7754084964346113</v>
      </c>
      <c r="L483">
        <f t="shared" si="173"/>
        <v>4.1555938061659452</v>
      </c>
      <c r="M483">
        <f t="shared" si="173"/>
        <v>4.4180440534490781</v>
      </c>
      <c r="N483">
        <f t="shared" si="155"/>
        <v>0.2239596667074748</v>
      </c>
      <c r="O483">
        <f t="shared" si="170"/>
        <v>5.4287630032581555</v>
      </c>
      <c r="P483">
        <f t="shared" si="174"/>
        <v>4.7661177651074924</v>
      </c>
      <c r="Q483">
        <f t="shared" si="172"/>
        <v>5.0752479277821694</v>
      </c>
      <c r="R483">
        <f t="shared" si="175"/>
        <v>4.3863186993474796</v>
      </c>
      <c r="S483">
        <f t="shared" si="175"/>
        <v>4.591709139350872</v>
      </c>
      <c r="T483">
        <f t="shared" si="156"/>
        <v>0.39762475260926866</v>
      </c>
      <c r="U483">
        <f t="shared" si="157"/>
        <v>-0.39762475260926866</v>
      </c>
      <c r="V483">
        <f t="shared" si="164"/>
        <v>4.9687996679873105</v>
      </c>
      <c r="W483">
        <f t="shared" si="158"/>
        <v>-0.77471528124570721</v>
      </c>
      <c r="X483">
        <f t="shared" si="165"/>
        <v>5.1670300899643511</v>
      </c>
      <c r="Y483">
        <f t="shared" si="159"/>
        <v>-0.97294570322274776</v>
      </c>
      <c r="Z483">
        <f t="shared" si="166"/>
        <v>5.3963410257017985</v>
      </c>
      <c r="AA483">
        <f t="shared" si="160"/>
        <v>-1.2022566389601952</v>
      </c>
      <c r="AB483">
        <f t="shared" si="161"/>
        <v>-3.9892756132583971</v>
      </c>
      <c r="AC483">
        <f t="shared" si="162"/>
        <v>4.5709818210431807</v>
      </c>
      <c r="AD483">
        <f t="shared" si="163"/>
        <v>-0.37689743430157741</v>
      </c>
    </row>
    <row r="484" spans="1:30">
      <c r="A484">
        <v>482</v>
      </c>
      <c r="B484">
        <v>6.4868822338722749</v>
      </c>
      <c r="C484">
        <f t="shared" si="167"/>
        <v>5.315426088706861</v>
      </c>
      <c r="D484">
        <f t="shared" si="167"/>
        <v>5.3664854578225132</v>
      </c>
      <c r="E484">
        <f t="shared" si="168"/>
        <v>5.1599941520915005</v>
      </c>
      <c r="F484">
        <f t="shared" si="171"/>
        <v>5.5287638790804072</v>
      </c>
      <c r="G484">
        <f t="shared" si="171"/>
        <v>4.7249829850848934</v>
      </c>
      <c r="H484">
        <f t="shared" si="171"/>
        <v>4.1586337071334718</v>
      </c>
      <c r="I484">
        <f t="shared" si="154"/>
        <v>-2.3282485267388031</v>
      </c>
      <c r="J484">
        <f t="shared" si="169"/>
        <v>5.2027239847927182</v>
      </c>
      <c r="K484">
        <f t="shared" si="173"/>
        <v>5.1100806293063696</v>
      </c>
      <c r="L484">
        <f t="shared" si="173"/>
        <v>4.3410370933729618</v>
      </c>
      <c r="M484">
        <f t="shared" si="173"/>
        <v>4.2647679062608725</v>
      </c>
      <c r="N484">
        <f t="shared" si="155"/>
        <v>-2.2221143276114024</v>
      </c>
      <c r="O484">
        <f t="shared" si="170"/>
        <v>5.4595556346086296</v>
      </c>
      <c r="P484">
        <f t="shared" si="174"/>
        <v>5.0600032635517493</v>
      </c>
      <c r="Q484">
        <f t="shared" si="172"/>
        <v>5.3515138294486393</v>
      </c>
      <c r="R484">
        <f t="shared" si="175"/>
        <v>4.4874740412894436</v>
      </c>
      <c r="S484">
        <f t="shared" si="175"/>
        <v>4.4976617483970953</v>
      </c>
      <c r="T484">
        <f t="shared" si="156"/>
        <v>-1.9892204854751796</v>
      </c>
      <c r="U484">
        <f t="shared" si="157"/>
        <v>1.9892204854751796</v>
      </c>
      <c r="V484">
        <f t="shared" si="164"/>
        <v>4.8913281398627397</v>
      </c>
      <c r="W484">
        <f t="shared" si="158"/>
        <v>1.5955540940095352</v>
      </c>
      <c r="X484">
        <f t="shared" si="165"/>
        <v>4.9724409493198012</v>
      </c>
      <c r="Y484">
        <f t="shared" si="159"/>
        <v>1.5144412845524737</v>
      </c>
      <c r="Z484">
        <f t="shared" si="166"/>
        <v>5.03566403401374</v>
      </c>
      <c r="AA484">
        <f t="shared" si="160"/>
        <v>1.451218199858535</v>
      </c>
      <c r="AB484">
        <f t="shared" si="161"/>
        <v>-1.7020377661277246</v>
      </c>
      <c r="AC484">
        <f t="shared" si="162"/>
        <v>4.5768058466773258</v>
      </c>
      <c r="AD484">
        <f t="shared" si="163"/>
        <v>1.9100763871949491</v>
      </c>
    </row>
    <row r="485" spans="1:30">
      <c r="A485">
        <v>483</v>
      </c>
      <c r="B485">
        <v>4.3432349756920727</v>
      </c>
      <c r="C485">
        <f t="shared" si="167"/>
        <v>5.3404833103069391</v>
      </c>
      <c r="D485">
        <f t="shared" si="167"/>
        <v>5.479187561736655</v>
      </c>
      <c r="E485">
        <f t="shared" si="168"/>
        <v>5.7059114704286662</v>
      </c>
      <c r="F485">
        <f t="shared" si="171"/>
        <v>5.4010840941756477</v>
      </c>
      <c r="G485">
        <f t="shared" si="171"/>
        <v>5.1494152179910175</v>
      </c>
      <c r="H485">
        <f t="shared" si="171"/>
        <v>4.3979202791249579</v>
      </c>
      <c r="I485">
        <f t="shared" si="154"/>
        <v>5.4685303432885135E-2</v>
      </c>
      <c r="J485">
        <f t="shared" si="169"/>
        <v>5.4917161725366945</v>
      </c>
      <c r="K485">
        <f t="shared" si="173"/>
        <v>5.2752779290723923</v>
      </c>
      <c r="L485">
        <f t="shared" si="173"/>
        <v>4.596424963590481</v>
      </c>
      <c r="M485">
        <f t="shared" si="173"/>
        <v>4.2297077103902057</v>
      </c>
      <c r="N485">
        <f t="shared" si="155"/>
        <v>-0.11352726530186708</v>
      </c>
      <c r="O485">
        <f t="shared" si="170"/>
        <v>5.2620199331677702</v>
      </c>
      <c r="P485">
        <f t="shared" si="174"/>
        <v>5.1947985672446375</v>
      </c>
      <c r="Q485">
        <f t="shared" si="172"/>
        <v>5.6051162083605091</v>
      </c>
      <c r="R485">
        <f t="shared" si="175"/>
        <v>4.706890215536089</v>
      </c>
      <c r="S485">
        <f t="shared" si="175"/>
        <v>4.4336043708226454</v>
      </c>
      <c r="T485">
        <f t="shared" si="156"/>
        <v>9.0369395130572627E-2</v>
      </c>
      <c r="U485">
        <f t="shared" si="157"/>
        <v>-9.0369395130572627E-2</v>
      </c>
      <c r="V485">
        <f t="shared" si="164"/>
        <v>5.050883549263693</v>
      </c>
      <c r="W485">
        <f t="shared" si="158"/>
        <v>-0.70764857357162025</v>
      </c>
      <c r="X485">
        <f t="shared" si="165"/>
        <v>5.2753292062302961</v>
      </c>
      <c r="Y485">
        <f t="shared" si="159"/>
        <v>-0.93209423053822338</v>
      </c>
      <c r="Z485">
        <f t="shared" si="166"/>
        <v>5.4710294939713009</v>
      </c>
      <c r="AA485">
        <f t="shared" si="160"/>
        <v>-1.1277945182792282</v>
      </c>
      <c r="AB485">
        <f t="shared" si="161"/>
        <v>-3.8512450243079277</v>
      </c>
      <c r="AC485">
        <f t="shared" si="162"/>
        <v>4.5834892119061079</v>
      </c>
      <c r="AD485">
        <f t="shared" si="163"/>
        <v>-0.24025423621403519</v>
      </c>
    </row>
    <row r="486" spans="1:30">
      <c r="A486">
        <v>484</v>
      </c>
      <c r="B486">
        <v>6.0529617496035879</v>
      </c>
      <c r="C486">
        <f t="shared" si="167"/>
        <v>5.4150586047821738</v>
      </c>
      <c r="D486">
        <f t="shared" si="167"/>
        <v>5.3279546995069005</v>
      </c>
      <c r="E486">
        <f t="shared" si="168"/>
        <v>5.00806719876865</v>
      </c>
      <c r="F486">
        <f t="shared" si="171"/>
        <v>5.4682809355544189</v>
      </c>
      <c r="G486">
        <f t="shared" si="171"/>
        <v>5.383161893809727</v>
      </c>
      <c r="H486">
        <f t="shared" si="171"/>
        <v>4.7403210115286258</v>
      </c>
      <c r="I486">
        <f t="shared" si="154"/>
        <v>-1.3126407380749621</v>
      </c>
      <c r="J486">
        <f t="shared" si="169"/>
        <v>5.3652423467445178</v>
      </c>
      <c r="K486">
        <f t="shared" si="173"/>
        <v>5.4503576286340589</v>
      </c>
      <c r="L486">
        <f t="shared" si="173"/>
        <v>4.8801873064917647</v>
      </c>
      <c r="M486">
        <f t="shared" si="173"/>
        <v>4.3082520842413903</v>
      </c>
      <c r="N486">
        <f t="shared" si="155"/>
        <v>-1.7447096653621976</v>
      </c>
      <c r="O486">
        <f t="shared" si="170"/>
        <v>5.5027862273163324</v>
      </c>
      <c r="P486">
        <f t="shared" si="174"/>
        <v>5.3072564488457568</v>
      </c>
      <c r="Q486">
        <f t="shared" si="172"/>
        <v>5.2735021914558704</v>
      </c>
      <c r="R486">
        <f t="shared" si="175"/>
        <v>4.9979848998372534</v>
      </c>
      <c r="S486">
        <f t="shared" si="175"/>
        <v>4.4402606152310451</v>
      </c>
      <c r="T486">
        <f t="shared" si="156"/>
        <v>-1.6127011343725428</v>
      </c>
      <c r="U486">
        <f t="shared" si="157"/>
        <v>1.6127011343725428</v>
      </c>
      <c r="V486">
        <f t="shared" si="164"/>
        <v>4.9801186919065312</v>
      </c>
      <c r="W486">
        <f t="shared" si="158"/>
        <v>1.0728430576970567</v>
      </c>
      <c r="X486">
        <f t="shared" si="165"/>
        <v>5.0889103601226511</v>
      </c>
      <c r="Y486">
        <f t="shared" si="159"/>
        <v>0.96405138948093683</v>
      </c>
      <c r="Z486">
        <f t="shared" si="166"/>
        <v>5.132691138487532</v>
      </c>
      <c r="AA486">
        <f t="shared" si="160"/>
        <v>0.9202706111160559</v>
      </c>
      <c r="AB486">
        <f t="shared" si="161"/>
        <v>-2.1470782503964134</v>
      </c>
      <c r="AC486">
        <f t="shared" si="162"/>
        <v>4.5910302686106697</v>
      </c>
      <c r="AD486">
        <f t="shared" si="163"/>
        <v>1.4619314809929183</v>
      </c>
    </row>
    <row r="487" spans="1:30">
      <c r="A487">
        <v>485</v>
      </c>
      <c r="B487">
        <v>3.7135689344800284</v>
      </c>
      <c r="C487">
        <f t="shared" si="167"/>
        <v>5.1980983626478299</v>
      </c>
      <c r="D487">
        <f t="shared" si="167"/>
        <v>5.3777709575445565</v>
      </c>
      <c r="E487">
        <f t="shared" si="168"/>
        <v>5.6276929863893121</v>
      </c>
      <c r="F487">
        <f t="shared" si="171"/>
        <v>5.2913242737629389</v>
      </c>
      <c r="G487">
        <f t="shared" si="171"/>
        <v>5.4660429696034916</v>
      </c>
      <c r="H487">
        <f t="shared" si="171"/>
        <v>5.0858533656285454</v>
      </c>
      <c r="I487">
        <f t="shared" si="154"/>
        <v>1.3722844311485169</v>
      </c>
      <c r="J487">
        <f t="shared" si="169"/>
        <v>5.2692908364773849</v>
      </c>
      <c r="K487">
        <f t="shared" si="173"/>
        <v>5.4492787903653053</v>
      </c>
      <c r="L487">
        <f t="shared" si="173"/>
        <v>5.1527811708618581</v>
      </c>
      <c r="M487">
        <f t="shared" si="173"/>
        <v>4.4933107924052882</v>
      </c>
      <c r="N487">
        <f t="shared" si="155"/>
        <v>0.77974185792525974</v>
      </c>
      <c r="O487">
        <f t="shared" si="170"/>
        <v>4.9581464560779143</v>
      </c>
      <c r="P487">
        <f t="shared" si="174"/>
        <v>5.4472249032681876</v>
      </c>
      <c r="Q487">
        <f t="shared" si="172"/>
        <v>5.3938435692404063</v>
      </c>
      <c r="R487">
        <f t="shared" si="175"/>
        <v>5.1510798030714469</v>
      </c>
      <c r="S487">
        <f t="shared" si="175"/>
        <v>4.5394345701780727</v>
      </c>
      <c r="T487">
        <f t="shared" si="156"/>
        <v>0.82586563569804428</v>
      </c>
      <c r="U487">
        <f t="shared" si="157"/>
        <v>-0.82586563569804428</v>
      </c>
      <c r="V487">
        <f t="shared" si="164"/>
        <v>5.0874029976762367</v>
      </c>
      <c r="W487">
        <f t="shared" si="158"/>
        <v>-1.3738340631962083</v>
      </c>
      <c r="X487">
        <f t="shared" si="165"/>
        <v>5.2817206380188386</v>
      </c>
      <c r="Y487">
        <f t="shared" si="159"/>
        <v>-1.5681517035388102</v>
      </c>
      <c r="Z487">
        <f t="shared" si="166"/>
        <v>5.4087723218223491</v>
      </c>
      <c r="AA487">
        <f t="shared" si="160"/>
        <v>-1.6952033873423207</v>
      </c>
      <c r="AB487">
        <f t="shared" si="161"/>
        <v>-4.4920310655199724</v>
      </c>
      <c r="AC487">
        <f t="shared" si="162"/>
        <v>4.5994271304300414</v>
      </c>
      <c r="AD487">
        <f t="shared" si="163"/>
        <v>-0.88585819595001292</v>
      </c>
    </row>
    <row r="488" spans="1:30">
      <c r="A488">
        <v>486</v>
      </c>
      <c r="B488">
        <v>6.565438462533856</v>
      </c>
      <c r="C488">
        <f t="shared" si="167"/>
        <v>4.883265342041808</v>
      </c>
      <c r="D488">
        <f t="shared" si="167"/>
        <v>5.3065784837150023</v>
      </c>
      <c r="E488">
        <f t="shared" si="168"/>
        <v>4.7032552199252295</v>
      </c>
      <c r="F488">
        <f t="shared" si="171"/>
        <v>5.4472238851955437</v>
      </c>
      <c r="G488">
        <f t="shared" si="171"/>
        <v>5.3868964344976682</v>
      </c>
      <c r="H488">
        <f t="shared" si="171"/>
        <v>5.3328733604680787</v>
      </c>
      <c r="I488">
        <f t="shared" si="154"/>
        <v>-1.2325651020657773</v>
      </c>
      <c r="J488">
        <f t="shared" si="169"/>
        <v>5.1491619734119913</v>
      </c>
      <c r="K488">
        <f t="shared" si="173"/>
        <v>5.3322433351378296</v>
      </c>
      <c r="L488">
        <f t="shared" si="173"/>
        <v>5.3212487443445315</v>
      </c>
      <c r="M488">
        <f t="shared" si="173"/>
        <v>4.7426076335792668</v>
      </c>
      <c r="N488">
        <f t="shared" si="155"/>
        <v>-1.8228308289545891</v>
      </c>
      <c r="O488">
        <f t="shared" si="170"/>
        <v>5.4324172712363641</v>
      </c>
      <c r="P488">
        <f t="shared" si="174"/>
        <v>5.3222542508857602</v>
      </c>
      <c r="Q488">
        <f t="shared" si="172"/>
        <v>5.2045833451769488</v>
      </c>
      <c r="R488">
        <f t="shared" si="175"/>
        <v>5.2373090350665894</v>
      </c>
      <c r="S488">
        <f t="shared" si="175"/>
        <v>4.6798350786601892</v>
      </c>
      <c r="T488">
        <f t="shared" si="156"/>
        <v>-1.8856033838736668</v>
      </c>
      <c r="U488">
        <f t="shared" si="157"/>
        <v>1.8856033838736668</v>
      </c>
      <c r="V488">
        <f t="shared" si="164"/>
        <v>4.9500195913566163</v>
      </c>
      <c r="W488">
        <f t="shared" si="158"/>
        <v>1.6154188711772397</v>
      </c>
      <c r="X488">
        <f t="shared" si="165"/>
        <v>4.9680902973110763</v>
      </c>
      <c r="Y488">
        <f t="shared" si="159"/>
        <v>1.5973481652227797</v>
      </c>
      <c r="Z488">
        <f t="shared" si="166"/>
        <v>4.9002113056196528</v>
      </c>
      <c r="AA488">
        <f t="shared" si="160"/>
        <v>1.6652271569142032</v>
      </c>
      <c r="AB488">
        <f t="shared" si="161"/>
        <v>-1.6457215374661436</v>
      </c>
      <c r="AC488">
        <f t="shared" si="162"/>
        <v>4.6086776732851051</v>
      </c>
      <c r="AD488">
        <f t="shared" si="163"/>
        <v>1.9567607892487509</v>
      </c>
    </row>
    <row r="489" spans="1:30">
      <c r="A489">
        <v>487</v>
      </c>
      <c r="B489">
        <v>6.9789517873578166</v>
      </c>
      <c r="C489">
        <f t="shared" si="167"/>
        <v>5.1395036985069424</v>
      </c>
      <c r="D489">
        <f t="shared" si="167"/>
        <v>5.0406818523448189</v>
      </c>
      <c r="E489">
        <f t="shared" si="168"/>
        <v>5.443989715539157</v>
      </c>
      <c r="F489">
        <f t="shared" si="171"/>
        <v>5.1130051350277306</v>
      </c>
      <c r="G489">
        <f t="shared" si="171"/>
        <v>5.4022763648376335</v>
      </c>
      <c r="H489">
        <f t="shared" si="171"/>
        <v>5.4120337659702953</v>
      </c>
      <c r="I489">
        <f t="shared" si="154"/>
        <v>-1.5669180213875213</v>
      </c>
      <c r="J489">
        <f t="shared" si="169"/>
        <v>5.1688010305773862</v>
      </c>
      <c r="K489">
        <f t="shared" si="173"/>
        <v>5.3188528322926469</v>
      </c>
      <c r="L489">
        <f t="shared" si="173"/>
        <v>5.3767894208023961</v>
      </c>
      <c r="M489">
        <f t="shared" si="173"/>
        <v>4.987660546322159</v>
      </c>
      <c r="N489">
        <f t="shared" si="155"/>
        <v>-1.9912912410356576</v>
      </c>
      <c r="O489">
        <f t="shared" si="170"/>
        <v>5.5308311819334719</v>
      </c>
      <c r="P489">
        <f t="shared" si="174"/>
        <v>5.3229851044814023</v>
      </c>
      <c r="Q489">
        <f t="shared" si="172"/>
        <v>5.2260284571539044</v>
      </c>
      <c r="R489">
        <f t="shared" si="175"/>
        <v>5.3173011785774245</v>
      </c>
      <c r="S489">
        <f t="shared" si="175"/>
        <v>4.8278427823580499</v>
      </c>
      <c r="T489">
        <f t="shared" si="156"/>
        <v>-2.1511090049997668</v>
      </c>
      <c r="U489">
        <f t="shared" si="157"/>
        <v>2.1511090049997668</v>
      </c>
      <c r="V489">
        <f t="shared" si="164"/>
        <v>5.1115614784743402</v>
      </c>
      <c r="W489">
        <f t="shared" si="158"/>
        <v>1.8673903088834765</v>
      </c>
      <c r="X489">
        <f t="shared" si="165"/>
        <v>5.2875599303556324</v>
      </c>
      <c r="Y489">
        <f t="shared" si="159"/>
        <v>1.6913918570021842</v>
      </c>
      <c r="Z489">
        <f t="shared" si="166"/>
        <v>5.399779452693914</v>
      </c>
      <c r="AA489">
        <f t="shared" si="160"/>
        <v>1.5791723346639026</v>
      </c>
      <c r="AB489">
        <f t="shared" si="161"/>
        <v>-1.2377682126421838</v>
      </c>
      <c r="AC489">
        <f t="shared" si="162"/>
        <v>4.6187795359686161</v>
      </c>
      <c r="AD489">
        <f t="shared" si="163"/>
        <v>2.3601722513892005</v>
      </c>
    </row>
    <row r="490" spans="1:30">
      <c r="A490">
        <v>488</v>
      </c>
      <c r="B490">
        <v>6.1952470470857053</v>
      </c>
      <c r="C490">
        <f t="shared" si="167"/>
        <v>6.7721951249458368</v>
      </c>
      <c r="D490">
        <f t="shared" si="167"/>
        <v>5.0113845202743752</v>
      </c>
      <c r="E490">
        <f t="shared" si="168"/>
        <v>5.7526530614572335</v>
      </c>
      <c r="F490">
        <f t="shared" si="171"/>
        <v>5.2583126406178993</v>
      </c>
      <c r="G490">
        <f t="shared" si="171"/>
        <v>5.283851097995405</v>
      </c>
      <c r="H490">
        <f t="shared" si="171"/>
        <v>5.4184052563129308</v>
      </c>
      <c r="I490">
        <f t="shared" si="154"/>
        <v>-0.77684179077277449</v>
      </c>
      <c r="J490">
        <f t="shared" si="169"/>
        <v>5.8277302334938224</v>
      </c>
      <c r="K490">
        <f t="shared" si="173"/>
        <v>5.2381240468028203</v>
      </c>
      <c r="L490">
        <f t="shared" si="173"/>
        <v>5.3876831466074595</v>
      </c>
      <c r="M490">
        <f t="shared" si="173"/>
        <v>5.1827516606251383</v>
      </c>
      <c r="N490">
        <f t="shared" si="155"/>
        <v>-1.012495386460567</v>
      </c>
      <c r="O490">
        <f t="shared" si="170"/>
        <v>5.9012335962121991</v>
      </c>
      <c r="P490">
        <f t="shared" si="174"/>
        <v>5.3372402139463704</v>
      </c>
      <c r="Q490">
        <f t="shared" si="172"/>
        <v>5.6901730239232728</v>
      </c>
      <c r="R490">
        <f t="shared" si="175"/>
        <v>5.3424312668060461</v>
      </c>
      <c r="S490">
        <f t="shared" si="175"/>
        <v>4.9830065288963743</v>
      </c>
      <c r="T490">
        <f t="shared" si="156"/>
        <v>-1.212240518189331</v>
      </c>
      <c r="U490">
        <f t="shared" si="157"/>
        <v>1.212240518189331</v>
      </c>
      <c r="V490">
        <f t="shared" si="164"/>
        <v>5.2983005093626883</v>
      </c>
      <c r="W490">
        <f t="shared" si="158"/>
        <v>0.89694653772301702</v>
      </c>
      <c r="X490">
        <f t="shared" si="165"/>
        <v>5.6258383017560689</v>
      </c>
      <c r="Y490">
        <f t="shared" si="159"/>
        <v>0.56940874532963637</v>
      </c>
      <c r="Z490">
        <f t="shared" si="166"/>
        <v>5.8735311530930847</v>
      </c>
      <c r="AA490">
        <f t="shared" si="160"/>
        <v>0.32171589399262057</v>
      </c>
      <c r="AB490">
        <f t="shared" si="161"/>
        <v>-2.0270329529142961</v>
      </c>
      <c r="AC490">
        <f t="shared" si="162"/>
        <v>4.6297301208010726</v>
      </c>
      <c r="AD490">
        <f t="shared" si="163"/>
        <v>1.5655169262846327</v>
      </c>
    </row>
    <row r="491" spans="1:30">
      <c r="A491">
        <v>489</v>
      </c>
      <c r="B491">
        <v>5.2875920377345782</v>
      </c>
      <c r="C491">
        <f t="shared" si="167"/>
        <v>6.5870994172217614</v>
      </c>
      <c r="D491">
        <f t="shared" si="167"/>
        <v>5.9558494117263896</v>
      </c>
      <c r="E491">
        <f t="shared" si="168"/>
        <v>6.5798790989924596</v>
      </c>
      <c r="F491">
        <f t="shared" si="171"/>
        <v>5.2999659989738737</v>
      </c>
      <c r="G491">
        <f t="shared" si="171"/>
        <v>5.2728472202803909</v>
      </c>
      <c r="H491">
        <f t="shared" si="171"/>
        <v>5.3576746324435689</v>
      </c>
      <c r="I491">
        <f t="shared" si="154"/>
        <v>7.0082594708990698E-2</v>
      </c>
      <c r="J491">
        <f t="shared" si="169"/>
        <v>5.863301557864351</v>
      </c>
      <c r="K491">
        <f t="shared" si="173"/>
        <v>5.3537460184901464</v>
      </c>
      <c r="L491">
        <f t="shared" si="173"/>
        <v>5.3346247511496498</v>
      </c>
      <c r="M491">
        <f t="shared" si="173"/>
        <v>5.309625620654062</v>
      </c>
      <c r="N491">
        <f t="shared" si="155"/>
        <v>2.2033582919483763E-2</v>
      </c>
      <c r="O491">
        <f t="shared" si="170"/>
        <v>5.748159653838397</v>
      </c>
      <c r="P491">
        <f t="shared" si="174"/>
        <v>5.4650829465552562</v>
      </c>
      <c r="Q491">
        <f t="shared" si="172"/>
        <v>5.6415671594588446</v>
      </c>
      <c r="R491">
        <f t="shared" si="175"/>
        <v>5.3988744658851529</v>
      </c>
      <c r="S491">
        <f t="shared" si="175"/>
        <v>5.1254993998158076</v>
      </c>
      <c r="T491">
        <f t="shared" si="156"/>
        <v>-0.1620926379187706</v>
      </c>
      <c r="U491">
        <f t="shared" si="157"/>
        <v>0.1620926379187706</v>
      </c>
      <c r="V491">
        <f t="shared" si="164"/>
        <v>5.3879951631349901</v>
      </c>
      <c r="W491">
        <f t="shared" si="158"/>
        <v>-0.10040312540041185</v>
      </c>
      <c r="X491">
        <f t="shared" si="165"/>
        <v>5.7397200508219965</v>
      </c>
      <c r="Y491">
        <f t="shared" si="159"/>
        <v>-0.45212801308741835</v>
      </c>
      <c r="Z491">
        <f t="shared" si="166"/>
        <v>5.970045921290871</v>
      </c>
      <c r="AA491">
        <f t="shared" si="160"/>
        <v>-0.68245388355629277</v>
      </c>
      <c r="AB491">
        <f t="shared" si="161"/>
        <v>-2.9402479622654223</v>
      </c>
      <c r="AC491">
        <f t="shared" si="162"/>
        <v>4.6415265943522774</v>
      </c>
      <c r="AD491">
        <f t="shared" si="163"/>
        <v>0.64606544338230076</v>
      </c>
    </row>
    <row r="492" spans="1:30">
      <c r="A492">
        <v>490</v>
      </c>
      <c r="B492">
        <v>4.9549159663866309</v>
      </c>
      <c r="C492">
        <f t="shared" si="167"/>
        <v>5.7414195424101422</v>
      </c>
      <c r="D492">
        <f t="shared" si="167"/>
        <v>6.6796472710837991</v>
      </c>
      <c r="E492">
        <f t="shared" si="168"/>
        <v>6.1539302907260334</v>
      </c>
      <c r="F492">
        <f t="shared" si="171"/>
        <v>5.9255072919962837</v>
      </c>
      <c r="G492">
        <f t="shared" si="171"/>
        <v>5.2237612582065012</v>
      </c>
      <c r="H492">
        <f t="shared" si="171"/>
        <v>5.3196582277044762</v>
      </c>
      <c r="I492">
        <f t="shared" si="154"/>
        <v>0.36474226131784526</v>
      </c>
      <c r="J492">
        <f t="shared" si="169"/>
        <v>6.2568073336779886</v>
      </c>
      <c r="K492">
        <f t="shared" si="173"/>
        <v>5.5022486988368877</v>
      </c>
      <c r="L492">
        <f t="shared" si="173"/>
        <v>5.3107415581808608</v>
      </c>
      <c r="M492">
        <f t="shared" si="173"/>
        <v>5.3550865157260095</v>
      </c>
      <c r="N492">
        <f t="shared" si="155"/>
        <v>0.40017054933937857</v>
      </c>
      <c r="O492">
        <f t="shared" si="170"/>
        <v>5.9964290602197163</v>
      </c>
      <c r="P492">
        <f t="shared" si="174"/>
        <v>5.5141576318596695</v>
      </c>
      <c r="Q492">
        <f t="shared" si="172"/>
        <v>5.7989600031325956</v>
      </c>
      <c r="R492">
        <f t="shared" si="175"/>
        <v>5.4049496244015414</v>
      </c>
      <c r="S492">
        <f t="shared" si="175"/>
        <v>5.2408301082073185</v>
      </c>
      <c r="T492">
        <f t="shared" si="156"/>
        <v>0.28591414182068764</v>
      </c>
      <c r="U492">
        <f t="shared" si="157"/>
        <v>-0.28591414182068764</v>
      </c>
      <c r="V492">
        <f t="shared" si="164"/>
        <v>5.377954850594949</v>
      </c>
      <c r="W492">
        <f t="shared" si="158"/>
        <v>-0.42303888420831814</v>
      </c>
      <c r="X492">
        <f t="shared" si="165"/>
        <v>5.6492944482045129</v>
      </c>
      <c r="Y492">
        <f t="shared" si="159"/>
        <v>-0.69437848181788198</v>
      </c>
      <c r="Z492">
        <f t="shared" si="166"/>
        <v>5.7653097562239832</v>
      </c>
      <c r="AA492">
        <f t="shared" si="160"/>
        <v>-0.81039378983735233</v>
      </c>
      <c r="AB492">
        <f t="shared" si="161"/>
        <v>-3.2784840336133687</v>
      </c>
      <c r="AC492">
        <f t="shared" si="162"/>
        <v>4.6541658882283832</v>
      </c>
      <c r="AD492">
        <f t="shared" si="163"/>
        <v>0.30075007815824772</v>
      </c>
    </row>
    <row r="493" spans="1:30">
      <c r="A493">
        <v>491</v>
      </c>
      <c r="B493">
        <v>4.6379793175402719</v>
      </c>
      <c r="C493">
        <f t="shared" si="167"/>
        <v>5.1212540020606045</v>
      </c>
      <c r="D493">
        <f t="shared" si="167"/>
        <v>6.1642594798159518</v>
      </c>
      <c r="E493">
        <f t="shared" si="168"/>
        <v>5.4792516837356375</v>
      </c>
      <c r="F493">
        <f t="shared" si="171"/>
        <v>6.1621541503919088</v>
      </c>
      <c r="G493">
        <f t="shared" si="171"/>
        <v>5.4945953105293519</v>
      </c>
      <c r="H493">
        <f t="shared" si="171"/>
        <v>5.2601531921607654</v>
      </c>
      <c r="I493">
        <f t="shared" si="154"/>
        <v>0.62217387462049345</v>
      </c>
      <c r="J493">
        <f t="shared" si="169"/>
        <v>5.8541767096411821</v>
      </c>
      <c r="K493">
        <f t="shared" si="173"/>
        <v>5.7791600389033864</v>
      </c>
      <c r="L493">
        <f t="shared" si="173"/>
        <v>5.3532428991056253</v>
      </c>
      <c r="M493">
        <f t="shared" si="173"/>
        <v>5.3524597191850916</v>
      </c>
      <c r="N493">
        <f t="shared" si="155"/>
        <v>0.71448040164481963</v>
      </c>
      <c r="O493">
        <f t="shared" si="170"/>
        <v>5.6109372312209995</v>
      </c>
      <c r="P493">
        <f t="shared" si="174"/>
        <v>5.7218141526880286</v>
      </c>
      <c r="Q493">
        <f t="shared" si="172"/>
        <v>5.6159523725964355</v>
      </c>
      <c r="R493">
        <f t="shared" si="175"/>
        <v>5.4925259263476631</v>
      </c>
      <c r="S493">
        <f t="shared" si="175"/>
        <v>5.3086575623013674</v>
      </c>
      <c r="T493">
        <f t="shared" si="156"/>
        <v>0.6706782447610955</v>
      </c>
      <c r="U493">
        <f t="shared" si="157"/>
        <v>-0.6706782447610955</v>
      </c>
      <c r="V493">
        <f t="shared" si="164"/>
        <v>5.3356509621741175</v>
      </c>
      <c r="W493">
        <f t="shared" si="158"/>
        <v>-0.69767164463384557</v>
      </c>
      <c r="X493">
        <f t="shared" si="165"/>
        <v>5.5104187518409367</v>
      </c>
      <c r="Y493">
        <f t="shared" si="159"/>
        <v>-0.87243943430066473</v>
      </c>
      <c r="Z493">
        <f t="shared" si="166"/>
        <v>5.5221916192727774</v>
      </c>
      <c r="AA493">
        <f t="shared" si="160"/>
        <v>-0.88421230173250542</v>
      </c>
      <c r="AB493">
        <f t="shared" si="161"/>
        <v>-3.6009806824597286</v>
      </c>
      <c r="AC493">
        <f t="shared" si="162"/>
        <v>4.6676446999242076</v>
      </c>
      <c r="AD493">
        <f t="shared" si="163"/>
        <v>-2.9665382383935679E-2</v>
      </c>
    </row>
    <row r="494" spans="1:30">
      <c r="A494">
        <v>492</v>
      </c>
      <c r="B494">
        <v>4.2359666735936266</v>
      </c>
      <c r="C494">
        <f t="shared" si="167"/>
        <v>4.7964476419634519</v>
      </c>
      <c r="D494">
        <f t="shared" si="167"/>
        <v>5.4313367722353734</v>
      </c>
      <c r="E494">
        <f t="shared" si="168"/>
        <v>4.9601624405538267</v>
      </c>
      <c r="F494">
        <f t="shared" si="171"/>
        <v>6.0710203578180435</v>
      </c>
      <c r="G494">
        <f t="shared" si="171"/>
        <v>5.7958758137873554</v>
      </c>
      <c r="H494">
        <f t="shared" si="171"/>
        <v>5.3304012630054141</v>
      </c>
      <c r="I494">
        <f t="shared" si="154"/>
        <v>1.0944345894117875</v>
      </c>
      <c r="J494">
        <f t="shared" si="169"/>
        <v>5.2689335921867961</v>
      </c>
      <c r="K494">
        <f t="shared" si="173"/>
        <v>5.9505039586693353</v>
      </c>
      <c r="L494">
        <f t="shared" si="173"/>
        <v>5.4683197007583093</v>
      </c>
      <c r="M494">
        <f t="shared" si="173"/>
        <v>5.3465730887608984</v>
      </c>
      <c r="N494">
        <f t="shared" si="155"/>
        <v>1.1106064151672719</v>
      </c>
      <c r="O494">
        <f t="shared" si="170"/>
        <v>5.0623402084681626</v>
      </c>
      <c r="P494">
        <f t="shared" si="174"/>
        <v>5.7575181446849566</v>
      </c>
      <c r="Q494">
        <f t="shared" si="172"/>
        <v>5.7700207697731427</v>
      </c>
      <c r="R494">
        <f t="shared" si="175"/>
        <v>5.5295440602403332</v>
      </c>
      <c r="S494">
        <f t="shared" si="175"/>
        <v>5.36556524951407</v>
      </c>
      <c r="T494">
        <f t="shared" si="156"/>
        <v>1.1295985759204434</v>
      </c>
      <c r="U494">
        <f t="shared" si="157"/>
        <v>-1.1295985759204434</v>
      </c>
      <c r="V494">
        <f t="shared" si="164"/>
        <v>5.2658837977107327</v>
      </c>
      <c r="W494">
        <f t="shared" si="158"/>
        <v>-1.0299171241171061</v>
      </c>
      <c r="X494">
        <f t="shared" si="165"/>
        <v>5.3359308649808037</v>
      </c>
      <c r="Y494">
        <f t="shared" si="159"/>
        <v>-1.0999641913871772</v>
      </c>
      <c r="Z494">
        <f t="shared" si="166"/>
        <v>5.2569279287530257</v>
      </c>
      <c r="AA494">
        <f t="shared" si="160"/>
        <v>-1.0209612551593992</v>
      </c>
      <c r="AB494">
        <f t="shared" si="161"/>
        <v>-4.0085533264063731</v>
      </c>
      <c r="AC494">
        <f t="shared" si="162"/>
        <v>4.6819594937405666</v>
      </c>
      <c r="AD494">
        <f t="shared" si="163"/>
        <v>-0.44599282014694008</v>
      </c>
    </row>
    <row r="495" spans="1:30">
      <c r="A495">
        <v>493</v>
      </c>
      <c r="B495">
        <v>3.0703103376671352</v>
      </c>
      <c r="C495">
        <f t="shared" si="167"/>
        <v>4.4369729955669488</v>
      </c>
      <c r="D495">
        <f t="shared" si="167"/>
        <v>4.9588508220120282</v>
      </c>
      <c r="E495">
        <f t="shared" si="168"/>
        <v>4.6096206525068437</v>
      </c>
      <c r="F495">
        <f t="shared" si="171"/>
        <v>5.5311148050051662</v>
      </c>
      <c r="G495">
        <f t="shared" si="171"/>
        <v>6.0528939334020784</v>
      </c>
      <c r="H495">
        <f t="shared" si="171"/>
        <v>5.5047441275077356</v>
      </c>
      <c r="I495">
        <f t="shared" si="154"/>
        <v>2.4344337898406003</v>
      </c>
      <c r="J495">
        <f t="shared" si="169"/>
        <v>4.7791134988137767</v>
      </c>
      <c r="K495">
        <f t="shared" si="173"/>
        <v>5.8108047983425806</v>
      </c>
      <c r="L495">
        <f t="shared" si="173"/>
        <v>5.6464146787249394</v>
      </c>
      <c r="M495">
        <f t="shared" si="173"/>
        <v>5.3667322272986109</v>
      </c>
      <c r="N495">
        <f t="shared" si="155"/>
        <v>2.2964218896314756</v>
      </c>
      <c r="O495">
        <f t="shared" si="170"/>
        <v>4.4373528665844484</v>
      </c>
      <c r="P495">
        <f t="shared" si="174"/>
        <v>5.6638199499918951</v>
      </c>
      <c r="Q495">
        <f t="shared" si="172"/>
        <v>5.3817754716164385</v>
      </c>
      <c r="R495">
        <f t="shared" si="175"/>
        <v>5.6237836310063658</v>
      </c>
      <c r="S495">
        <f t="shared" si="175"/>
        <v>5.4142710870430264</v>
      </c>
      <c r="T495">
        <f t="shared" si="156"/>
        <v>2.3439607493758912</v>
      </c>
      <c r="U495">
        <f t="shared" si="157"/>
        <v>-2.3439607493758912</v>
      </c>
      <c r="V495">
        <f t="shared" si="164"/>
        <v>5.1628920852990223</v>
      </c>
      <c r="W495">
        <f t="shared" si="158"/>
        <v>-2.0925817476318871</v>
      </c>
      <c r="X495">
        <f t="shared" si="165"/>
        <v>5.1159380267033683</v>
      </c>
      <c r="Y495">
        <f t="shared" si="159"/>
        <v>-2.045627689036233</v>
      </c>
      <c r="Z495">
        <f t="shared" si="166"/>
        <v>4.9506395522052058</v>
      </c>
      <c r="AA495">
        <f t="shared" si="160"/>
        <v>-1.8803292145380706</v>
      </c>
      <c r="AB495">
        <f t="shared" si="161"/>
        <v>-5.1797696623328653</v>
      </c>
      <c r="AC495">
        <f t="shared" si="162"/>
        <v>4.6971065017664024</v>
      </c>
      <c r="AD495">
        <f t="shared" si="163"/>
        <v>-1.6267961640992672</v>
      </c>
    </row>
    <row r="496" spans="1:30">
      <c r="A496">
        <v>494</v>
      </c>
      <c r="B496">
        <v>5.2729447873260451</v>
      </c>
      <c r="C496">
        <f t="shared" si="167"/>
        <v>3.6531385056303809</v>
      </c>
      <c r="D496">
        <f t="shared" si="167"/>
        <v>4.6167103187652003</v>
      </c>
      <c r="E496">
        <f t="shared" si="168"/>
        <v>3.9814187762670108</v>
      </c>
      <c r="F496">
        <f t="shared" si="171"/>
        <v>5.0163449255987693</v>
      </c>
      <c r="G496">
        <f t="shared" si="171"/>
        <v>5.9214297710717068</v>
      </c>
      <c r="H496">
        <f t="shared" si="171"/>
        <v>5.7811216859062613</v>
      </c>
      <c r="I496">
        <f t="shared" si="154"/>
        <v>0.5081768985802162</v>
      </c>
      <c r="J496">
        <f t="shared" si="169"/>
        <v>4.2247930737969162</v>
      </c>
      <c r="K496">
        <f t="shared" si="173"/>
        <v>5.5397577835799368</v>
      </c>
      <c r="L496">
        <f t="shared" si="173"/>
        <v>5.7606793736880473</v>
      </c>
      <c r="M496">
        <f t="shared" si="173"/>
        <v>5.4446797091924335</v>
      </c>
      <c r="N496">
        <f t="shared" si="155"/>
        <v>0.17173492186638839</v>
      </c>
      <c r="O496">
        <f t="shared" si="170"/>
        <v>4.4344234165027414</v>
      </c>
      <c r="P496">
        <f t="shared" si="174"/>
        <v>5.3710438040663444</v>
      </c>
      <c r="Q496">
        <f t="shared" si="172"/>
        <v>4.7303352300013239</v>
      </c>
      <c r="R496">
        <f t="shared" si="175"/>
        <v>5.6497414667501218</v>
      </c>
      <c r="S496">
        <f t="shared" si="175"/>
        <v>5.4653514957811842</v>
      </c>
      <c r="T496">
        <f t="shared" si="156"/>
        <v>0.19240670845513907</v>
      </c>
      <c r="U496">
        <f t="shared" si="157"/>
        <v>-0.19240670845513907</v>
      </c>
      <c r="V496">
        <f t="shared" si="164"/>
        <v>4.9536339105358334</v>
      </c>
      <c r="W496">
        <f t="shared" si="158"/>
        <v>0.31931087679021175</v>
      </c>
      <c r="X496">
        <f t="shared" si="165"/>
        <v>4.706812488896122</v>
      </c>
      <c r="Y496">
        <f t="shared" si="159"/>
        <v>0.56613229842992308</v>
      </c>
      <c r="Z496">
        <f t="shared" si="166"/>
        <v>4.386540787843785</v>
      </c>
      <c r="AA496">
        <f t="shared" si="160"/>
        <v>0.88640399948226012</v>
      </c>
      <c r="AB496">
        <f t="shared" si="161"/>
        <v>-2.9826952126739545</v>
      </c>
      <c r="AC496">
        <f t="shared" si="162"/>
        <v>4.7130817249253889</v>
      </c>
      <c r="AD496">
        <f t="shared" si="163"/>
        <v>0.5598630624006562</v>
      </c>
    </row>
    <row r="497" spans="1:30">
      <c r="A497">
        <v>495</v>
      </c>
      <c r="B497">
        <v>6.0068738196507994</v>
      </c>
      <c r="C497">
        <f t="shared" si="167"/>
        <v>4.1716275624965906</v>
      </c>
      <c r="D497">
        <f t="shared" si="167"/>
        <v>4.0450557505986646</v>
      </c>
      <c r="E497">
        <f t="shared" si="168"/>
        <v>4.1930739328622693</v>
      </c>
      <c r="F497">
        <f t="shared" si="171"/>
        <v>4.5170672897758939</v>
      </c>
      <c r="G497">
        <f t="shared" si="171"/>
        <v>5.5394933628073266</v>
      </c>
      <c r="H497">
        <f t="shared" si="171"/>
        <v>5.9233998394203802</v>
      </c>
      <c r="I497">
        <f t="shared" si="154"/>
        <v>-8.3473980230419187E-2</v>
      </c>
      <c r="J497">
        <f t="shared" si="169"/>
        <v>4.3043002790317697</v>
      </c>
      <c r="K497">
        <f t="shared" si="173"/>
        <v>5.0317542186096675</v>
      </c>
      <c r="L497">
        <f t="shared" si="173"/>
        <v>5.7700566448738098</v>
      </c>
      <c r="M497">
        <f t="shared" si="173"/>
        <v>5.5571641630692312</v>
      </c>
      <c r="N497">
        <f t="shared" si="155"/>
        <v>-0.44970965658156814</v>
      </c>
      <c r="O497">
        <f t="shared" si="170"/>
        <v>4.6448149871555753</v>
      </c>
      <c r="P497">
        <f t="shared" si="174"/>
        <v>5.1082965565992131</v>
      </c>
      <c r="Q497">
        <f t="shared" si="172"/>
        <v>4.5766181867080471</v>
      </c>
      <c r="R497">
        <f t="shared" si="175"/>
        <v>5.4897685010964636</v>
      </c>
      <c r="S497">
        <f t="shared" si="175"/>
        <v>5.51656986243853</v>
      </c>
      <c r="T497">
        <f t="shared" si="156"/>
        <v>-0.49030395721226938</v>
      </c>
      <c r="U497">
        <f t="shared" si="157"/>
        <v>0.49030395721226938</v>
      </c>
      <c r="V497">
        <f t="shared" si="164"/>
        <v>4.9855649982148549</v>
      </c>
      <c r="W497">
        <f t="shared" si="158"/>
        <v>1.0213088214359445</v>
      </c>
      <c r="X497">
        <f t="shared" si="165"/>
        <v>4.8200389485821065</v>
      </c>
      <c r="Y497">
        <f t="shared" si="159"/>
        <v>1.1868348710686929</v>
      </c>
      <c r="Z497">
        <f t="shared" si="166"/>
        <v>4.6524619876884632</v>
      </c>
      <c r="AA497">
        <f t="shared" si="160"/>
        <v>1.3544118319623362</v>
      </c>
      <c r="AB497">
        <f t="shared" si="161"/>
        <v>-2.2543261803492012</v>
      </c>
      <c r="AC497">
        <f t="shared" si="162"/>
        <v>4.729880934086772</v>
      </c>
      <c r="AD497">
        <f t="shared" si="163"/>
        <v>1.2769928855640273</v>
      </c>
    </row>
    <row r="498" spans="1:30">
      <c r="A498">
        <v>496</v>
      </c>
      <c r="B498">
        <v>5.1315135339213747</v>
      </c>
      <c r="C498">
        <f t="shared" si="167"/>
        <v>5.6399093034884222</v>
      </c>
      <c r="D498">
        <f t="shared" si="167"/>
        <v>3.9123830340634855</v>
      </c>
      <c r="E498">
        <f t="shared" si="168"/>
        <v>4.7833763148813269</v>
      </c>
      <c r="F498">
        <f t="shared" si="171"/>
        <v>4.2613711205453741</v>
      </c>
      <c r="G498">
        <f t="shared" si="171"/>
        <v>5.0215090067932771</v>
      </c>
      <c r="H498">
        <f t="shared" si="171"/>
        <v>5.8379390224270375</v>
      </c>
      <c r="I498">
        <f t="shared" si="154"/>
        <v>0.70642548850566289</v>
      </c>
      <c r="J498">
        <f t="shared" si="169"/>
        <v>4.6465239045594018</v>
      </c>
      <c r="K498">
        <f t="shared" si="173"/>
        <v>4.6442851109573144</v>
      </c>
      <c r="L498">
        <f t="shared" si="173"/>
        <v>5.5832051898003803</v>
      </c>
      <c r="M498">
        <f t="shared" si="173"/>
        <v>5.6613675995112764</v>
      </c>
      <c r="N498">
        <f t="shared" si="155"/>
        <v>0.52985406558990178</v>
      </c>
      <c r="O498">
        <f t="shared" si="170"/>
        <v>4.7435218304317965</v>
      </c>
      <c r="P498">
        <f t="shared" si="174"/>
        <v>4.837973741986386</v>
      </c>
      <c r="Q498">
        <f t="shared" si="172"/>
        <v>4.6964984836940848</v>
      </c>
      <c r="R498">
        <f t="shared" si="175"/>
        <v>5.3122770056379975</v>
      </c>
      <c r="S498">
        <f t="shared" si="175"/>
        <v>5.531718868307081</v>
      </c>
      <c r="T498">
        <f t="shared" si="156"/>
        <v>0.40020533438570638</v>
      </c>
      <c r="U498">
        <f t="shared" si="157"/>
        <v>-0.40020533438570638</v>
      </c>
      <c r="V498">
        <f t="shared" si="164"/>
        <v>5.0876958803584493</v>
      </c>
      <c r="W498">
        <f t="shared" si="158"/>
        <v>4.3817653562925329E-2</v>
      </c>
      <c r="X498">
        <f t="shared" si="165"/>
        <v>5.0574059227958452</v>
      </c>
      <c r="Y498">
        <f t="shared" si="159"/>
        <v>7.4107611125529438E-2</v>
      </c>
      <c r="Z498">
        <f t="shared" si="166"/>
        <v>5.0587855372771644</v>
      </c>
      <c r="AA498">
        <f t="shared" si="160"/>
        <v>7.2727996644210258E-2</v>
      </c>
      <c r="AB498">
        <f t="shared" si="161"/>
        <v>-3.135246466078625</v>
      </c>
      <c r="AC498">
        <f t="shared" si="162"/>
        <v>4.7474996712400896</v>
      </c>
      <c r="AD498">
        <f t="shared" si="163"/>
        <v>0.38401386268128501</v>
      </c>
    </row>
    <row r="499" spans="1:30">
      <c r="A499">
        <v>497</v>
      </c>
      <c r="B499">
        <v>2.9782916557712458</v>
      </c>
      <c r="C499">
        <f t="shared" si="167"/>
        <v>5.569193676786087</v>
      </c>
      <c r="D499">
        <f t="shared" si="167"/>
        <v>4.905768432992506</v>
      </c>
      <c r="E499">
        <f t="shared" si="168"/>
        <v>5.4704440469660724</v>
      </c>
      <c r="F499">
        <f t="shared" si="171"/>
        <v>4.3192896746702027</v>
      </c>
      <c r="G499">
        <f t="shared" si="171"/>
        <v>4.5982611119733461</v>
      </c>
      <c r="H499">
        <f t="shared" si="171"/>
        <v>5.4941440468907699</v>
      </c>
      <c r="I499">
        <f t="shared" si="154"/>
        <v>2.5158523911195241</v>
      </c>
      <c r="J499">
        <f t="shared" si="169"/>
        <v>4.8704106196413388</v>
      </c>
      <c r="K499">
        <f t="shared" si="173"/>
        <v>4.4886826890504654</v>
      </c>
      <c r="L499">
        <f t="shared" si="173"/>
        <v>5.256650477872375</v>
      </c>
      <c r="M499">
        <f t="shared" si="173"/>
        <v>5.6900889717717948</v>
      </c>
      <c r="N499">
        <f t="shared" si="155"/>
        <v>2.7117973160005491</v>
      </c>
      <c r="O499">
        <f t="shared" si="170"/>
        <v>4.4919868268673202</v>
      </c>
      <c r="P499">
        <f t="shared" si="174"/>
        <v>4.6644906618285447</v>
      </c>
      <c r="Q499">
        <f t="shared" si="172"/>
        <v>4.7259314116165418</v>
      </c>
      <c r="R499">
        <f t="shared" si="175"/>
        <v>5.1285334190649126</v>
      </c>
      <c r="S499">
        <f t="shared" si="175"/>
        <v>5.5162734318464901</v>
      </c>
      <c r="T499">
        <f t="shared" si="156"/>
        <v>2.5379817760752443</v>
      </c>
      <c r="U499">
        <f t="shared" si="157"/>
        <v>-2.5379817760752443</v>
      </c>
      <c r="V499">
        <f t="shared" si="164"/>
        <v>5.0920776457147419</v>
      </c>
      <c r="W499">
        <f t="shared" si="158"/>
        <v>-2.1137859899434961</v>
      </c>
      <c r="X499">
        <f t="shared" si="165"/>
        <v>5.0722274450209515</v>
      </c>
      <c r="Y499">
        <f t="shared" si="159"/>
        <v>-2.0939357892497057</v>
      </c>
      <c r="Z499">
        <f t="shared" si="166"/>
        <v>5.0806039362704274</v>
      </c>
      <c r="AA499">
        <f t="shared" si="160"/>
        <v>-2.1023122804991816</v>
      </c>
      <c r="AB499">
        <f t="shared" si="161"/>
        <v>-5.2940283442287548</v>
      </c>
      <c r="AC499">
        <f t="shared" si="162"/>
        <v>4.7659332507334859</v>
      </c>
      <c r="AD499">
        <f t="shared" si="163"/>
        <v>-1.7876415949622402</v>
      </c>
    </row>
    <row r="500" spans="1:30">
      <c r="A500">
        <v>498</v>
      </c>
      <c r="B500">
        <v>6.3057605954473956</v>
      </c>
      <c r="C500">
        <f t="shared" si="167"/>
        <v>4.0549025948463102</v>
      </c>
      <c r="D500">
        <f t="shared" si="167"/>
        <v>5.6045514901372542</v>
      </c>
      <c r="E500">
        <f t="shared" si="168"/>
        <v>4.7055596697811399</v>
      </c>
      <c r="F500">
        <f t="shared" si="171"/>
        <v>4.8156314315698898</v>
      </c>
      <c r="G500">
        <f t="shared" si="171"/>
        <v>4.3659093616638236</v>
      </c>
      <c r="H500">
        <f t="shared" si="171"/>
        <v>5.0530878271913169</v>
      </c>
      <c r="I500">
        <f t="shared" si="154"/>
        <v>-1.2526727682560788</v>
      </c>
      <c r="J500">
        <f t="shared" si="169"/>
        <v>4.8474059491673653</v>
      </c>
      <c r="K500">
        <f t="shared" si="173"/>
        <v>4.5115069692573559</v>
      </c>
      <c r="L500">
        <f t="shared" si="173"/>
        <v>4.9261199505493458</v>
      </c>
      <c r="M500">
        <f t="shared" si="173"/>
        <v>5.5926479215586529</v>
      </c>
      <c r="N500">
        <f t="shared" si="155"/>
        <v>-0.71311267388874278</v>
      </c>
      <c r="O500">
        <f t="shared" si="170"/>
        <v>5.1390768784233716</v>
      </c>
      <c r="P500">
        <f t="shared" si="174"/>
        <v>4.5504199855083769</v>
      </c>
      <c r="Q500">
        <f t="shared" si="172"/>
        <v>4.4493168013217046</v>
      </c>
      <c r="R500">
        <f t="shared" si="175"/>
        <v>4.9801965922349298</v>
      </c>
      <c r="S500">
        <f t="shared" si="175"/>
        <v>5.4556080139660326</v>
      </c>
      <c r="T500">
        <f t="shared" si="156"/>
        <v>-0.85015258148136308</v>
      </c>
      <c r="U500">
        <f t="shared" si="157"/>
        <v>0.85015258148136308</v>
      </c>
      <c r="V500">
        <f t="shared" si="164"/>
        <v>4.8806990467203919</v>
      </c>
      <c r="W500">
        <f t="shared" si="158"/>
        <v>1.4250615487270037</v>
      </c>
      <c r="X500">
        <f t="shared" si="165"/>
        <v>4.6534402871710103</v>
      </c>
      <c r="Y500">
        <f t="shared" si="159"/>
        <v>1.6523203082763853</v>
      </c>
      <c r="Z500">
        <f t="shared" si="166"/>
        <v>4.4499102521206728</v>
      </c>
      <c r="AA500">
        <f t="shared" si="160"/>
        <v>1.8558503433267228</v>
      </c>
      <c r="AB500">
        <f t="shared" si="161"/>
        <v>-1.972119404552604</v>
      </c>
      <c r="AC500">
        <f t="shared" si="162"/>
        <v>4.7851767605752542</v>
      </c>
      <c r="AD500">
        <f t="shared" si="163"/>
        <v>1.5205838348721414</v>
      </c>
    </row>
    <row r="501" spans="1:30">
      <c r="A501">
        <v>499</v>
      </c>
      <c r="B501">
        <v>5.8398902644942972</v>
      </c>
      <c r="C501">
        <f t="shared" si="167"/>
        <v>4.6420261256093207</v>
      </c>
      <c r="D501">
        <f t="shared" si="167"/>
        <v>4.8120481358161982</v>
      </c>
      <c r="E501">
        <f t="shared" si="168"/>
        <v>4.8051885950466717</v>
      </c>
      <c r="F501">
        <f t="shared" si="171"/>
        <v>4.9864600105428467</v>
      </c>
      <c r="G501">
        <f t="shared" si="171"/>
        <v>4.4654307422618222</v>
      </c>
      <c r="H501">
        <f t="shared" si="171"/>
        <v>4.6618931601434825</v>
      </c>
      <c r="I501">
        <f t="shared" si="154"/>
        <v>-1.1779971043508146</v>
      </c>
      <c r="J501">
        <f t="shared" si="169"/>
        <v>5.1056099011977043</v>
      </c>
      <c r="K501">
        <f t="shared" si="173"/>
        <v>4.6671601880999685</v>
      </c>
      <c r="L501">
        <f t="shared" si="173"/>
        <v>4.6690572469687011</v>
      </c>
      <c r="M501">
        <f t="shared" si="173"/>
        <v>5.3840080657739771</v>
      </c>
      <c r="N501">
        <f t="shared" si="155"/>
        <v>-0.4558821987203201</v>
      </c>
      <c r="O501">
        <f t="shared" si="170"/>
        <v>5.2524659738570225</v>
      </c>
      <c r="P501">
        <f t="shared" si="174"/>
        <v>4.6907647878761605</v>
      </c>
      <c r="Q501">
        <f t="shared" si="172"/>
        <v>4.7942824549639989</v>
      </c>
      <c r="R501">
        <f t="shared" si="175"/>
        <v>4.7600792641596898</v>
      </c>
      <c r="S501">
        <f t="shared" si="175"/>
        <v>5.3640501026317979</v>
      </c>
      <c r="T501">
        <f t="shared" si="156"/>
        <v>-0.47584016186249922</v>
      </c>
      <c r="U501">
        <f t="shared" si="157"/>
        <v>0.47584016186249922</v>
      </c>
      <c r="V501">
        <f t="shared" si="164"/>
        <v>5.0232052015930924</v>
      </c>
      <c r="W501">
        <f t="shared" si="158"/>
        <v>0.81668506290120479</v>
      </c>
      <c r="X501">
        <f t="shared" si="165"/>
        <v>4.9839043488262877</v>
      </c>
      <c r="Y501">
        <f t="shared" si="159"/>
        <v>0.85598591566800941</v>
      </c>
      <c r="Z501">
        <f t="shared" si="166"/>
        <v>5.0066653551186899</v>
      </c>
      <c r="AA501">
        <f t="shared" si="160"/>
        <v>0.83322490937560723</v>
      </c>
      <c r="AB501">
        <f t="shared" si="161"/>
        <v>-2.4435497355057034</v>
      </c>
      <c r="AC501">
        <f t="shared" si="162"/>
        <v>4.805225063798237</v>
      </c>
      <c r="AD501">
        <f t="shared" si="163"/>
        <v>1.0346652006960602</v>
      </c>
    </row>
    <row r="502" spans="1:30">
      <c r="A502">
        <v>500</v>
      </c>
      <c r="B502">
        <v>3.8813262720595967</v>
      </c>
      <c r="C502">
        <f t="shared" si="167"/>
        <v>6.0728254299708464</v>
      </c>
      <c r="D502">
        <f t="shared" si="167"/>
        <v>4.3484643602278155</v>
      </c>
      <c r="E502">
        <f t="shared" si="168"/>
        <v>5.0413141719043129</v>
      </c>
      <c r="F502">
        <f t="shared" si="171"/>
        <v>4.9937307705979608</v>
      </c>
      <c r="G502">
        <f t="shared" si="171"/>
        <v>4.7071270389276458</v>
      </c>
      <c r="H502">
        <f t="shared" si="171"/>
        <v>4.4765337386329973</v>
      </c>
      <c r="I502">
        <f t="shared" si="154"/>
        <v>0.59520746657340062</v>
      </c>
      <c r="J502">
        <f t="shared" si="169"/>
        <v>5.0638640124085779</v>
      </c>
      <c r="K502">
        <f t="shared" si="173"/>
        <v>4.867487593641453</v>
      </c>
      <c r="L502">
        <f t="shared" si="173"/>
        <v>4.5779087393412761</v>
      </c>
      <c r="M502">
        <f t="shared" si="173"/>
        <v>5.1087582162977005</v>
      </c>
      <c r="N502">
        <f t="shared" si="155"/>
        <v>1.2274319442381039</v>
      </c>
      <c r="O502">
        <f t="shared" si="170"/>
        <v>4.8273564643387816</v>
      </c>
      <c r="P502">
        <f t="shared" si="174"/>
        <v>4.8543732993470172</v>
      </c>
      <c r="Q502">
        <f t="shared" si="172"/>
        <v>5.2558791094351927</v>
      </c>
      <c r="R502">
        <f t="shared" si="175"/>
        <v>4.6621637613842832</v>
      </c>
      <c r="S502">
        <f t="shared" si="175"/>
        <v>5.2200993748240192</v>
      </c>
      <c r="T502">
        <f t="shared" si="156"/>
        <v>1.3387731027644225</v>
      </c>
      <c r="U502">
        <f t="shared" si="157"/>
        <v>-1.3387731027644225</v>
      </c>
      <c r="V502">
        <f t="shared" si="164"/>
        <v>5.1048737078832129</v>
      </c>
      <c r="W502">
        <f t="shared" si="158"/>
        <v>-1.2235474358236162</v>
      </c>
      <c r="X502">
        <f t="shared" si="165"/>
        <v>5.1551015319598896</v>
      </c>
      <c r="Y502">
        <f t="shared" si="159"/>
        <v>-1.2737752599002929</v>
      </c>
      <c r="Z502">
        <f t="shared" si="166"/>
        <v>5.2566328279313721</v>
      </c>
      <c r="AA502">
        <f t="shared" si="160"/>
        <v>-1.3753065558717754</v>
      </c>
      <c r="AB502">
        <f t="shared" si="161"/>
        <v>-4.407673727940403</v>
      </c>
      <c r="AC502">
        <f t="shared" si="162"/>
        <v>4.8260727998867408</v>
      </c>
      <c r="AD502">
        <f t="shared" si="163"/>
        <v>-0.94474652782714408</v>
      </c>
    </row>
    <row r="503" spans="1:30">
      <c r="A503">
        <v>501</v>
      </c>
      <c r="B503">
        <v>2.8678520853827996</v>
      </c>
      <c r="C503">
        <f t="shared" si="167"/>
        <v>4.8606082682769465</v>
      </c>
      <c r="D503">
        <f t="shared" si="167"/>
        <v>5.357425777790084</v>
      </c>
      <c r="E503">
        <f t="shared" si="168"/>
        <v>5.3423257106670965</v>
      </c>
      <c r="F503">
        <f t="shared" si="171"/>
        <v>4.8506874789107082</v>
      </c>
      <c r="G503">
        <f t="shared" si="171"/>
        <v>4.9319407375702324</v>
      </c>
      <c r="H503">
        <f t="shared" si="171"/>
        <v>4.5128223809510972</v>
      </c>
      <c r="I503">
        <f t="shared" si="154"/>
        <v>1.6449702955682977</v>
      </c>
      <c r="J503">
        <f t="shared" si="169"/>
        <v>4.751317196943134</v>
      </c>
      <c r="K503">
        <f t="shared" si="173"/>
        <v>4.9718226206037466</v>
      </c>
      <c r="L503">
        <f t="shared" si="173"/>
        <v>4.6337093600123112</v>
      </c>
      <c r="M503">
        <f t="shared" si="173"/>
        <v>4.8574341036829241</v>
      </c>
      <c r="N503">
        <f t="shared" si="155"/>
        <v>1.9895820183001245</v>
      </c>
      <c r="O503">
        <f t="shared" si="170"/>
        <v>4.3746241746310677</v>
      </c>
      <c r="P503">
        <f t="shared" si="174"/>
        <v>4.8908815947836581</v>
      </c>
      <c r="Q503">
        <f t="shared" si="172"/>
        <v>5.0239426902241187</v>
      </c>
      <c r="R503">
        <f t="shared" si="175"/>
        <v>4.749754407956595</v>
      </c>
      <c r="S503">
        <f t="shared" si="175"/>
        <v>5.0555030905963791</v>
      </c>
      <c r="T503">
        <f t="shared" si="156"/>
        <v>2.1876510052135796</v>
      </c>
      <c r="U503">
        <f t="shared" si="157"/>
        <v>-2.1876510052135796</v>
      </c>
      <c r="V503">
        <f t="shared" si="164"/>
        <v>4.9825189643008514</v>
      </c>
      <c r="W503">
        <f t="shared" si="158"/>
        <v>-2.1146668789180518</v>
      </c>
      <c r="X503">
        <f t="shared" si="165"/>
        <v>4.9003464799798309</v>
      </c>
      <c r="Y503">
        <f t="shared" si="159"/>
        <v>-2.0324943945970313</v>
      </c>
      <c r="Z503">
        <f t="shared" si="166"/>
        <v>4.8440408611698391</v>
      </c>
      <c r="AA503">
        <f t="shared" si="160"/>
        <v>-1.9761887757870396</v>
      </c>
      <c r="AB503">
        <f t="shared" si="161"/>
        <v>-5.426707914617201</v>
      </c>
      <c r="AC503">
        <f t="shared" si="162"/>
        <v>4.8477143862655216</v>
      </c>
      <c r="AD503">
        <f t="shared" si="163"/>
        <v>-1.9798623008827221</v>
      </c>
    </row>
    <row r="504" spans="1:30">
      <c r="A504">
        <v>502</v>
      </c>
      <c r="B504">
        <v>4.0080728451039063</v>
      </c>
      <c r="C504">
        <f t="shared" si="167"/>
        <v>3.3745891787211981</v>
      </c>
      <c r="D504">
        <f t="shared" si="167"/>
        <v>5.4667168491238964</v>
      </c>
      <c r="E504">
        <f t="shared" si="168"/>
        <v>4.1963562073122311</v>
      </c>
      <c r="F504">
        <f t="shared" si="171"/>
        <v>5.0629428258726934</v>
      </c>
      <c r="G504">
        <f t="shared" si="171"/>
        <v>4.9436260866838388</v>
      </c>
      <c r="H504">
        <f t="shared" si="171"/>
        <v>4.7014995062532341</v>
      </c>
      <c r="I504">
        <f t="shared" si="154"/>
        <v>0.69342666114932783</v>
      </c>
      <c r="J504">
        <f t="shared" si="169"/>
        <v>4.7237073043460223</v>
      </c>
      <c r="K504">
        <f t="shared" si="173"/>
        <v>4.9420492649291958</v>
      </c>
      <c r="L504">
        <f t="shared" si="173"/>
        <v>4.7544943429006308</v>
      </c>
      <c r="M504">
        <f t="shared" si="173"/>
        <v>4.7016988242179085</v>
      </c>
      <c r="N504">
        <f t="shared" si="155"/>
        <v>0.69362597911400226</v>
      </c>
      <c r="O504">
        <f t="shared" si="170"/>
        <v>4.5805804124975991</v>
      </c>
      <c r="P504">
        <f t="shared" si="174"/>
        <v>4.8171020636235129</v>
      </c>
      <c r="Q504">
        <f t="shared" si="172"/>
        <v>4.500772401179451</v>
      </c>
      <c r="R504">
        <f t="shared" si="175"/>
        <v>4.8243084918759402</v>
      </c>
      <c r="S504">
        <f t="shared" si="175"/>
        <v>4.9321674084064009</v>
      </c>
      <c r="T504">
        <f t="shared" si="156"/>
        <v>0.92409456330249462</v>
      </c>
      <c r="U504">
        <f t="shared" si="157"/>
        <v>-0.92409456330249462</v>
      </c>
      <c r="V504">
        <f t="shared" si="164"/>
        <v>4.7710522764090459</v>
      </c>
      <c r="W504">
        <f t="shared" si="158"/>
        <v>-0.76297943130513968</v>
      </c>
      <c r="X504">
        <f t="shared" si="165"/>
        <v>4.4938476010604242</v>
      </c>
      <c r="Y504">
        <f t="shared" si="159"/>
        <v>-0.48577475595651798</v>
      </c>
      <c r="Z504">
        <f t="shared" si="166"/>
        <v>4.2511842284337273</v>
      </c>
      <c r="AA504">
        <f t="shared" si="160"/>
        <v>-0.24311138332982107</v>
      </c>
      <c r="AB504">
        <f t="shared" si="161"/>
        <v>-4.2920471548960935</v>
      </c>
      <c r="AC504">
        <f t="shared" si="162"/>
        <v>4.8701440198504775</v>
      </c>
      <c r="AD504">
        <f t="shared" si="163"/>
        <v>-0.86207117474657124</v>
      </c>
    </row>
    <row r="505" spans="1:30">
      <c r="A505">
        <v>503</v>
      </c>
      <c r="B505">
        <v>6.6526952513077919</v>
      </c>
      <c r="C505">
        <f t="shared" si="167"/>
        <v>3.4379624652433529</v>
      </c>
      <c r="D505">
        <f t="shared" si="167"/>
        <v>4.1175987234990723</v>
      </c>
      <c r="E505">
        <f t="shared" si="168"/>
        <v>3.5857504008487679</v>
      </c>
      <c r="F505">
        <f t="shared" si="171"/>
        <v>4.8599986966278799</v>
      </c>
      <c r="G505">
        <f t="shared" si="171"/>
        <v>4.9691203584604544</v>
      </c>
      <c r="H505">
        <f t="shared" si="171"/>
        <v>4.8608979543939057</v>
      </c>
      <c r="I505">
        <f t="shared" si="154"/>
        <v>-1.7917972969138862</v>
      </c>
      <c r="J505">
        <f t="shared" si="169"/>
        <v>4.1492853667601501</v>
      </c>
      <c r="K505">
        <f t="shared" si="173"/>
        <v>4.9111246037238594</v>
      </c>
      <c r="L505">
        <f t="shared" si="173"/>
        <v>4.8621299168185912</v>
      </c>
      <c r="M505">
        <f t="shared" si="173"/>
        <v>4.65879242230573</v>
      </c>
      <c r="N505">
        <f t="shared" si="155"/>
        <v>-1.9939028290020619</v>
      </c>
      <c r="O505">
        <f t="shared" si="170"/>
        <v>4.6499673436696778</v>
      </c>
      <c r="P505">
        <f t="shared" si="174"/>
        <v>4.8348207807495687</v>
      </c>
      <c r="Q505">
        <f t="shared" si="172"/>
        <v>4.3135322863765406</v>
      </c>
      <c r="R505">
        <f t="shared" si="175"/>
        <v>4.7916874781235004</v>
      </c>
      <c r="S505">
        <f t="shared" si="175"/>
        <v>4.8508393227793922</v>
      </c>
      <c r="T505">
        <f t="shared" si="156"/>
        <v>-1.8018559285283997</v>
      </c>
      <c r="U505">
        <f t="shared" si="157"/>
        <v>1.8018559285283997</v>
      </c>
      <c r="V505">
        <f t="shared" si="164"/>
        <v>4.6947543332785315</v>
      </c>
      <c r="W505">
        <f t="shared" si="158"/>
        <v>1.9579409180292604</v>
      </c>
      <c r="X505">
        <f t="shared" si="165"/>
        <v>4.396692649869121</v>
      </c>
      <c r="Y505">
        <f t="shared" si="159"/>
        <v>2.2560026014386709</v>
      </c>
      <c r="Z505">
        <f t="shared" si="166"/>
        <v>4.1782508134347811</v>
      </c>
      <c r="AA505">
        <f t="shared" si="160"/>
        <v>2.4744444378730108</v>
      </c>
      <c r="AB505">
        <f t="shared" si="161"/>
        <v>-1.6529847486922087</v>
      </c>
      <c r="AC505">
        <f t="shared" si="162"/>
        <v>4.8933556786605639</v>
      </c>
      <c r="AD505">
        <f t="shared" si="163"/>
        <v>1.7593395726472281</v>
      </c>
    </row>
    <row r="506" spans="1:30">
      <c r="A506">
        <v>504</v>
      </c>
      <c r="B506">
        <v>3.206402057713809</v>
      </c>
      <c r="C506">
        <f t="shared" si="167"/>
        <v>5.3303840482058487</v>
      </c>
      <c r="D506">
        <f t="shared" si="167"/>
        <v>3.4062758219822755</v>
      </c>
      <c r="E506">
        <f t="shared" si="168"/>
        <v>4.5095400605981659</v>
      </c>
      <c r="F506">
        <f t="shared" si="171"/>
        <v>4.3748107729426993</v>
      </c>
      <c r="G506">
        <f t="shared" si="171"/>
        <v>4.9245430004704271</v>
      </c>
      <c r="H506">
        <f t="shared" si="171"/>
        <v>4.9482290609048425</v>
      </c>
      <c r="I506">
        <f t="shared" si="154"/>
        <v>1.7418270031910335</v>
      </c>
      <c r="J506">
        <f t="shared" si="169"/>
        <v>4.3524866134635243</v>
      </c>
      <c r="K506">
        <f t="shared" si="173"/>
        <v>4.6720434701144713</v>
      </c>
      <c r="L506">
        <f t="shared" si="173"/>
        <v>4.9231210207245635</v>
      </c>
      <c r="M506">
        <f t="shared" si="173"/>
        <v>4.7070605897682025</v>
      </c>
      <c r="N506">
        <f t="shared" si="155"/>
        <v>1.5006585320543935</v>
      </c>
      <c r="O506">
        <f t="shared" si="170"/>
        <v>4.1232697023135811</v>
      </c>
      <c r="P506">
        <f t="shared" si="174"/>
        <v>4.7369988737988296</v>
      </c>
      <c r="Q506">
        <f t="shared" si="172"/>
        <v>4.9259328856326308</v>
      </c>
      <c r="R506">
        <f t="shared" si="175"/>
        <v>4.7229542905835009</v>
      </c>
      <c r="S506">
        <f t="shared" si="175"/>
        <v>4.794698332622489</v>
      </c>
      <c r="T506">
        <f t="shared" si="156"/>
        <v>1.58829627490868</v>
      </c>
      <c r="U506">
        <f t="shared" si="157"/>
        <v>-1.58829627490868</v>
      </c>
      <c r="V506">
        <f t="shared" si="164"/>
        <v>4.8905484250814579</v>
      </c>
      <c r="W506">
        <f t="shared" si="158"/>
        <v>-1.6841463673676489</v>
      </c>
      <c r="X506">
        <f t="shared" si="165"/>
        <v>4.8478931701568548</v>
      </c>
      <c r="Y506">
        <f t="shared" si="159"/>
        <v>-1.6414911124430458</v>
      </c>
      <c r="Z506">
        <f t="shared" si="166"/>
        <v>4.9205841447966847</v>
      </c>
      <c r="AA506">
        <f t="shared" si="160"/>
        <v>-1.7141820870828757</v>
      </c>
      <c r="AB506">
        <f t="shared" si="161"/>
        <v>-5.1048379422861903</v>
      </c>
      <c r="AC506">
        <f t="shared" si="162"/>
        <v>4.9173431234905429</v>
      </c>
      <c r="AD506">
        <f t="shared" si="163"/>
        <v>-1.7109410657767339</v>
      </c>
    </row>
    <row r="507" spans="1:30">
      <c r="A507">
        <v>505</v>
      </c>
      <c r="B507">
        <v>5.9715062907078877</v>
      </c>
      <c r="C507">
        <f t="shared" si="167"/>
        <v>4.9295486545108007</v>
      </c>
      <c r="D507">
        <f t="shared" si="167"/>
        <v>4.3841732567246012</v>
      </c>
      <c r="E507">
        <f t="shared" si="168"/>
        <v>4.6223900513751692</v>
      </c>
      <c r="F507">
        <f t="shared" si="171"/>
        <v>4.0972155562530554</v>
      </c>
      <c r="G507">
        <f t="shared" si="171"/>
        <v>4.7659174318144233</v>
      </c>
      <c r="H507">
        <f t="shared" si="171"/>
        <v>4.9457631485382398</v>
      </c>
      <c r="I507">
        <f t="shared" si="154"/>
        <v>-1.0257431421696479</v>
      </c>
      <c r="J507">
        <f t="shared" si="169"/>
        <v>4.1837555598770768</v>
      </c>
      <c r="K507">
        <f t="shared" si="173"/>
        <v>4.494199120378207</v>
      </c>
      <c r="L507">
        <f t="shared" si="173"/>
        <v>4.8742599898428178</v>
      </c>
      <c r="M507">
        <f t="shared" si="173"/>
        <v>4.793363660114025</v>
      </c>
      <c r="N507">
        <f t="shared" si="155"/>
        <v>-1.1781426305938627</v>
      </c>
      <c r="O507">
        <f t="shared" si="170"/>
        <v>4.5413057060432394</v>
      </c>
      <c r="P507">
        <f t="shared" si="174"/>
        <v>4.511159619490142</v>
      </c>
      <c r="Q507">
        <f t="shared" si="172"/>
        <v>4.4093731293436997</v>
      </c>
      <c r="R507">
        <f t="shared" si="175"/>
        <v>4.8023903046353222</v>
      </c>
      <c r="S507">
        <f t="shared" si="175"/>
        <v>4.7518246156805848</v>
      </c>
      <c r="T507">
        <f t="shared" si="156"/>
        <v>-1.219681675027303</v>
      </c>
      <c r="U507">
        <f t="shared" si="157"/>
        <v>1.219681675027303</v>
      </c>
      <c r="V507">
        <f t="shared" si="164"/>
        <v>4.722133788344693</v>
      </c>
      <c r="W507">
        <f t="shared" si="158"/>
        <v>1.2493725023631947</v>
      </c>
      <c r="X507">
        <f t="shared" si="165"/>
        <v>4.5195949476682458</v>
      </c>
      <c r="Y507">
        <f t="shared" si="159"/>
        <v>1.451911343039642</v>
      </c>
      <c r="Z507">
        <f t="shared" si="166"/>
        <v>4.4063295186718223</v>
      </c>
      <c r="AA507">
        <f t="shared" si="160"/>
        <v>1.5651767720360654</v>
      </c>
      <c r="AB507">
        <f t="shared" si="161"/>
        <v>-2.3452937092921129</v>
      </c>
      <c r="AC507">
        <f t="shared" si="162"/>
        <v>4.9420998996440391</v>
      </c>
      <c r="AD507">
        <f t="shared" si="163"/>
        <v>1.0294063910638487</v>
      </c>
    </row>
    <row r="508" spans="1:30">
      <c r="A508">
        <v>506</v>
      </c>
      <c r="B508">
        <v>3.8962139283209964</v>
      </c>
      <c r="C508">
        <f t="shared" si="167"/>
        <v>4.5889541742108486</v>
      </c>
      <c r="D508">
        <f t="shared" si="167"/>
        <v>5.1299663513583251</v>
      </c>
      <c r="E508">
        <f t="shared" si="168"/>
        <v>5.2768678665764961</v>
      </c>
      <c r="F508">
        <f t="shared" si="171"/>
        <v>4.2392268376073678</v>
      </c>
      <c r="G508">
        <f t="shared" si="171"/>
        <v>4.4440083419412106</v>
      </c>
      <c r="H508">
        <f t="shared" si="171"/>
        <v>4.8865269302484355</v>
      </c>
      <c r="I508">
        <f t="shared" si="154"/>
        <v>0.9903130019274391</v>
      </c>
      <c r="J508">
        <f t="shared" si="169"/>
        <v>4.9596691112083491</v>
      </c>
      <c r="K508">
        <f t="shared" si="173"/>
        <v>4.3523087111116929</v>
      </c>
      <c r="L508">
        <f t="shared" si="173"/>
        <v>4.7548541147864327</v>
      </c>
      <c r="M508">
        <f t="shared" si="173"/>
        <v>4.8535013175716504</v>
      </c>
      <c r="N508">
        <f t="shared" si="155"/>
        <v>0.95728738925065393</v>
      </c>
      <c r="O508">
        <f t="shared" si="170"/>
        <v>4.7469780746308787</v>
      </c>
      <c r="P508">
        <f t="shared" si="174"/>
        <v>4.4539494678310323</v>
      </c>
      <c r="Q508">
        <f t="shared" si="172"/>
        <v>4.4313091337126318</v>
      </c>
      <c r="R508">
        <f t="shared" si="175"/>
        <v>4.7382387503652721</v>
      </c>
      <c r="S508">
        <f t="shared" si="175"/>
        <v>4.7588764557598573</v>
      </c>
      <c r="T508">
        <f t="shared" si="156"/>
        <v>0.86266252743886085</v>
      </c>
      <c r="U508">
        <f t="shared" si="157"/>
        <v>-0.86266252743886085</v>
      </c>
      <c r="V508">
        <f t="shared" si="164"/>
        <v>4.8470710385810127</v>
      </c>
      <c r="W508">
        <f t="shared" si="158"/>
        <v>-0.95085711026001629</v>
      </c>
      <c r="X508">
        <f t="shared" si="165"/>
        <v>4.8099772162761738</v>
      </c>
      <c r="Y508">
        <f t="shared" si="159"/>
        <v>-0.91376328795517736</v>
      </c>
      <c r="Z508">
        <f t="shared" si="166"/>
        <v>4.8758825502826415</v>
      </c>
      <c r="AA508">
        <f t="shared" si="160"/>
        <v>-0.97966862196164506</v>
      </c>
      <c r="AB508">
        <f t="shared" si="161"/>
        <v>-4.4261460716790033</v>
      </c>
      <c r="AC508">
        <f t="shared" si="162"/>
        <v>4.9676193387264922</v>
      </c>
      <c r="AD508">
        <f t="shared" si="163"/>
        <v>-1.0714054104054958</v>
      </c>
    </row>
    <row r="509" spans="1:30">
      <c r="A509">
        <v>507</v>
      </c>
      <c r="B509">
        <v>7.0140351147202828</v>
      </c>
      <c r="C509">
        <f t="shared" si="167"/>
        <v>4.9338601095144421</v>
      </c>
      <c r="D509">
        <f t="shared" si="167"/>
        <v>4.7592514143608247</v>
      </c>
      <c r="E509">
        <f t="shared" si="168"/>
        <v>4.3580407589142309</v>
      </c>
      <c r="F509">
        <f t="shared" si="171"/>
        <v>4.8029326595166104</v>
      </c>
      <c r="G509">
        <f t="shared" si="171"/>
        <v>4.2370843889343739</v>
      </c>
      <c r="H509">
        <f t="shared" si="171"/>
        <v>4.7114895914086867</v>
      </c>
      <c r="I509">
        <f t="shared" si="154"/>
        <v>-2.3025455233115961</v>
      </c>
      <c r="J509">
        <f t="shared" si="169"/>
        <v>4.9317043820126214</v>
      </c>
      <c r="K509">
        <f t="shared" si="173"/>
        <v>4.4112991628272749</v>
      </c>
      <c r="L509">
        <f t="shared" si="173"/>
        <v>4.6074189763320579</v>
      </c>
      <c r="M509">
        <f t="shared" si="173"/>
        <v>4.8535912605431015</v>
      </c>
      <c r="N509">
        <f t="shared" si="155"/>
        <v>-2.1604438541771813</v>
      </c>
      <c r="O509">
        <f t="shared" si="170"/>
        <v>5.3481705285541539</v>
      </c>
      <c r="P509">
        <f t="shared" si="174"/>
        <v>4.5284202478309954</v>
      </c>
      <c r="Q509">
        <f t="shared" si="172"/>
        <v>4.4337904097561989</v>
      </c>
      <c r="R509">
        <f t="shared" si="175"/>
        <v>4.6008104210781786</v>
      </c>
      <c r="S509">
        <f t="shared" si="175"/>
        <v>4.7715556205900223</v>
      </c>
      <c r="T509">
        <f t="shared" si="156"/>
        <v>-2.2424794941302606</v>
      </c>
      <c r="U509">
        <f t="shared" si="157"/>
        <v>2.2424794941302606</v>
      </c>
      <c r="V509">
        <f t="shared" si="164"/>
        <v>4.751985327555011</v>
      </c>
      <c r="W509">
        <f t="shared" si="158"/>
        <v>2.2620497871652718</v>
      </c>
      <c r="X509">
        <f t="shared" si="165"/>
        <v>4.6272245586851382</v>
      </c>
      <c r="Y509">
        <f t="shared" si="159"/>
        <v>2.3868105560351447</v>
      </c>
      <c r="Z509">
        <f t="shared" si="166"/>
        <v>4.5819819636941483</v>
      </c>
      <c r="AA509">
        <f t="shared" si="160"/>
        <v>2.4320531510261345</v>
      </c>
      <c r="AB509">
        <f t="shared" si="161"/>
        <v>-1.3138848852797178</v>
      </c>
      <c r="AC509">
        <f t="shared" si="162"/>
        <v>4.9938945604974156</v>
      </c>
      <c r="AD509">
        <f t="shared" si="163"/>
        <v>2.0201405542228672</v>
      </c>
    </row>
    <row r="510" spans="1:30">
      <c r="A510">
        <v>508</v>
      </c>
      <c r="B510">
        <v>5.5497998158708857</v>
      </c>
      <c r="C510">
        <f t="shared" si="167"/>
        <v>5.4551245215206396</v>
      </c>
      <c r="D510">
        <f t="shared" si="167"/>
        <v>4.7614071418626454</v>
      </c>
      <c r="E510">
        <f t="shared" si="168"/>
        <v>5.6272517779163893</v>
      </c>
      <c r="F510">
        <f t="shared" si="171"/>
        <v>4.7524328922886321</v>
      </c>
      <c r="G510">
        <f t="shared" si="171"/>
        <v>4.3797916844590112</v>
      </c>
      <c r="H510">
        <f t="shared" si="171"/>
        <v>4.4823367208966696</v>
      </c>
      <c r="I510">
        <f t="shared" si="154"/>
        <v>-1.0674630949742161</v>
      </c>
      <c r="J510">
        <f t="shared" si="169"/>
        <v>5.0220393478657446</v>
      </c>
      <c r="K510">
        <f t="shared" si="173"/>
        <v>4.6069039166403929</v>
      </c>
      <c r="L510">
        <f t="shared" si="173"/>
        <v>4.4824626161079113</v>
      </c>
      <c r="M510">
        <f t="shared" si="173"/>
        <v>4.7899135254214684</v>
      </c>
      <c r="N510">
        <f t="shared" si="155"/>
        <v>-0.75988629044941725</v>
      </c>
      <c r="O510">
        <f t="shared" si="170"/>
        <v>5.1275914414667723</v>
      </c>
      <c r="P510">
        <f t="shared" si="174"/>
        <v>4.6819382710423056</v>
      </c>
      <c r="Q510">
        <f t="shared" si="172"/>
        <v>5.1248209146457793</v>
      </c>
      <c r="R510">
        <f t="shared" si="175"/>
        <v>4.5024517076668582</v>
      </c>
      <c r="S510">
        <f t="shared" si="175"/>
        <v>4.7467316227769532</v>
      </c>
      <c r="T510">
        <f t="shared" si="156"/>
        <v>-0.80306819309393251</v>
      </c>
      <c r="U510">
        <f t="shared" si="157"/>
        <v>0.80306819309393251</v>
      </c>
      <c r="V510">
        <f t="shared" si="164"/>
        <v>4.9781903062715385</v>
      </c>
      <c r="W510">
        <f t="shared" si="158"/>
        <v>0.5716095095993472</v>
      </c>
      <c r="X510">
        <f t="shared" si="165"/>
        <v>5.1045866698921669</v>
      </c>
      <c r="Y510">
        <f t="shared" si="159"/>
        <v>0.44521314597871875</v>
      </c>
      <c r="Z510">
        <f t="shared" si="166"/>
        <v>5.3115979090019891</v>
      </c>
      <c r="AA510">
        <f t="shared" si="160"/>
        <v>0.23820190686889653</v>
      </c>
      <c r="AB510">
        <f t="shared" si="161"/>
        <v>-2.7836801841291141</v>
      </c>
      <c r="AC510">
        <f t="shared" si="162"/>
        <v>5.0209184747815634</v>
      </c>
      <c r="AD510">
        <f t="shared" si="163"/>
        <v>0.52888134108932228</v>
      </c>
    </row>
    <row r="511" spans="1:30">
      <c r="A511">
        <v>509</v>
      </c>
      <c r="B511">
        <v>7.362699888022382</v>
      </c>
      <c r="C511">
        <f t="shared" si="167"/>
        <v>6.2819174652955843</v>
      </c>
      <c r="D511">
        <f t="shared" si="167"/>
        <v>5.1944923155175413</v>
      </c>
      <c r="E511">
        <f t="shared" si="168"/>
        <v>5.4866829529707219</v>
      </c>
      <c r="F511">
        <f t="shared" si="171"/>
        <v>5.0873868011357049</v>
      </c>
      <c r="G511">
        <f t="shared" si="171"/>
        <v>4.5981974631375371</v>
      </c>
      <c r="H511">
        <f t="shared" si="171"/>
        <v>4.353628138444865</v>
      </c>
      <c r="I511">
        <f t="shared" si="154"/>
        <v>-3.009071749577517</v>
      </c>
      <c r="J511">
        <f t="shared" si="169"/>
        <v>5.6078887874050132</v>
      </c>
      <c r="K511">
        <f t="shared" si="173"/>
        <v>4.7742921002409489</v>
      </c>
      <c r="L511">
        <f t="shared" si="173"/>
        <v>4.4661777277393924</v>
      </c>
      <c r="M511">
        <f t="shared" si="173"/>
        <v>4.6797489242673045</v>
      </c>
      <c r="N511">
        <f t="shared" si="155"/>
        <v>-2.6829509637550775</v>
      </c>
      <c r="O511">
        <f t="shared" si="170"/>
        <v>5.9588510075284873</v>
      </c>
      <c r="P511">
        <f t="shared" si="174"/>
        <v>4.7774630906017252</v>
      </c>
      <c r="Q511">
        <f t="shared" si="172"/>
        <v>5.381775409773609</v>
      </c>
      <c r="R511">
        <f t="shared" si="175"/>
        <v>4.6064597932445794</v>
      </c>
      <c r="S511">
        <f t="shared" si="175"/>
        <v>4.6930888254087719</v>
      </c>
      <c r="T511">
        <f t="shared" si="156"/>
        <v>-2.66961106261361</v>
      </c>
      <c r="U511">
        <f t="shared" si="157"/>
        <v>2.66961106261361</v>
      </c>
      <c r="V511">
        <f t="shared" si="164"/>
        <v>5.0353512572314729</v>
      </c>
      <c r="W511">
        <f t="shared" si="158"/>
        <v>2.327348630790909</v>
      </c>
      <c r="X511">
        <f t="shared" si="165"/>
        <v>5.1936292990879105</v>
      </c>
      <c r="Y511">
        <f t="shared" si="159"/>
        <v>2.1690705889344715</v>
      </c>
      <c r="Z511">
        <f t="shared" si="166"/>
        <v>5.3830584810626583</v>
      </c>
      <c r="AA511">
        <f t="shared" si="160"/>
        <v>1.9796414069597237</v>
      </c>
      <c r="AB511">
        <f t="shared" si="161"/>
        <v>-0.97634011197761872</v>
      </c>
      <c r="AC511">
        <f t="shared" si="162"/>
        <v>5.0486837834383458</v>
      </c>
      <c r="AD511">
        <f t="shared" si="163"/>
        <v>2.3140161045840362</v>
      </c>
    </row>
    <row r="512" spans="1:30">
      <c r="A512">
        <v>510</v>
      </c>
      <c r="B512">
        <v>4.9439542061794581</v>
      </c>
      <c r="C512">
        <f t="shared" si="167"/>
        <v>6.4562498519466338</v>
      </c>
      <c r="D512">
        <f t="shared" si="167"/>
        <v>5.8685209934081115</v>
      </c>
      <c r="E512">
        <f t="shared" si="168"/>
        <v>6.6421782728711838</v>
      </c>
      <c r="F512">
        <f t="shared" si="171"/>
        <v>5.1573251632671138</v>
      </c>
      <c r="G512">
        <f t="shared" si="171"/>
        <v>4.8809174509803155</v>
      </c>
      <c r="H512">
        <f t="shared" si="171"/>
        <v>4.4050245121769747</v>
      </c>
      <c r="I512">
        <f t="shared" si="154"/>
        <v>-0.53892969400248347</v>
      </c>
      <c r="J512">
        <f t="shared" si="169"/>
        <v>5.9556871867336376</v>
      </c>
      <c r="K512">
        <f t="shared" si="173"/>
        <v>5.1303254071229318</v>
      </c>
      <c r="L512">
        <f t="shared" si="173"/>
        <v>4.5362009727050774</v>
      </c>
      <c r="M512">
        <f t="shared" si="173"/>
        <v>4.5777283587414486</v>
      </c>
      <c r="N512">
        <f t="shared" si="155"/>
        <v>-0.36622584743800957</v>
      </c>
      <c r="O512">
        <f t="shared" si="170"/>
        <v>5.7533405906228019</v>
      </c>
      <c r="P512">
        <f t="shared" si="174"/>
        <v>5.1445793516447065</v>
      </c>
      <c r="Q512">
        <f t="shared" si="172"/>
        <v>5.5001095158927074</v>
      </c>
      <c r="R512">
        <f t="shared" si="175"/>
        <v>4.7845003138107591</v>
      </c>
      <c r="S512">
        <f t="shared" si="175"/>
        <v>4.6622175445956184</v>
      </c>
      <c r="T512">
        <f t="shared" si="156"/>
        <v>-0.2817366615838397</v>
      </c>
      <c r="U512">
        <f t="shared" si="157"/>
        <v>0.2817366615838397</v>
      </c>
      <c r="V512">
        <f t="shared" si="164"/>
        <v>5.2680861203105636</v>
      </c>
      <c r="W512">
        <f t="shared" si="158"/>
        <v>-0.32413191413110543</v>
      </c>
      <c r="X512">
        <f t="shared" si="165"/>
        <v>5.6274434168748044</v>
      </c>
      <c r="Y512">
        <f t="shared" si="159"/>
        <v>-0.68348921069534629</v>
      </c>
      <c r="Z512">
        <f t="shared" si="166"/>
        <v>5.9769509031505752</v>
      </c>
      <c r="AA512">
        <f t="shared" si="160"/>
        <v>-1.0329966969711171</v>
      </c>
      <c r="AB512">
        <f t="shared" si="161"/>
        <v>-3.4006457938205417</v>
      </c>
      <c r="AC512">
        <f t="shared" si="162"/>
        <v>5.077182982389072</v>
      </c>
      <c r="AD512">
        <f t="shared" si="163"/>
        <v>-0.13322877620961382</v>
      </c>
    </row>
    <row r="513" spans="1:30">
      <c r="A513">
        <v>511</v>
      </c>
      <c r="B513">
        <v>5.6091745839334157</v>
      </c>
      <c r="C513">
        <f t="shared" si="167"/>
        <v>6.1533270471009196</v>
      </c>
      <c r="D513">
        <f t="shared" si="167"/>
        <v>6.3690836586211095</v>
      </c>
      <c r="E513">
        <f t="shared" si="168"/>
        <v>5.9521513033575753</v>
      </c>
      <c r="F513">
        <f t="shared" si="171"/>
        <v>5.9187043345860983</v>
      </c>
      <c r="G513">
        <f t="shared" si="171"/>
        <v>4.9990482855638172</v>
      </c>
      <c r="H513">
        <f t="shared" si="171"/>
        <v>4.6196355328589549</v>
      </c>
      <c r="I513">
        <f t="shared" si="154"/>
        <v>-0.98953905107446083</v>
      </c>
      <c r="J513">
        <f t="shared" si="169"/>
        <v>6.2176222561982524</v>
      </c>
      <c r="K513">
        <f t="shared" si="173"/>
        <v>5.379329926004254</v>
      </c>
      <c r="L513">
        <f t="shared" si="173"/>
        <v>4.7307051467078871</v>
      </c>
      <c r="M513">
        <f t="shared" si="173"/>
        <v>4.52306507322111</v>
      </c>
      <c r="N513">
        <f t="shared" si="155"/>
        <v>-1.0861095107123058</v>
      </c>
      <c r="O513">
        <f t="shared" si="170"/>
        <v>6.0959327217452852</v>
      </c>
      <c r="P513">
        <f t="shared" si="174"/>
        <v>5.386986328560619</v>
      </c>
      <c r="Q513">
        <f t="shared" si="172"/>
        <v>5.7897015406369823</v>
      </c>
      <c r="R513">
        <f t="shared" si="175"/>
        <v>4.880196418854104</v>
      </c>
      <c r="S513">
        <f t="shared" si="175"/>
        <v>4.6724752151334945</v>
      </c>
      <c r="T513">
        <f t="shared" si="156"/>
        <v>-0.93669936879992122</v>
      </c>
      <c r="U513">
        <f t="shared" si="157"/>
        <v>0.93669936879992122</v>
      </c>
      <c r="V513">
        <f t="shared" si="164"/>
        <v>5.2356729288974533</v>
      </c>
      <c r="W513">
        <f t="shared" si="158"/>
        <v>0.37350165503596244</v>
      </c>
      <c r="X513">
        <f t="shared" si="165"/>
        <v>5.490745574735735</v>
      </c>
      <c r="Y513">
        <f t="shared" si="159"/>
        <v>0.11842900919768073</v>
      </c>
      <c r="Z513">
        <f t="shared" si="166"/>
        <v>5.6670518940592398</v>
      </c>
      <c r="AA513">
        <f t="shared" si="160"/>
        <v>-5.7877310125824089E-2</v>
      </c>
      <c r="AB513">
        <f t="shared" si="161"/>
        <v>-2.740985416066585</v>
      </c>
      <c r="AC513">
        <f t="shared" si="162"/>
        <v>5.1064083637013464</v>
      </c>
      <c r="AD513">
        <f t="shared" si="163"/>
        <v>0.50276622023206929</v>
      </c>
    </row>
    <row r="514" spans="1:30">
      <c r="A514">
        <v>512</v>
      </c>
      <c r="B514">
        <v>5.9731686906729795</v>
      </c>
      <c r="C514">
        <f t="shared" si="167"/>
        <v>5.2765643950564369</v>
      </c>
      <c r="D514">
        <f t="shared" si="167"/>
        <v>6.3047884495237767</v>
      </c>
      <c r="E514">
        <f t="shared" si="168"/>
        <v>5.9719428927117519</v>
      </c>
      <c r="F514">
        <f t="shared" si="171"/>
        <v>6.027004176399827</v>
      </c>
      <c r="G514">
        <f t="shared" si="171"/>
        <v>5.3878054329963057</v>
      </c>
      <c r="H514">
        <f t="shared" si="171"/>
        <v>4.8260543998938905</v>
      </c>
      <c r="I514">
        <f t="shared" si="154"/>
        <v>-1.147114290779089</v>
      </c>
      <c r="J514">
        <f t="shared" si="169"/>
        <v>5.8664071235015358</v>
      </c>
      <c r="K514">
        <f t="shared" si="173"/>
        <v>5.7008093945506619</v>
      </c>
      <c r="L514">
        <f t="shared" si="173"/>
        <v>4.9727128375021321</v>
      </c>
      <c r="M514">
        <f t="shared" si="173"/>
        <v>4.5538866158150668</v>
      </c>
      <c r="N514">
        <f t="shared" si="155"/>
        <v>-1.4192820748579127</v>
      </c>
      <c r="O514">
        <f t="shared" si="170"/>
        <v>5.8877594369358253</v>
      </c>
      <c r="P514">
        <f t="shared" si="174"/>
        <v>5.6567772579835003</v>
      </c>
      <c r="Q514">
        <f t="shared" si="172"/>
        <v>5.7293129228412374</v>
      </c>
      <c r="R514">
        <f t="shared" si="175"/>
        <v>5.1102511540696511</v>
      </c>
      <c r="S514">
        <f t="shared" si="175"/>
        <v>4.6854429008366258</v>
      </c>
      <c r="T514">
        <f t="shared" si="156"/>
        <v>-1.2877257898363537</v>
      </c>
      <c r="U514">
        <f t="shared" si="157"/>
        <v>1.2877257898363537</v>
      </c>
      <c r="V514">
        <f t="shared" si="164"/>
        <v>5.2730230944010499</v>
      </c>
      <c r="W514">
        <f t="shared" si="158"/>
        <v>0.70014559627192963</v>
      </c>
      <c r="X514">
        <f t="shared" si="165"/>
        <v>5.5144313765752715</v>
      </c>
      <c r="Y514">
        <f t="shared" si="159"/>
        <v>0.45873731409770802</v>
      </c>
      <c r="Z514">
        <f t="shared" si="166"/>
        <v>5.6496887010214927</v>
      </c>
      <c r="AA514">
        <f t="shared" si="160"/>
        <v>0.32347998965148683</v>
      </c>
      <c r="AB514">
        <f t="shared" si="161"/>
        <v>-2.3825513093270203</v>
      </c>
      <c r="AC514">
        <f t="shared" si="162"/>
        <v>5.1363520177301201</v>
      </c>
      <c r="AD514">
        <f t="shared" si="163"/>
        <v>0.83681667294285944</v>
      </c>
    </row>
    <row r="515" spans="1:30">
      <c r="A515">
        <v>513</v>
      </c>
      <c r="B515">
        <v>4.1614473547202397</v>
      </c>
      <c r="C515">
        <f t="shared" si="167"/>
        <v>5.7911716373031972</v>
      </c>
      <c r="D515">
        <f t="shared" si="167"/>
        <v>5.7149457210786778</v>
      </c>
      <c r="E515">
        <f t="shared" si="168"/>
        <v>5.5087658269286175</v>
      </c>
      <c r="F515">
        <f t="shared" si="171"/>
        <v>6.1887574896468367</v>
      </c>
      <c r="G515">
        <f t="shared" si="171"/>
        <v>5.7010112247510136</v>
      </c>
      <c r="H515">
        <f t="shared" si="171"/>
        <v>5.0892570565134791</v>
      </c>
      <c r="I515">
        <f t="shared" ref="I515:I578" si="176">H515-B515</f>
        <v>0.92780970179323941</v>
      </c>
      <c r="J515">
        <f t="shared" si="169"/>
        <v>5.9722493422020584</v>
      </c>
      <c r="K515">
        <f t="shared" si="173"/>
        <v>5.91190133845961</v>
      </c>
      <c r="L515">
        <f t="shared" si="173"/>
        <v>5.2461892069796985</v>
      </c>
      <c r="M515">
        <f t="shared" si="173"/>
        <v>4.6764491711636227</v>
      </c>
      <c r="N515">
        <f t="shared" ref="N515:N578" si="177">M515-B515</f>
        <v>0.51500181644338294</v>
      </c>
      <c r="O515">
        <f t="shared" si="170"/>
        <v>5.6100889447056943</v>
      </c>
      <c r="P515">
        <f t="shared" si="174"/>
        <v>5.7646950396598342</v>
      </c>
      <c r="Q515">
        <f t="shared" si="172"/>
        <v>6.0754720498999006</v>
      </c>
      <c r="R515">
        <f t="shared" si="175"/>
        <v>5.3265851189244193</v>
      </c>
      <c r="S515">
        <f t="shared" si="175"/>
        <v>4.7474449681206883</v>
      </c>
      <c r="T515">
        <f t="shared" ref="T515:T578" si="178">S515-B515</f>
        <v>0.58599761340044854</v>
      </c>
      <c r="U515">
        <f t="shared" ref="U515:U578" si="179">B515-S515</f>
        <v>-0.58599761340044854</v>
      </c>
      <c r="V515">
        <f t="shared" si="164"/>
        <v>5.3430376540282429</v>
      </c>
      <c r="W515">
        <f t="shared" ref="W515:W578" si="180">B515-V515</f>
        <v>-1.1815902993080032</v>
      </c>
      <c r="X515">
        <f t="shared" si="165"/>
        <v>5.6061788393948131</v>
      </c>
      <c r="Y515">
        <f t="shared" ref="Y515:Y578" si="181">B515-X515</f>
        <v>-1.4447314846745734</v>
      </c>
      <c r="Z515">
        <f t="shared" si="166"/>
        <v>5.7467326979169391</v>
      </c>
      <c r="AA515">
        <f t="shared" ref="AA515:AA578" si="182">B515-Z515</f>
        <v>-1.5852853431966993</v>
      </c>
      <c r="AB515">
        <f t="shared" ref="AB515:AB578" si="183">B515- ((0.00556 * A515)  +5.509)</f>
        <v>-4.199832645279761</v>
      </c>
      <c r="AC515">
        <f t="shared" ref="AC515:AC578" si="184">0.00075*A515 + 5.509 + ($AI$6*SIN((A515/$AI$7)+ $AI$8))+ ($AI$6*COS((A515/$AI$7) + $AI$8))+ $AI$9</f>
        <v>5.1670058353147716</v>
      </c>
      <c r="AD515">
        <f t="shared" ref="AD515:AD578" si="185">B515-AC515</f>
        <v>-1.0055584805945319</v>
      </c>
    </row>
    <row r="516" spans="1:30">
      <c r="A516">
        <v>514</v>
      </c>
      <c r="B516">
        <v>7.3158960731766118</v>
      </c>
      <c r="C516">
        <f t="shared" si="167"/>
        <v>5.0673080226966096</v>
      </c>
      <c r="D516">
        <f t="shared" si="167"/>
        <v>5.5338680161798166</v>
      </c>
      <c r="E516">
        <f t="shared" si="168"/>
        <v>5.2479302097755447</v>
      </c>
      <c r="F516">
        <f t="shared" si="171"/>
        <v>5.8109533409993146</v>
      </c>
      <c r="G516">
        <f t="shared" si="171"/>
        <v>6.044822000210921</v>
      </c>
      <c r="H516">
        <f t="shared" si="171"/>
        <v>5.3626216477703785</v>
      </c>
      <c r="I516">
        <f t="shared" si="176"/>
        <v>-1.9532744254062333</v>
      </c>
      <c r="J516">
        <f t="shared" si="169"/>
        <v>5.1719362088765237</v>
      </c>
      <c r="K516">
        <f t="shared" si="173"/>
        <v>6.0029914771588713</v>
      </c>
      <c r="L516">
        <f t="shared" si="173"/>
        <v>5.530591516534364</v>
      </c>
      <c r="M516">
        <f t="shared" si="173"/>
        <v>4.8714520409736988</v>
      </c>
      <c r="N516">
        <f t="shared" si="177"/>
        <v>-2.4444440322029131</v>
      </c>
      <c r="O516">
        <f t="shared" si="170"/>
        <v>5.6007281817365406</v>
      </c>
      <c r="P516">
        <f t="shared" si="174"/>
        <v>5.8611945403076193</v>
      </c>
      <c r="Q516">
        <f t="shared" si="172"/>
        <v>5.6000407565665604</v>
      </c>
      <c r="R516">
        <f t="shared" si="175"/>
        <v>5.6001987256150363</v>
      </c>
      <c r="S516">
        <f t="shared" si="175"/>
        <v>4.8684074177617287</v>
      </c>
      <c r="T516">
        <f t="shared" si="178"/>
        <v>-2.4474886554148831</v>
      </c>
      <c r="U516">
        <f t="shared" si="179"/>
        <v>2.4474886554148831</v>
      </c>
      <c r="V516">
        <f t="shared" ref="V516:V579" si="186">V515+0.1*(B515-V515)</f>
        <v>5.2248786240974425</v>
      </c>
      <c r="W516">
        <f t="shared" si="180"/>
        <v>2.0910174490791693</v>
      </c>
      <c r="X516">
        <f t="shared" ref="X516:X579" si="187">X515+0.2*(B515-X515)</f>
        <v>5.3172325424598981</v>
      </c>
      <c r="Y516">
        <f t="shared" si="181"/>
        <v>1.9986635307167138</v>
      </c>
      <c r="Z516">
        <f t="shared" ref="Z516:Z579" si="188">Z515+0.3*(B515-Z515)</f>
        <v>5.2711470949579295</v>
      </c>
      <c r="AA516">
        <f t="shared" si="182"/>
        <v>2.0447489782186823</v>
      </c>
      <c r="AB516">
        <f t="shared" si="183"/>
        <v>-1.050943926823388</v>
      </c>
      <c r="AC516">
        <f t="shared" si="184"/>
        <v>5.1983615100315808</v>
      </c>
      <c r="AD516">
        <f t="shared" si="185"/>
        <v>2.1175345631450311</v>
      </c>
    </row>
    <row r="517" spans="1:30">
      <c r="A517">
        <v>515</v>
      </c>
      <c r="B517">
        <v>5.7975442812343969</v>
      </c>
      <c r="C517">
        <f t="shared" ref="C517:D580" si="189">AVERAGE(B515:B516)</f>
        <v>5.7386717139484258</v>
      </c>
      <c r="D517">
        <f t="shared" si="189"/>
        <v>5.4292398299999034</v>
      </c>
      <c r="E517">
        <f t="shared" si="168"/>
        <v>5.816837372856611</v>
      </c>
      <c r="F517">
        <f t="shared" si="171"/>
        <v>5.5762129764719717</v>
      </c>
      <c r="G517">
        <f t="shared" si="171"/>
        <v>6.0089050023486594</v>
      </c>
      <c r="H517">
        <f t="shared" si="171"/>
        <v>5.7112128859860798</v>
      </c>
      <c r="I517">
        <f t="shared" si="176"/>
        <v>-8.6331395248317122E-2</v>
      </c>
      <c r="J517">
        <f t="shared" si="169"/>
        <v>5.7649216756258115</v>
      </c>
      <c r="K517">
        <f t="shared" si="173"/>
        <v>5.8070537326945928</v>
      </c>
      <c r="L517">
        <f t="shared" si="173"/>
        <v>5.74875803404335</v>
      </c>
      <c r="M517">
        <f t="shared" si="173"/>
        <v>5.1200496769310204</v>
      </c>
      <c r="N517">
        <f t="shared" si="177"/>
        <v>-0.67749460430337649</v>
      </c>
      <c r="O517">
        <f t="shared" si="170"/>
        <v>5.7714461967475286</v>
      </c>
      <c r="P517">
        <f t="shared" si="174"/>
        <v>5.78956997514923</v>
      </c>
      <c r="Q517">
        <f t="shared" si="172"/>
        <v>5.8943901327841806</v>
      </c>
      <c r="R517">
        <f t="shared" si="175"/>
        <v>5.6794020326018329</v>
      </c>
      <c r="S517">
        <f t="shared" si="175"/>
        <v>5.0513652540864253</v>
      </c>
      <c r="T517">
        <f t="shared" si="178"/>
        <v>-0.74617902714797157</v>
      </c>
      <c r="U517">
        <f t="shared" si="179"/>
        <v>0.74617902714797157</v>
      </c>
      <c r="V517">
        <f t="shared" si="186"/>
        <v>5.4339803690053596</v>
      </c>
      <c r="W517">
        <f t="shared" si="180"/>
        <v>0.36356391222903728</v>
      </c>
      <c r="X517">
        <f t="shared" si="187"/>
        <v>5.7169652486032412</v>
      </c>
      <c r="Y517">
        <f t="shared" si="181"/>
        <v>8.0579032631155734E-2</v>
      </c>
      <c r="Z517">
        <f t="shared" si="188"/>
        <v>5.8845717884235338</v>
      </c>
      <c r="AA517">
        <f t="shared" si="182"/>
        <v>-8.7027507189136877E-2</v>
      </c>
      <c r="AB517">
        <f t="shared" si="183"/>
        <v>-2.5748557187656038</v>
      </c>
      <c r="AC517">
        <f t="shared" si="184"/>
        <v>5.2304105405010377</v>
      </c>
      <c r="AD517">
        <f t="shared" si="185"/>
        <v>0.5671337407333592</v>
      </c>
    </row>
    <row r="518" spans="1:30">
      <c r="A518">
        <v>516</v>
      </c>
      <c r="B518">
        <v>7.0478201404979082</v>
      </c>
      <c r="C518">
        <f t="shared" si="189"/>
        <v>6.5567201772055039</v>
      </c>
      <c r="D518">
        <f t="shared" si="189"/>
        <v>5.4029898683225177</v>
      </c>
      <c r="E518">
        <f t="shared" ref="E518:E581" si="190">AVERAGE(B515:B517)</f>
        <v>5.7582959030437495</v>
      </c>
      <c r="F518">
        <f t="shared" si="171"/>
        <v>5.5245111365202577</v>
      </c>
      <c r="G518">
        <f t="shared" si="171"/>
        <v>5.8586412690393743</v>
      </c>
      <c r="H518">
        <f t="shared" si="171"/>
        <v>5.918246075770198</v>
      </c>
      <c r="I518">
        <f t="shared" si="176"/>
        <v>-1.1295740647277102</v>
      </c>
      <c r="J518">
        <f t="shared" si="169"/>
        <v>5.8120140999510577</v>
      </c>
      <c r="K518">
        <f t="shared" si="173"/>
        <v>5.6938785875514819</v>
      </c>
      <c r="L518">
        <f t="shared" si="173"/>
        <v>5.8556889857159344</v>
      </c>
      <c r="M518">
        <f t="shared" si="173"/>
        <v>5.3745628987648857</v>
      </c>
      <c r="N518">
        <f t="shared" si="177"/>
        <v>-1.6732572417330225</v>
      </c>
      <c r="O518">
        <f t="shared" si="170"/>
        <v>6.0591753080604276</v>
      </c>
      <c r="P518">
        <f t="shared" si="174"/>
        <v>5.7931910963741746</v>
      </c>
      <c r="Q518">
        <f t="shared" si="172"/>
        <v>5.6335308649861835</v>
      </c>
      <c r="R518">
        <f t="shared" si="175"/>
        <v>5.7648378197702614</v>
      </c>
      <c r="S518">
        <f t="shared" si="175"/>
        <v>5.2301889606459673</v>
      </c>
      <c r="T518">
        <f t="shared" si="178"/>
        <v>-1.8176311798519409</v>
      </c>
      <c r="U518">
        <f t="shared" si="179"/>
        <v>1.8176311798519409</v>
      </c>
      <c r="V518">
        <f t="shared" si="186"/>
        <v>5.4703367602282631</v>
      </c>
      <c r="W518">
        <f t="shared" si="180"/>
        <v>1.5774833802696451</v>
      </c>
      <c r="X518">
        <f t="shared" si="187"/>
        <v>5.733081055129472</v>
      </c>
      <c r="Y518">
        <f t="shared" si="181"/>
        <v>1.3147390853684362</v>
      </c>
      <c r="Z518">
        <f t="shared" si="188"/>
        <v>5.8584635362667932</v>
      </c>
      <c r="AA518">
        <f t="shared" si="182"/>
        <v>1.189356604231115</v>
      </c>
      <c r="AB518">
        <f t="shared" si="183"/>
        <v>-1.3301398595020917</v>
      </c>
      <c r="AC518">
        <f t="shared" si="184"/>
        <v>5.2631442327492586</v>
      </c>
      <c r="AD518">
        <f t="shared" si="185"/>
        <v>1.7846759077486496</v>
      </c>
    </row>
    <row r="519" spans="1:30">
      <c r="A519">
        <v>517</v>
      </c>
      <c r="B519">
        <v>4.8140449934684488</v>
      </c>
      <c r="C519">
        <f t="shared" si="189"/>
        <v>6.422682210866153</v>
      </c>
      <c r="D519">
        <f t="shared" si="189"/>
        <v>6.1476959455769649</v>
      </c>
      <c r="E519">
        <f t="shared" si="190"/>
        <v>6.7204201649696387</v>
      </c>
      <c r="F519">
        <f t="shared" si="171"/>
        <v>5.6076878285586353</v>
      </c>
      <c r="G519">
        <f t="shared" si="171"/>
        <v>5.637225817997181</v>
      </c>
      <c r="H519">
        <f t="shared" si="171"/>
        <v>5.9707894238663179</v>
      </c>
      <c r="I519">
        <f t="shared" si="176"/>
        <v>1.1567444303978691</v>
      </c>
      <c r="J519">
        <f t="shared" ref="J519:J582" si="191">AVERAGE(B515:B518)</f>
        <v>6.0806769624072894</v>
      </c>
      <c r="K519">
        <f t="shared" si="173"/>
        <v>5.6802803316638624</v>
      </c>
      <c r="L519">
        <f t="shared" si="173"/>
        <v>5.8539562839661388</v>
      </c>
      <c r="M519">
        <f t="shared" si="173"/>
        <v>5.5953069358183374</v>
      </c>
      <c r="N519">
        <f t="shared" si="177"/>
        <v>0.78126194234988855</v>
      </c>
      <c r="O519">
        <f t="shared" ref="O519:O582" si="192">AVERAGE(B515:B519)</f>
        <v>5.8273505686195213</v>
      </c>
      <c r="P519">
        <f t="shared" si="174"/>
        <v>5.7858396136372034</v>
      </c>
      <c r="Q519">
        <f t="shared" si="172"/>
        <v>5.9841751873725926</v>
      </c>
      <c r="R519">
        <f t="shared" si="175"/>
        <v>5.7870747112858405</v>
      </c>
      <c r="S519">
        <f t="shared" si="175"/>
        <v>5.3935785449725513</v>
      </c>
      <c r="T519">
        <f t="shared" si="178"/>
        <v>0.57953355150410246</v>
      </c>
      <c r="U519">
        <f t="shared" si="179"/>
        <v>-0.57953355150410246</v>
      </c>
      <c r="V519">
        <f t="shared" si="186"/>
        <v>5.6280850982552275</v>
      </c>
      <c r="W519">
        <f t="shared" si="180"/>
        <v>-0.81404010478677868</v>
      </c>
      <c r="X519">
        <f t="shared" si="187"/>
        <v>5.9960288722031594</v>
      </c>
      <c r="Y519">
        <f t="shared" si="181"/>
        <v>-1.1819838787347106</v>
      </c>
      <c r="Z519">
        <f t="shared" si="188"/>
        <v>6.215270517536128</v>
      </c>
      <c r="AA519">
        <f t="shared" si="182"/>
        <v>-1.4012255240676792</v>
      </c>
      <c r="AB519">
        <f t="shared" si="183"/>
        <v>-3.5694750065315519</v>
      </c>
      <c r="AC519">
        <f t="shared" si="184"/>
        <v>5.2965537026229441</v>
      </c>
      <c r="AD519">
        <f t="shared" si="185"/>
        <v>-0.48250870915449529</v>
      </c>
    </row>
    <row r="520" spans="1:30">
      <c r="A520">
        <v>518</v>
      </c>
      <c r="B520">
        <v>6.293889455568408</v>
      </c>
      <c r="C520">
        <f t="shared" si="189"/>
        <v>5.9309325669831789</v>
      </c>
      <c r="D520">
        <f t="shared" si="189"/>
        <v>6.4897011940358285</v>
      </c>
      <c r="E520">
        <f t="shared" si="190"/>
        <v>5.8864698050669189</v>
      </c>
      <c r="F520">
        <f t="shared" si="171"/>
        <v>6.0985178136233325</v>
      </c>
      <c r="G520">
        <f t="shared" si="171"/>
        <v>5.5694706471836213</v>
      </c>
      <c r="H520">
        <f t="shared" si="171"/>
        <v>5.8349240297950713</v>
      </c>
      <c r="I520">
        <f t="shared" si="176"/>
        <v>-0.45896542577333665</v>
      </c>
      <c r="J520">
        <f t="shared" si="191"/>
        <v>6.2438263720943414</v>
      </c>
      <c r="K520">
        <f t="shared" si="173"/>
        <v>5.7073872367151699</v>
      </c>
      <c r="L520">
        <f t="shared" si="173"/>
        <v>5.7960510322672016</v>
      </c>
      <c r="M520">
        <f t="shared" si="173"/>
        <v>5.7472487050649468</v>
      </c>
      <c r="N520">
        <f t="shared" si="177"/>
        <v>-0.54664075050346117</v>
      </c>
      <c r="O520">
        <f t="shared" si="192"/>
        <v>6.2538389887891546</v>
      </c>
      <c r="P520">
        <f t="shared" si="174"/>
        <v>5.7737578399739427</v>
      </c>
      <c r="Q520">
        <f t="shared" si="172"/>
        <v>5.8516535889617645</v>
      </c>
      <c r="R520">
        <f t="shared" si="175"/>
        <v>5.8194869857417757</v>
      </c>
      <c r="S520">
        <f t="shared" si="175"/>
        <v>5.5447249270445065</v>
      </c>
      <c r="T520">
        <f t="shared" si="178"/>
        <v>-0.74916452852390147</v>
      </c>
      <c r="U520">
        <f t="shared" si="179"/>
        <v>0.74916452852390147</v>
      </c>
      <c r="V520">
        <f t="shared" si="186"/>
        <v>5.54668108777655</v>
      </c>
      <c r="W520">
        <f t="shared" si="180"/>
        <v>0.74720836779185795</v>
      </c>
      <c r="X520">
        <f t="shared" si="187"/>
        <v>5.7596320964562171</v>
      </c>
      <c r="Y520">
        <f t="shared" si="181"/>
        <v>0.53425735911219085</v>
      </c>
      <c r="Z520">
        <f t="shared" si="188"/>
        <v>5.7949028603158244</v>
      </c>
      <c r="AA520">
        <f t="shared" si="182"/>
        <v>0.4989865952525836</v>
      </c>
      <c r="AB520">
        <f t="shared" si="183"/>
        <v>-2.0951905444315919</v>
      </c>
      <c r="AC520">
        <f t="shared" si="184"/>
        <v>5.330629878257124</v>
      </c>
      <c r="AD520">
        <f t="shared" si="185"/>
        <v>0.96325957731128398</v>
      </c>
    </row>
    <row r="521" spans="1:30">
      <c r="A521">
        <v>519</v>
      </c>
      <c r="B521">
        <v>5.901341403924981</v>
      </c>
      <c r="C521">
        <f t="shared" si="189"/>
        <v>5.5539672245184288</v>
      </c>
      <c r="D521">
        <f t="shared" si="189"/>
        <v>6.176807388924666</v>
      </c>
      <c r="E521">
        <f t="shared" si="190"/>
        <v>6.0519181965115889</v>
      </c>
      <c r="F521">
        <f t="shared" ref="F521:H584" si="193">AVERAGE(E518:E520)</f>
        <v>6.1217286243601023</v>
      </c>
      <c r="G521">
        <f t="shared" si="193"/>
        <v>5.7435722595674079</v>
      </c>
      <c r="H521">
        <f t="shared" si="193"/>
        <v>5.688445911406725</v>
      </c>
      <c r="I521">
        <f t="shared" si="176"/>
        <v>-0.21289549251825601</v>
      </c>
      <c r="J521">
        <f t="shared" si="191"/>
        <v>5.9883247176922909</v>
      </c>
      <c r="K521">
        <f t="shared" si="173"/>
        <v>5.9753597775196248</v>
      </c>
      <c r="L521">
        <f t="shared" si="173"/>
        <v>5.7221499721562772</v>
      </c>
      <c r="M521">
        <f t="shared" si="173"/>
        <v>5.8136135839981558</v>
      </c>
      <c r="N521">
        <f t="shared" si="177"/>
        <v>-8.7727819926825212E-2</v>
      </c>
      <c r="O521">
        <f t="shared" si="192"/>
        <v>5.9709280549388293</v>
      </c>
      <c r="P521">
        <f t="shared" si="174"/>
        <v>5.9025078487906351</v>
      </c>
      <c r="Q521">
        <f t="shared" ref="Q521:Q584" si="194">AVERAGE(B515:B520)</f>
        <v>5.9051070497776692</v>
      </c>
      <c r="R521">
        <f t="shared" si="175"/>
        <v>5.8398770967618638</v>
      </c>
      <c r="S521">
        <f t="shared" si="175"/>
        <v>5.6629308989898606</v>
      </c>
      <c r="T521">
        <f t="shared" si="178"/>
        <v>-0.23841050493512039</v>
      </c>
      <c r="U521">
        <f t="shared" si="179"/>
        <v>0.23841050493512039</v>
      </c>
      <c r="V521">
        <f t="shared" si="186"/>
        <v>5.6214019245557356</v>
      </c>
      <c r="W521">
        <f t="shared" si="180"/>
        <v>0.27993947936924535</v>
      </c>
      <c r="X521">
        <f t="shared" si="187"/>
        <v>5.8664835682786549</v>
      </c>
      <c r="Y521">
        <f t="shared" si="181"/>
        <v>3.4857835646326052E-2</v>
      </c>
      <c r="Z521">
        <f t="shared" si="188"/>
        <v>5.9445988388915998</v>
      </c>
      <c r="AA521">
        <f t="shared" si="182"/>
        <v>-4.3257434966618824E-2</v>
      </c>
      <c r="AB521">
        <f t="shared" si="183"/>
        <v>-2.4932985960750198</v>
      </c>
      <c r="AC521">
        <f t="shared" si="184"/>
        <v>5.3653635025950832</v>
      </c>
      <c r="AD521">
        <f t="shared" si="185"/>
        <v>0.53597790132989775</v>
      </c>
    </row>
    <row r="522" spans="1:30">
      <c r="A522">
        <v>520</v>
      </c>
      <c r="B522">
        <v>6.2211739097534906</v>
      </c>
      <c r="C522">
        <f t="shared" si="189"/>
        <v>6.0976154297466945</v>
      </c>
      <c r="D522">
        <f t="shared" si="189"/>
        <v>5.7424498957508039</v>
      </c>
      <c r="E522">
        <f t="shared" si="190"/>
        <v>5.6697586176539465</v>
      </c>
      <c r="F522">
        <f t="shared" si="193"/>
        <v>6.2196027221827164</v>
      </c>
      <c r="G522">
        <f t="shared" si="193"/>
        <v>5.9426447555140234</v>
      </c>
      <c r="H522">
        <f t="shared" si="193"/>
        <v>5.6500895749160698</v>
      </c>
      <c r="I522">
        <f t="shared" si="176"/>
        <v>-0.57108433483742083</v>
      </c>
      <c r="J522">
        <f t="shared" si="191"/>
        <v>6.0142739983649367</v>
      </c>
      <c r="K522">
        <f t="shared" si="173"/>
        <v>6.0312105380362446</v>
      </c>
      <c r="L522">
        <f t="shared" si="173"/>
        <v>5.7642264833625347</v>
      </c>
      <c r="M522">
        <f t="shared" si="173"/>
        <v>5.806961568526388</v>
      </c>
      <c r="N522">
        <f t="shared" si="177"/>
        <v>-0.4142123412271026</v>
      </c>
      <c r="O522">
        <f t="shared" si="192"/>
        <v>6.0556539806426475</v>
      </c>
      <c r="P522">
        <f t="shared" si="174"/>
        <v>5.9765478234310923</v>
      </c>
      <c r="Q522">
        <f t="shared" si="194"/>
        <v>6.1950893913117921</v>
      </c>
      <c r="R522">
        <f t="shared" si="175"/>
        <v>5.811482930074825</v>
      </c>
      <c r="S522">
        <f t="shared" si="175"/>
        <v>5.7484795619627675</v>
      </c>
      <c r="T522">
        <f t="shared" si="178"/>
        <v>-0.47269434779072306</v>
      </c>
      <c r="U522">
        <f t="shared" si="179"/>
        <v>0.47269434779072306</v>
      </c>
      <c r="V522">
        <f t="shared" si="186"/>
        <v>5.6493958724926605</v>
      </c>
      <c r="W522">
        <f t="shared" si="180"/>
        <v>0.5717780372608301</v>
      </c>
      <c r="X522">
        <f t="shared" si="187"/>
        <v>5.8734551354079203</v>
      </c>
      <c r="Y522">
        <f t="shared" si="181"/>
        <v>0.3477187743455703</v>
      </c>
      <c r="Z522">
        <f t="shared" si="188"/>
        <v>5.9316216084016142</v>
      </c>
      <c r="AA522">
        <f t="shared" si="182"/>
        <v>0.28955230135187637</v>
      </c>
      <c r="AB522">
        <f t="shared" si="183"/>
        <v>-2.1790260902465093</v>
      </c>
      <c r="AC522">
        <f t="shared" si="184"/>
        <v>5.4007451359596788</v>
      </c>
      <c r="AD522">
        <f t="shared" si="185"/>
        <v>0.82042877379381185</v>
      </c>
    </row>
    <row r="523" spans="1:30">
      <c r="A523">
        <v>521</v>
      </c>
      <c r="B523">
        <v>5.7452939985969858</v>
      </c>
      <c r="C523">
        <f t="shared" si="189"/>
        <v>6.0612576568392358</v>
      </c>
      <c r="D523">
        <f t="shared" si="189"/>
        <v>5.8257913271325616</v>
      </c>
      <c r="E523">
        <f t="shared" si="190"/>
        <v>6.1388015897489607</v>
      </c>
      <c r="F523">
        <f t="shared" si="193"/>
        <v>5.8693822064108181</v>
      </c>
      <c r="G523">
        <f t="shared" si="193"/>
        <v>6.1466163867220507</v>
      </c>
      <c r="H523">
        <f t="shared" si="193"/>
        <v>5.7518958874216848</v>
      </c>
      <c r="I523">
        <f t="shared" si="176"/>
        <v>6.6018888246990315E-3</v>
      </c>
      <c r="J523">
        <f t="shared" si="191"/>
        <v>5.8076124406788328</v>
      </c>
      <c r="K523">
        <f t="shared" ref="K523:M586" si="195">AVERAGE(J519:J522)</f>
        <v>6.0817755126397142</v>
      </c>
      <c r="L523">
        <f t="shared" si="195"/>
        <v>5.8485594709837256</v>
      </c>
      <c r="M523">
        <f t="shared" si="195"/>
        <v>5.7840959429380376</v>
      </c>
      <c r="N523">
        <f t="shared" si="177"/>
        <v>3.8801944341051886E-2</v>
      </c>
      <c r="O523">
        <f t="shared" si="192"/>
        <v>5.7951487522624632</v>
      </c>
      <c r="P523">
        <f t="shared" si="174"/>
        <v>6.0333893802101155</v>
      </c>
      <c r="Q523">
        <f t="shared" si="194"/>
        <v>6.0126356974079398</v>
      </c>
      <c r="R523">
        <f t="shared" si="175"/>
        <v>5.9106577025323643</v>
      </c>
      <c r="S523">
        <f t="shared" si="175"/>
        <v>5.7836935960393996</v>
      </c>
      <c r="T523">
        <f t="shared" si="178"/>
        <v>3.8399597442413835E-2</v>
      </c>
      <c r="U523">
        <f t="shared" si="179"/>
        <v>-3.8399597442413835E-2</v>
      </c>
      <c r="V523">
        <f t="shared" si="186"/>
        <v>5.7065736762187438</v>
      </c>
      <c r="W523">
        <f t="shared" si="180"/>
        <v>3.8720322378241967E-2</v>
      </c>
      <c r="X523">
        <f t="shared" si="187"/>
        <v>5.9429988902770345</v>
      </c>
      <c r="Y523">
        <f t="shared" si="181"/>
        <v>-0.19770489168004879</v>
      </c>
      <c r="Z523">
        <f t="shared" si="188"/>
        <v>6.0184872988071767</v>
      </c>
      <c r="AA523">
        <f t="shared" si="182"/>
        <v>-0.27319330021019095</v>
      </c>
      <c r="AB523">
        <f t="shared" si="183"/>
        <v>-2.660466001403015</v>
      </c>
      <c r="AC523">
        <f t="shared" si="184"/>
        <v>5.4367651586754411</v>
      </c>
      <c r="AD523">
        <f t="shared" si="185"/>
        <v>0.30852883992154467</v>
      </c>
    </row>
    <row r="524" spans="1:30">
      <c r="A524">
        <v>522</v>
      </c>
      <c r="B524">
        <v>4.4837817706021692</v>
      </c>
      <c r="C524">
        <f t="shared" si="189"/>
        <v>5.9832339541752386</v>
      </c>
      <c r="D524">
        <f t="shared" si="189"/>
        <v>6.0794365432929656</v>
      </c>
      <c r="E524">
        <f t="shared" si="190"/>
        <v>5.9559364374251524</v>
      </c>
      <c r="F524">
        <f t="shared" si="193"/>
        <v>5.953492801304832</v>
      </c>
      <c r="G524">
        <f t="shared" si="193"/>
        <v>6.0702378509845465</v>
      </c>
      <c r="H524">
        <f t="shared" si="193"/>
        <v>5.944277800601161</v>
      </c>
      <c r="I524">
        <f t="shared" si="176"/>
        <v>1.4604960299989918</v>
      </c>
      <c r="J524">
        <f t="shared" si="191"/>
        <v>6.0404246919609665</v>
      </c>
      <c r="K524">
        <f t="shared" si="195"/>
        <v>6.0135093822075998</v>
      </c>
      <c r="L524">
        <f t="shared" si="195"/>
        <v>5.948933266227689</v>
      </c>
      <c r="M524">
        <f t="shared" si="195"/>
        <v>5.7827467396924348</v>
      </c>
      <c r="N524">
        <f t="shared" si="177"/>
        <v>1.2989649690902656</v>
      </c>
      <c r="O524">
        <f t="shared" si="192"/>
        <v>5.7290961076892071</v>
      </c>
      <c r="P524">
        <f t="shared" si="174"/>
        <v>5.9805840690505239</v>
      </c>
      <c r="Q524">
        <f t="shared" si="194"/>
        <v>6.0039273169683698</v>
      </c>
      <c r="R524">
        <f t="shared" si="175"/>
        <v>5.9303652966363236</v>
      </c>
      <c r="S524">
        <f t="shared" si="175"/>
        <v>5.8222362076944885</v>
      </c>
      <c r="T524">
        <f t="shared" si="178"/>
        <v>1.3384544370923193</v>
      </c>
      <c r="U524">
        <f t="shared" si="179"/>
        <v>-1.3384544370923193</v>
      </c>
      <c r="V524">
        <f t="shared" si="186"/>
        <v>5.7104457084565681</v>
      </c>
      <c r="W524">
        <f t="shared" si="180"/>
        <v>-1.2266639378543989</v>
      </c>
      <c r="X524">
        <f t="shared" si="187"/>
        <v>5.9034579119410244</v>
      </c>
      <c r="Y524">
        <f t="shared" si="181"/>
        <v>-1.4196761413388552</v>
      </c>
      <c r="Z524">
        <f t="shared" si="188"/>
        <v>5.9365293087441193</v>
      </c>
      <c r="AA524">
        <f t="shared" si="182"/>
        <v>-1.4527475381419501</v>
      </c>
      <c r="AB524">
        <f t="shared" si="183"/>
        <v>-3.9275382293978307</v>
      </c>
      <c r="AC524">
        <f t="shared" si="184"/>
        <v>5.4734137737406172</v>
      </c>
      <c r="AD524">
        <f t="shared" si="185"/>
        <v>-0.98963200313844801</v>
      </c>
    </row>
    <row r="525" spans="1:30">
      <c r="A525">
        <v>523</v>
      </c>
      <c r="B525">
        <v>3.8152585003552622</v>
      </c>
      <c r="C525">
        <f t="shared" si="189"/>
        <v>5.1145378845995779</v>
      </c>
      <c r="D525">
        <f t="shared" si="189"/>
        <v>6.0222458055072376</v>
      </c>
      <c r="E525">
        <f t="shared" si="190"/>
        <v>5.4834165596508813</v>
      </c>
      <c r="F525">
        <f t="shared" si="193"/>
        <v>5.9214988816093532</v>
      </c>
      <c r="G525">
        <f t="shared" si="193"/>
        <v>6.0141592432994555</v>
      </c>
      <c r="H525">
        <f t="shared" si="193"/>
        <v>6.0531663310735402</v>
      </c>
      <c r="I525">
        <f t="shared" si="176"/>
        <v>2.237907830718278</v>
      </c>
      <c r="J525">
        <f t="shared" si="191"/>
        <v>5.5878977707194064</v>
      </c>
      <c r="K525">
        <f t="shared" si="195"/>
        <v>5.9626589621742561</v>
      </c>
      <c r="L525">
        <f t="shared" si="195"/>
        <v>6.0254638026007967</v>
      </c>
      <c r="M525">
        <f t="shared" si="195"/>
        <v>5.8209672981825573</v>
      </c>
      <c r="N525">
        <f t="shared" si="177"/>
        <v>2.0057087978272952</v>
      </c>
      <c r="O525">
        <f t="shared" si="192"/>
        <v>5.2333699166465779</v>
      </c>
      <c r="P525">
        <f t="shared" ref="P525:P588" si="196">AVERAGE(O520:O524)</f>
        <v>5.9609331768644607</v>
      </c>
      <c r="Q525">
        <f t="shared" si="194"/>
        <v>5.5765875886524148</v>
      </c>
      <c r="R525">
        <f t="shared" si="175"/>
        <v>5.9920980386333547</v>
      </c>
      <c r="S525">
        <f t="shared" si="175"/>
        <v>5.8498241205054988</v>
      </c>
      <c r="T525">
        <f t="shared" si="178"/>
        <v>2.0345656201502367</v>
      </c>
      <c r="U525">
        <f t="shared" si="179"/>
        <v>-2.0345656201502367</v>
      </c>
      <c r="V525">
        <f t="shared" si="186"/>
        <v>5.5877793146711285</v>
      </c>
      <c r="W525">
        <f t="shared" si="180"/>
        <v>-1.7725208143158664</v>
      </c>
      <c r="X525">
        <f t="shared" si="187"/>
        <v>5.619522683673253</v>
      </c>
      <c r="Y525">
        <f t="shared" si="181"/>
        <v>-1.8042641833179909</v>
      </c>
      <c r="Z525">
        <f t="shared" si="188"/>
        <v>5.5007050473015342</v>
      </c>
      <c r="AA525">
        <f t="shared" si="182"/>
        <v>-1.6854465469462721</v>
      </c>
      <c r="AB525">
        <f t="shared" si="183"/>
        <v>-4.6016214996447387</v>
      </c>
      <c r="AC525">
        <f t="shared" si="184"/>
        <v>5.5106810095485228</v>
      </c>
      <c r="AD525">
        <f t="shared" si="185"/>
        <v>-1.6954225091932607</v>
      </c>
    </row>
    <row r="526" spans="1:30">
      <c r="A526">
        <v>524</v>
      </c>
      <c r="B526">
        <v>4.0581275347612138</v>
      </c>
      <c r="C526">
        <f t="shared" si="189"/>
        <v>4.1495201354787152</v>
      </c>
      <c r="D526">
        <f t="shared" si="189"/>
        <v>5.5488859193874083</v>
      </c>
      <c r="E526">
        <f t="shared" si="190"/>
        <v>4.6814447565181396</v>
      </c>
      <c r="F526">
        <f t="shared" si="193"/>
        <v>5.8593848622749976</v>
      </c>
      <c r="G526">
        <f t="shared" si="193"/>
        <v>5.9147912964416678</v>
      </c>
      <c r="H526">
        <f t="shared" si="193"/>
        <v>6.0770044936686842</v>
      </c>
      <c r="I526">
        <f t="shared" si="176"/>
        <v>2.0188769589074704</v>
      </c>
      <c r="J526">
        <f t="shared" si="191"/>
        <v>5.0663770448269769</v>
      </c>
      <c r="K526">
        <f t="shared" si="195"/>
        <v>5.8625522254310365</v>
      </c>
      <c r="L526">
        <f t="shared" si="195"/>
        <v>6.0222885987644537</v>
      </c>
      <c r="M526">
        <f t="shared" si="195"/>
        <v>5.8967957557936863</v>
      </c>
      <c r="N526">
        <f t="shared" si="177"/>
        <v>1.8386682210324725</v>
      </c>
      <c r="O526">
        <f t="shared" si="192"/>
        <v>4.8647271428138241</v>
      </c>
      <c r="P526">
        <f t="shared" si="196"/>
        <v>5.7568393624359455</v>
      </c>
      <c r="Q526">
        <f t="shared" si="194"/>
        <v>5.4101231731335497</v>
      </c>
      <c r="R526">
        <f t="shared" si="175"/>
        <v>5.9241667721799915</v>
      </c>
      <c r="S526">
        <f t="shared" si="175"/>
        <v>5.8839946750634171</v>
      </c>
      <c r="T526">
        <f t="shared" si="178"/>
        <v>1.8258671403022033</v>
      </c>
      <c r="U526">
        <f t="shared" si="179"/>
        <v>-1.8258671403022033</v>
      </c>
      <c r="V526">
        <f t="shared" si="186"/>
        <v>5.4105272332395415</v>
      </c>
      <c r="W526">
        <f t="shared" si="180"/>
        <v>-1.3523996984783277</v>
      </c>
      <c r="X526">
        <f t="shared" si="187"/>
        <v>5.2586698470096547</v>
      </c>
      <c r="Y526">
        <f t="shared" si="181"/>
        <v>-1.2005423122484409</v>
      </c>
      <c r="Z526">
        <f t="shared" si="188"/>
        <v>4.9950710832176526</v>
      </c>
      <c r="AA526">
        <f t="shared" si="182"/>
        <v>-0.93694354845643879</v>
      </c>
      <c r="AB526">
        <f t="shared" si="183"/>
        <v>-4.3643124652387861</v>
      </c>
      <c r="AC526">
        <f t="shared" si="184"/>
        <v>5.5485567226573433</v>
      </c>
      <c r="AD526">
        <f t="shared" si="185"/>
        <v>-1.4904291878961295</v>
      </c>
    </row>
    <row r="527" spans="1:30">
      <c r="A527">
        <v>525</v>
      </c>
      <c r="B527">
        <v>3.6945778189454952</v>
      </c>
      <c r="C527">
        <f t="shared" si="189"/>
        <v>3.936693017558238</v>
      </c>
      <c r="D527">
        <f t="shared" si="189"/>
        <v>4.6320290100391466</v>
      </c>
      <c r="E527">
        <f t="shared" si="190"/>
        <v>4.1190559352395484</v>
      </c>
      <c r="F527">
        <f t="shared" si="193"/>
        <v>5.3735992511980584</v>
      </c>
      <c r="G527">
        <f t="shared" si="193"/>
        <v>5.9114588483963937</v>
      </c>
      <c r="H527">
        <f t="shared" si="193"/>
        <v>5.9997294635752239</v>
      </c>
      <c r="I527">
        <f t="shared" si="176"/>
        <v>2.3051516446297287</v>
      </c>
      <c r="J527">
        <f t="shared" si="191"/>
        <v>4.5256154510789077</v>
      </c>
      <c r="K527">
        <f t="shared" si="195"/>
        <v>5.6255779870465457</v>
      </c>
      <c r="L527">
        <f t="shared" si="195"/>
        <v>5.9801240206131521</v>
      </c>
      <c r="M527">
        <f t="shared" si="195"/>
        <v>5.9613112846441663</v>
      </c>
      <c r="N527">
        <f t="shared" si="177"/>
        <v>2.2667334656986711</v>
      </c>
      <c r="O527">
        <f t="shared" si="192"/>
        <v>4.3594079246522259</v>
      </c>
      <c r="P527">
        <f t="shared" si="196"/>
        <v>5.5355991800109434</v>
      </c>
      <c r="Q527">
        <f t="shared" si="194"/>
        <v>5.0374961863323504</v>
      </c>
      <c r="R527">
        <f t="shared" ref="R527:S590" si="197">AVERAGE(Q521:Q526)</f>
        <v>5.8505783695419566</v>
      </c>
      <c r="S527">
        <f t="shared" si="197"/>
        <v>5.9014413061364541</v>
      </c>
      <c r="T527">
        <f t="shared" si="178"/>
        <v>2.2068634871909589</v>
      </c>
      <c r="U527">
        <f t="shared" si="179"/>
        <v>-2.2068634871909589</v>
      </c>
      <c r="V527">
        <f t="shared" si="186"/>
        <v>5.2752872633917089</v>
      </c>
      <c r="W527">
        <f t="shared" si="180"/>
        <v>-1.5807094444462138</v>
      </c>
      <c r="X527">
        <f t="shared" si="187"/>
        <v>5.0185613845599661</v>
      </c>
      <c r="Y527">
        <f t="shared" si="181"/>
        <v>-1.3239835656144709</v>
      </c>
      <c r="Z527">
        <f t="shared" si="188"/>
        <v>4.7139880186807206</v>
      </c>
      <c r="AA527">
        <f t="shared" si="182"/>
        <v>-1.0194101997352254</v>
      </c>
      <c r="AB527">
        <f t="shared" si="183"/>
        <v>-4.7334221810545056</v>
      </c>
      <c r="AC527">
        <f t="shared" si="184"/>
        <v>5.5870306006077168</v>
      </c>
      <c r="AD527">
        <f t="shared" si="185"/>
        <v>-1.8924527816622216</v>
      </c>
    </row>
    <row r="528" spans="1:30">
      <c r="A528">
        <v>526</v>
      </c>
      <c r="B528">
        <v>6.732758533499819</v>
      </c>
      <c r="C528">
        <f t="shared" si="189"/>
        <v>3.8763526768533545</v>
      </c>
      <c r="D528">
        <f t="shared" si="189"/>
        <v>4.0431065765184764</v>
      </c>
      <c r="E528">
        <f t="shared" si="190"/>
        <v>3.8559879513539905</v>
      </c>
      <c r="F528">
        <f t="shared" si="193"/>
        <v>4.7613057504695222</v>
      </c>
      <c r="G528">
        <f t="shared" si="193"/>
        <v>5.7181609983608039</v>
      </c>
      <c r="H528">
        <f t="shared" si="193"/>
        <v>5.9468031293791723</v>
      </c>
      <c r="I528">
        <f t="shared" si="176"/>
        <v>-0.78595540412064668</v>
      </c>
      <c r="J528">
        <f t="shared" si="191"/>
        <v>4.0129364061660349</v>
      </c>
      <c r="K528">
        <f t="shared" si="195"/>
        <v>5.3050787396465644</v>
      </c>
      <c r="L528">
        <f t="shared" si="195"/>
        <v>5.8660746392148599</v>
      </c>
      <c r="M528">
        <f t="shared" si="195"/>
        <v>5.9942024220515222</v>
      </c>
      <c r="N528">
        <f t="shared" si="177"/>
        <v>-0.7385561114482968</v>
      </c>
      <c r="O528">
        <f t="shared" si="192"/>
        <v>4.5569008316327917</v>
      </c>
      <c r="P528">
        <f t="shared" si="196"/>
        <v>5.1963499688128589</v>
      </c>
      <c r="Q528">
        <f t="shared" si="194"/>
        <v>4.6697022555024361</v>
      </c>
      <c r="R528">
        <f t="shared" si="197"/>
        <v>5.7059765589677367</v>
      </c>
      <c r="S528">
        <f t="shared" si="197"/>
        <v>5.903224851599802</v>
      </c>
      <c r="T528">
        <f t="shared" si="178"/>
        <v>-0.82953368190001697</v>
      </c>
      <c r="U528">
        <f t="shared" si="179"/>
        <v>0.82953368190001697</v>
      </c>
      <c r="V528">
        <f t="shared" si="186"/>
        <v>5.1172163189470874</v>
      </c>
      <c r="W528">
        <f t="shared" si="180"/>
        <v>1.6155422145527316</v>
      </c>
      <c r="X528">
        <f t="shared" si="187"/>
        <v>4.7537646714370716</v>
      </c>
      <c r="Y528">
        <f t="shared" si="181"/>
        <v>1.9789938620627474</v>
      </c>
      <c r="Z528">
        <f t="shared" si="188"/>
        <v>4.4081649587601532</v>
      </c>
      <c r="AA528">
        <f t="shared" si="182"/>
        <v>2.3245935747396658</v>
      </c>
      <c r="AB528">
        <f t="shared" si="183"/>
        <v>-1.7008014665001809</v>
      </c>
      <c r="AC528">
        <f t="shared" si="184"/>
        <v>5.6260921647872193</v>
      </c>
      <c r="AD528">
        <f t="shared" si="185"/>
        <v>1.1066663687125997</v>
      </c>
    </row>
    <row r="529" spans="1:30">
      <c r="A529">
        <v>527</v>
      </c>
      <c r="B529">
        <v>5.6177168652923486</v>
      </c>
      <c r="C529">
        <f t="shared" si="189"/>
        <v>5.2136681762226571</v>
      </c>
      <c r="D529">
        <f t="shared" si="189"/>
        <v>3.906522847205796</v>
      </c>
      <c r="E529">
        <f t="shared" si="190"/>
        <v>4.8284879624021757</v>
      </c>
      <c r="F529">
        <f t="shared" si="193"/>
        <v>4.2188295477038924</v>
      </c>
      <c r="G529">
        <f t="shared" si="193"/>
        <v>5.3314299546475254</v>
      </c>
      <c r="H529">
        <f t="shared" si="193"/>
        <v>5.8481370477329548</v>
      </c>
      <c r="I529">
        <f t="shared" si="176"/>
        <v>0.23042018244060625</v>
      </c>
      <c r="J529">
        <f t="shared" si="191"/>
        <v>4.5751805968904478</v>
      </c>
      <c r="K529">
        <f t="shared" si="195"/>
        <v>4.7982066681978317</v>
      </c>
      <c r="L529">
        <f t="shared" si="195"/>
        <v>5.6889669785746007</v>
      </c>
      <c r="M529">
        <f t="shared" si="195"/>
        <v>5.9734877652983158</v>
      </c>
      <c r="N529">
        <f t="shared" si="177"/>
        <v>0.35577090000596723</v>
      </c>
      <c r="O529">
        <f t="shared" si="192"/>
        <v>4.7836878505708276</v>
      </c>
      <c r="P529">
        <f t="shared" si="196"/>
        <v>4.9487003846869246</v>
      </c>
      <c r="Q529">
        <f t="shared" si="194"/>
        <v>4.7549663594601581</v>
      </c>
      <c r="R529">
        <f t="shared" si="197"/>
        <v>5.4517453696661775</v>
      </c>
      <c r="S529">
        <f t="shared" si="197"/>
        <v>5.8856404564152882</v>
      </c>
      <c r="T529">
        <f t="shared" si="178"/>
        <v>0.26792359112293962</v>
      </c>
      <c r="U529">
        <f t="shared" si="179"/>
        <v>-0.26792359112293962</v>
      </c>
      <c r="V529">
        <f t="shared" si="186"/>
        <v>5.2787705404023608</v>
      </c>
      <c r="W529">
        <f t="shared" si="180"/>
        <v>0.33894632488998777</v>
      </c>
      <c r="X529">
        <f t="shared" si="187"/>
        <v>5.1495634438496207</v>
      </c>
      <c r="Y529">
        <f t="shared" si="181"/>
        <v>0.46815342144272787</v>
      </c>
      <c r="Z529">
        <f t="shared" si="188"/>
        <v>5.1055430311820533</v>
      </c>
      <c r="AA529">
        <f t="shared" si="182"/>
        <v>0.51217383411029527</v>
      </c>
      <c r="AB529">
        <f t="shared" si="183"/>
        <v>-2.8214031347076522</v>
      </c>
      <c r="AC529">
        <f t="shared" si="184"/>
        <v>5.6657307733410258</v>
      </c>
      <c r="AD529">
        <f t="shared" si="185"/>
        <v>-4.8013908048677223E-2</v>
      </c>
    </row>
    <row r="530" spans="1:30">
      <c r="A530">
        <v>528</v>
      </c>
      <c r="B530">
        <v>4.9283101418164552</v>
      </c>
      <c r="C530">
        <f t="shared" si="189"/>
        <v>6.1752376993960834</v>
      </c>
      <c r="D530">
        <f t="shared" si="189"/>
        <v>4.5450104265380062</v>
      </c>
      <c r="E530">
        <f t="shared" si="190"/>
        <v>5.3483510725792209</v>
      </c>
      <c r="F530">
        <f t="shared" si="193"/>
        <v>4.2678439496652381</v>
      </c>
      <c r="G530">
        <f t="shared" si="193"/>
        <v>4.7845781831238243</v>
      </c>
      <c r="H530">
        <f t="shared" si="193"/>
        <v>5.653683267134908</v>
      </c>
      <c r="I530">
        <f t="shared" si="176"/>
        <v>0.72537312531845277</v>
      </c>
      <c r="J530">
        <f t="shared" si="191"/>
        <v>5.0257951881247189</v>
      </c>
      <c r="K530">
        <f t="shared" si="195"/>
        <v>4.5450273747405916</v>
      </c>
      <c r="L530">
        <f t="shared" si="195"/>
        <v>5.3978539050804946</v>
      </c>
      <c r="M530">
        <f t="shared" si="195"/>
        <v>5.889363559291767</v>
      </c>
      <c r="N530">
        <f t="shared" si="177"/>
        <v>0.96105341747531181</v>
      </c>
      <c r="O530">
        <f t="shared" si="192"/>
        <v>5.0062981788630667</v>
      </c>
      <c r="P530">
        <f t="shared" si="196"/>
        <v>4.7596187332632498</v>
      </c>
      <c r="Q530">
        <f t="shared" si="194"/>
        <v>4.7337035039093847</v>
      </c>
      <c r="R530">
        <f t="shared" si="197"/>
        <v>5.2421338133415469</v>
      </c>
      <c r="S530">
        <f t="shared" si="197"/>
        <v>5.809155067604256</v>
      </c>
      <c r="T530">
        <f t="shared" si="178"/>
        <v>0.88084492578780083</v>
      </c>
      <c r="U530">
        <f t="shared" si="179"/>
        <v>-0.88084492578780083</v>
      </c>
      <c r="V530">
        <f t="shared" si="186"/>
        <v>5.3126651728913599</v>
      </c>
      <c r="W530">
        <f t="shared" si="180"/>
        <v>-0.38435503107490465</v>
      </c>
      <c r="X530">
        <f t="shared" si="187"/>
        <v>5.2431941281381667</v>
      </c>
      <c r="Y530">
        <f t="shared" si="181"/>
        <v>-0.31488398632171144</v>
      </c>
      <c r="Z530">
        <f t="shared" si="188"/>
        <v>5.2591951814151416</v>
      </c>
      <c r="AA530">
        <f t="shared" si="182"/>
        <v>-0.33088503959868643</v>
      </c>
      <c r="AB530">
        <f t="shared" si="183"/>
        <v>-3.5163698581835447</v>
      </c>
      <c r="AC530">
        <f t="shared" si="184"/>
        <v>5.7059356241279344</v>
      </c>
      <c r="AD530">
        <f t="shared" si="185"/>
        <v>-0.77762548231147921</v>
      </c>
    </row>
    <row r="531" spans="1:30">
      <c r="A531">
        <v>529</v>
      </c>
      <c r="B531">
        <v>6.7930876240262075</v>
      </c>
      <c r="C531">
        <f t="shared" si="189"/>
        <v>5.2730135035544023</v>
      </c>
      <c r="D531">
        <f t="shared" si="189"/>
        <v>5.6944529378093698</v>
      </c>
      <c r="E531">
        <f t="shared" si="190"/>
        <v>5.7595951802028749</v>
      </c>
      <c r="F531">
        <f t="shared" si="193"/>
        <v>4.6776089954451292</v>
      </c>
      <c r="G531">
        <f t="shared" si="193"/>
        <v>4.4159930826128848</v>
      </c>
      <c r="H531">
        <f t="shared" si="193"/>
        <v>5.2780563787107182</v>
      </c>
      <c r="I531">
        <f t="shared" si="176"/>
        <v>-1.5150312453154893</v>
      </c>
      <c r="J531">
        <f t="shared" si="191"/>
        <v>5.2433408398885302</v>
      </c>
      <c r="K531">
        <f t="shared" si="195"/>
        <v>4.5348819105650273</v>
      </c>
      <c r="L531">
        <f t="shared" si="195"/>
        <v>5.0684726924078838</v>
      </c>
      <c r="M531">
        <f t="shared" si="195"/>
        <v>5.7332548858707773</v>
      </c>
      <c r="N531">
        <f t="shared" si="177"/>
        <v>-1.0598327381554302</v>
      </c>
      <c r="O531">
        <f t="shared" si="192"/>
        <v>5.5532901967160653</v>
      </c>
      <c r="P531">
        <f t="shared" si="196"/>
        <v>4.7142043857065472</v>
      </c>
      <c r="Q531">
        <f t="shared" si="194"/>
        <v>4.8077915657784329</v>
      </c>
      <c r="R531">
        <f t="shared" si="197"/>
        <v>5.030429844498383</v>
      </c>
      <c r="S531">
        <f t="shared" si="197"/>
        <v>5.6944498203884608</v>
      </c>
      <c r="T531">
        <f t="shared" si="178"/>
        <v>-1.0986378036377467</v>
      </c>
      <c r="U531">
        <f t="shared" si="179"/>
        <v>1.0986378036377467</v>
      </c>
      <c r="V531">
        <f t="shared" si="186"/>
        <v>5.2742296697838693</v>
      </c>
      <c r="W531">
        <f t="shared" si="180"/>
        <v>1.5188579542423382</v>
      </c>
      <c r="X531">
        <f t="shared" si="187"/>
        <v>5.1802173308738242</v>
      </c>
      <c r="Y531">
        <f t="shared" si="181"/>
        <v>1.6128702931523833</v>
      </c>
      <c r="Z531">
        <f t="shared" si="188"/>
        <v>5.1599296695355354</v>
      </c>
      <c r="AA531">
        <f t="shared" si="182"/>
        <v>1.633157954490672</v>
      </c>
      <c r="AB531">
        <f t="shared" si="183"/>
        <v>-1.6571523759737934</v>
      </c>
      <c r="AC531">
        <f t="shared" si="184"/>
        <v>5.7466957577208566</v>
      </c>
      <c r="AD531">
        <f t="shared" si="185"/>
        <v>1.0463918663053509</v>
      </c>
    </row>
    <row r="532" spans="1:30">
      <c r="A532">
        <v>530</v>
      </c>
      <c r="B532">
        <v>5.8851438835299117</v>
      </c>
      <c r="C532">
        <f t="shared" si="189"/>
        <v>5.8606988829213318</v>
      </c>
      <c r="D532">
        <f t="shared" si="189"/>
        <v>5.7241256014752429</v>
      </c>
      <c r="E532">
        <f t="shared" si="190"/>
        <v>5.7797048770450035</v>
      </c>
      <c r="F532">
        <f t="shared" si="193"/>
        <v>5.3121447383947569</v>
      </c>
      <c r="G532">
        <f t="shared" si="193"/>
        <v>4.3880941642714193</v>
      </c>
      <c r="H532">
        <f t="shared" si="193"/>
        <v>4.8440004067947449</v>
      </c>
      <c r="I532">
        <f t="shared" si="176"/>
        <v>-1.0411434767351668</v>
      </c>
      <c r="J532">
        <f t="shared" si="191"/>
        <v>6.0179682911587076</v>
      </c>
      <c r="K532">
        <f t="shared" si="195"/>
        <v>4.7143132577674329</v>
      </c>
      <c r="L532">
        <f t="shared" si="195"/>
        <v>4.7957986732875035</v>
      </c>
      <c r="M532">
        <f t="shared" si="195"/>
        <v>5.5053420538194597</v>
      </c>
      <c r="N532">
        <f t="shared" si="177"/>
        <v>-0.37980182971045195</v>
      </c>
      <c r="O532">
        <f t="shared" si="192"/>
        <v>5.9914034096329489</v>
      </c>
      <c r="P532">
        <f t="shared" si="196"/>
        <v>4.8519169964869953</v>
      </c>
      <c r="Q532">
        <f t="shared" si="194"/>
        <v>5.3040964197235896</v>
      </c>
      <c r="R532">
        <f t="shared" si="197"/>
        <v>4.9022971740193855</v>
      </c>
      <c r="S532">
        <f t="shared" si="197"/>
        <v>5.5341717880326327</v>
      </c>
      <c r="T532">
        <f t="shared" si="178"/>
        <v>-0.35097209549727904</v>
      </c>
      <c r="U532">
        <f t="shared" si="179"/>
        <v>0.35097209549727904</v>
      </c>
      <c r="V532">
        <f t="shared" si="186"/>
        <v>5.4261154652081034</v>
      </c>
      <c r="W532">
        <f t="shared" si="180"/>
        <v>0.4590284183218083</v>
      </c>
      <c r="X532">
        <f t="shared" si="187"/>
        <v>5.502791389504301</v>
      </c>
      <c r="Y532">
        <f t="shared" si="181"/>
        <v>0.38235249402561067</v>
      </c>
      <c r="Z532">
        <f t="shared" si="188"/>
        <v>5.6498770558827367</v>
      </c>
      <c r="AA532">
        <f t="shared" si="182"/>
        <v>0.23526682764717499</v>
      </c>
      <c r="AB532">
        <f t="shared" si="183"/>
        <v>-2.5706561164700883</v>
      </c>
      <c r="AC532">
        <f t="shared" si="184"/>
        <v>5.7880000604510666</v>
      </c>
      <c r="AD532">
        <f t="shared" si="185"/>
        <v>9.714382307884506E-2</v>
      </c>
    </row>
    <row r="533" spans="1:30">
      <c r="A533">
        <v>531</v>
      </c>
      <c r="B533">
        <v>5.3344492312164302</v>
      </c>
      <c r="C533">
        <f t="shared" si="189"/>
        <v>6.33911575377806</v>
      </c>
      <c r="D533">
        <f t="shared" si="189"/>
        <v>5.5668561932378671</v>
      </c>
      <c r="E533">
        <f t="shared" si="190"/>
        <v>5.8688472164575245</v>
      </c>
      <c r="F533">
        <f t="shared" si="193"/>
        <v>5.6292170432756992</v>
      </c>
      <c r="G533">
        <f t="shared" si="193"/>
        <v>4.7525325611683753</v>
      </c>
      <c r="H533">
        <f t="shared" si="193"/>
        <v>4.5295551433360428</v>
      </c>
      <c r="I533">
        <f t="shared" si="176"/>
        <v>-0.80489408788038741</v>
      </c>
      <c r="J533">
        <f t="shared" si="191"/>
        <v>5.8060646286662312</v>
      </c>
      <c r="K533">
        <f t="shared" si="195"/>
        <v>5.2155712290156009</v>
      </c>
      <c r="L533">
        <f t="shared" si="195"/>
        <v>4.6481073028177207</v>
      </c>
      <c r="M533">
        <f t="shared" si="195"/>
        <v>5.2377730623376211</v>
      </c>
      <c r="N533">
        <f t="shared" si="177"/>
        <v>-9.6676168878809143E-2</v>
      </c>
      <c r="O533">
        <f t="shared" si="192"/>
        <v>5.7117415491762715</v>
      </c>
      <c r="P533">
        <f t="shared" si="196"/>
        <v>5.17831609348314</v>
      </c>
      <c r="Q533">
        <f t="shared" si="194"/>
        <v>5.6085991445183732</v>
      </c>
      <c r="R533">
        <f t="shared" si="197"/>
        <v>4.8846260484510591</v>
      </c>
      <c r="S533">
        <f t="shared" si="197"/>
        <v>5.3638601883391983</v>
      </c>
      <c r="T533">
        <f t="shared" si="178"/>
        <v>2.9410957122768089E-2</v>
      </c>
      <c r="U533">
        <f t="shared" si="179"/>
        <v>-2.9410957122768089E-2</v>
      </c>
      <c r="V533">
        <f t="shared" si="186"/>
        <v>5.4720183070402841</v>
      </c>
      <c r="W533">
        <f t="shared" si="180"/>
        <v>-0.13756907582385391</v>
      </c>
      <c r="X533">
        <f t="shared" si="187"/>
        <v>5.5792618883094232</v>
      </c>
      <c r="Y533">
        <f t="shared" si="181"/>
        <v>-0.24481265709299294</v>
      </c>
      <c r="Z533">
        <f t="shared" si="188"/>
        <v>5.720457104176889</v>
      </c>
      <c r="AA533">
        <f t="shared" si="182"/>
        <v>-0.3860078729604588</v>
      </c>
      <c r="AB533">
        <f t="shared" si="183"/>
        <v>-3.1269107687835707</v>
      </c>
      <c r="AC533">
        <f t="shared" si="184"/>
        <v>5.8298372674952272</v>
      </c>
      <c r="AD533">
        <f t="shared" si="185"/>
        <v>-0.49538803627879702</v>
      </c>
    </row>
    <row r="534" spans="1:30">
      <c r="A534">
        <v>532</v>
      </c>
      <c r="B534">
        <v>6.657977637972075</v>
      </c>
      <c r="C534">
        <f t="shared" si="189"/>
        <v>5.609796557373171</v>
      </c>
      <c r="D534">
        <f t="shared" si="189"/>
        <v>6.0999073183496959</v>
      </c>
      <c r="E534">
        <f t="shared" si="190"/>
        <v>6.0042269129241843</v>
      </c>
      <c r="F534">
        <f t="shared" si="193"/>
        <v>5.8027157579018009</v>
      </c>
      <c r="G534">
        <f t="shared" si="193"/>
        <v>5.206323592371862</v>
      </c>
      <c r="H534">
        <f t="shared" si="193"/>
        <v>4.5188732693508937</v>
      </c>
      <c r="I534">
        <f t="shared" si="176"/>
        <v>-2.1391043686211813</v>
      </c>
      <c r="J534">
        <f t="shared" si="191"/>
        <v>5.7352477201472514</v>
      </c>
      <c r="K534">
        <f t="shared" si="195"/>
        <v>5.5232922369595476</v>
      </c>
      <c r="L534">
        <f t="shared" si="195"/>
        <v>4.7524484430221632</v>
      </c>
      <c r="M534">
        <f t="shared" si="195"/>
        <v>4.9775581433984009</v>
      </c>
      <c r="N534">
        <f t="shared" si="177"/>
        <v>-1.6804194945736741</v>
      </c>
      <c r="O534">
        <f t="shared" si="192"/>
        <v>5.9197937037122159</v>
      </c>
      <c r="P534">
        <f t="shared" si="196"/>
        <v>5.4092842369918355</v>
      </c>
      <c r="Q534">
        <f t="shared" si="194"/>
        <v>5.8819110465635296</v>
      </c>
      <c r="R534">
        <f t="shared" si="197"/>
        <v>4.9798098748153956</v>
      </c>
      <c r="S534">
        <f t="shared" si="197"/>
        <v>5.2028681348240475</v>
      </c>
      <c r="T534">
        <f t="shared" si="178"/>
        <v>-1.4551095031480274</v>
      </c>
      <c r="U534">
        <f t="shared" si="179"/>
        <v>1.4551095031480274</v>
      </c>
      <c r="V534">
        <f t="shared" si="186"/>
        <v>5.458261399457899</v>
      </c>
      <c r="W534">
        <f t="shared" si="180"/>
        <v>1.199716238514176</v>
      </c>
      <c r="X534">
        <f t="shared" si="187"/>
        <v>5.5302993568908247</v>
      </c>
      <c r="Y534">
        <f t="shared" si="181"/>
        <v>1.1276782810812502</v>
      </c>
      <c r="Z534">
        <f t="shared" si="188"/>
        <v>5.6046547422887514</v>
      </c>
      <c r="AA534">
        <f t="shared" si="182"/>
        <v>1.0533228956833236</v>
      </c>
      <c r="AB534">
        <f t="shared" si="183"/>
        <v>-1.808942362027925</v>
      </c>
      <c r="AC534">
        <f t="shared" si="184"/>
        <v>5.8721959660044698</v>
      </c>
      <c r="AD534">
        <f t="shared" si="185"/>
        <v>0.78578167196760518</v>
      </c>
    </row>
    <row r="535" spans="1:30">
      <c r="A535">
        <v>533</v>
      </c>
      <c r="B535">
        <v>6.6731257372891424</v>
      </c>
      <c r="C535">
        <f t="shared" si="189"/>
        <v>5.996213434594253</v>
      </c>
      <c r="D535">
        <f t="shared" si="189"/>
        <v>5.9744561555756155</v>
      </c>
      <c r="E535">
        <f t="shared" si="190"/>
        <v>5.959190250906139</v>
      </c>
      <c r="F535">
        <f t="shared" si="193"/>
        <v>5.8842596688089044</v>
      </c>
      <c r="G535">
        <f t="shared" si="193"/>
        <v>5.5813591798574187</v>
      </c>
      <c r="H535">
        <f t="shared" si="193"/>
        <v>4.7823167726038855</v>
      </c>
      <c r="I535">
        <f t="shared" si="176"/>
        <v>-1.8908089646852568</v>
      </c>
      <c r="J535">
        <f t="shared" si="191"/>
        <v>6.1676645941861565</v>
      </c>
      <c r="K535">
        <f t="shared" si="195"/>
        <v>5.7006553699651796</v>
      </c>
      <c r="L535">
        <f t="shared" si="195"/>
        <v>4.9970146585769024</v>
      </c>
      <c r="M535">
        <f t="shared" si="195"/>
        <v>4.816206777883818</v>
      </c>
      <c r="N535">
        <f t="shared" si="177"/>
        <v>-1.8569189594053244</v>
      </c>
      <c r="O535">
        <f t="shared" si="192"/>
        <v>6.2687568228067532</v>
      </c>
      <c r="P535">
        <f t="shared" si="196"/>
        <v>5.6365054076201133</v>
      </c>
      <c r="Q535">
        <f t="shared" si="194"/>
        <v>5.8694475639755721</v>
      </c>
      <c r="R535">
        <f t="shared" si="197"/>
        <v>5.1818446733255774</v>
      </c>
      <c r="S535">
        <f t="shared" si="197"/>
        <v>5.081840354131991</v>
      </c>
      <c r="T535">
        <f t="shared" si="178"/>
        <v>-1.5912853831571514</v>
      </c>
      <c r="U535">
        <f t="shared" si="179"/>
        <v>1.5912853831571514</v>
      </c>
      <c r="V535">
        <f t="shared" si="186"/>
        <v>5.5782330233093163</v>
      </c>
      <c r="W535">
        <f t="shared" si="180"/>
        <v>1.0948927139798261</v>
      </c>
      <c r="X535">
        <f t="shared" si="187"/>
        <v>5.7558350131070748</v>
      </c>
      <c r="Y535">
        <f t="shared" si="181"/>
        <v>0.91729072418206758</v>
      </c>
      <c r="Z535">
        <f t="shared" si="188"/>
        <v>5.9206516109937484</v>
      </c>
      <c r="AA535">
        <f t="shared" si="182"/>
        <v>0.75247412629539401</v>
      </c>
      <c r="AB535">
        <f t="shared" si="183"/>
        <v>-1.7993542627108585</v>
      </c>
      <c r="AC535">
        <f t="shared" si="184"/>
        <v>5.9150645982745198</v>
      </c>
      <c r="AD535">
        <f t="shared" si="185"/>
        <v>0.75806113901462258</v>
      </c>
    </row>
    <row r="536" spans="1:30">
      <c r="A536">
        <v>534</v>
      </c>
      <c r="B536">
        <v>5.0636256321777715</v>
      </c>
      <c r="C536">
        <f t="shared" si="189"/>
        <v>6.6655516876306091</v>
      </c>
      <c r="D536">
        <f t="shared" si="189"/>
        <v>5.803004995983712</v>
      </c>
      <c r="E536">
        <f t="shared" si="190"/>
        <v>6.2218508688258822</v>
      </c>
      <c r="F536">
        <f t="shared" si="193"/>
        <v>5.9440881267626162</v>
      </c>
      <c r="G536">
        <f t="shared" si="193"/>
        <v>5.7720641566621351</v>
      </c>
      <c r="H536">
        <f t="shared" si="193"/>
        <v>5.1800717777992187</v>
      </c>
      <c r="I536">
        <f t="shared" si="176"/>
        <v>0.11644614562144717</v>
      </c>
      <c r="J536">
        <f t="shared" si="191"/>
        <v>6.13767412250189</v>
      </c>
      <c r="K536">
        <f t="shared" si="195"/>
        <v>5.9317363085395867</v>
      </c>
      <c r="L536">
        <f t="shared" si="195"/>
        <v>5.2884580234269407</v>
      </c>
      <c r="M536">
        <f t="shared" si="195"/>
        <v>4.7983422694260724</v>
      </c>
      <c r="N536">
        <f t="shared" si="177"/>
        <v>-0.26528336275169906</v>
      </c>
      <c r="O536">
        <f t="shared" si="192"/>
        <v>5.9228644244370665</v>
      </c>
      <c r="P536">
        <f t="shared" si="196"/>
        <v>5.8889971364088511</v>
      </c>
      <c r="Q536">
        <f t="shared" si="194"/>
        <v>6.0453490426417034</v>
      </c>
      <c r="R536">
        <f t="shared" si="197"/>
        <v>5.3675915407448143</v>
      </c>
      <c r="S536">
        <f t="shared" si="197"/>
        <v>5.0368569047418914</v>
      </c>
      <c r="T536">
        <f t="shared" si="178"/>
        <v>-2.6768727435880102E-2</v>
      </c>
      <c r="U536">
        <f t="shared" si="179"/>
        <v>2.6768727435880102E-2</v>
      </c>
      <c r="V536">
        <f t="shared" si="186"/>
        <v>5.6877222947072985</v>
      </c>
      <c r="W536">
        <f t="shared" si="180"/>
        <v>-0.624096662529527</v>
      </c>
      <c r="X536">
        <f t="shared" si="187"/>
        <v>5.9392931579434887</v>
      </c>
      <c r="Y536">
        <f t="shared" si="181"/>
        <v>-0.87566752576571716</v>
      </c>
      <c r="Z536">
        <f t="shared" si="188"/>
        <v>6.1463938488823668</v>
      </c>
      <c r="AA536">
        <f t="shared" si="182"/>
        <v>-1.0827682167045953</v>
      </c>
      <c r="AB536">
        <f t="shared" si="183"/>
        <v>-3.4144143678222285</v>
      </c>
      <c r="AC536">
        <f t="shared" si="184"/>
        <v>5.958431464956135</v>
      </c>
      <c r="AD536">
        <f t="shared" si="185"/>
        <v>-0.89480583277836345</v>
      </c>
    </row>
    <row r="537" spans="1:30">
      <c r="A537">
        <v>535</v>
      </c>
      <c r="B537">
        <v>6.3832479054622899</v>
      </c>
      <c r="C537">
        <f t="shared" si="189"/>
        <v>5.8683756847334569</v>
      </c>
      <c r="D537">
        <f t="shared" si="189"/>
        <v>6.3308825611124311</v>
      </c>
      <c r="E537">
        <f t="shared" si="190"/>
        <v>6.1315763358129969</v>
      </c>
      <c r="F537">
        <f t="shared" si="193"/>
        <v>6.0617560108854009</v>
      </c>
      <c r="G537">
        <f t="shared" si="193"/>
        <v>5.8770211844911069</v>
      </c>
      <c r="H537">
        <f t="shared" si="193"/>
        <v>5.5199156429638059</v>
      </c>
      <c r="I537">
        <f t="shared" si="176"/>
        <v>-0.86333226249848405</v>
      </c>
      <c r="J537">
        <f t="shared" si="191"/>
        <v>5.9322945596638545</v>
      </c>
      <c r="K537">
        <f t="shared" si="195"/>
        <v>5.9616627663753832</v>
      </c>
      <c r="L537">
        <f t="shared" si="195"/>
        <v>5.5928137861199785</v>
      </c>
      <c r="M537">
        <f t="shared" si="195"/>
        <v>4.9215071069609317</v>
      </c>
      <c r="N537">
        <f t="shared" si="177"/>
        <v>-1.4617407985013582</v>
      </c>
      <c r="O537">
        <f t="shared" si="192"/>
        <v>6.022485228823542</v>
      </c>
      <c r="P537">
        <f t="shared" si="196"/>
        <v>5.9629119819530505</v>
      </c>
      <c r="Q537">
        <f t="shared" si="194"/>
        <v>6.0679016243685906</v>
      </c>
      <c r="R537">
        <f t="shared" si="197"/>
        <v>5.5861991305335339</v>
      </c>
      <c r="S537">
        <f t="shared" si="197"/>
        <v>5.0577665259757696</v>
      </c>
      <c r="T537">
        <f t="shared" si="178"/>
        <v>-1.3254813794865203</v>
      </c>
      <c r="U537">
        <f t="shared" si="179"/>
        <v>1.3254813794865203</v>
      </c>
      <c r="V537">
        <f t="shared" si="186"/>
        <v>5.6253126284543455</v>
      </c>
      <c r="W537">
        <f t="shared" si="180"/>
        <v>0.75793527700794439</v>
      </c>
      <c r="X537">
        <f t="shared" si="187"/>
        <v>5.7641596527903456</v>
      </c>
      <c r="Y537">
        <f t="shared" si="181"/>
        <v>0.61908825267194434</v>
      </c>
      <c r="Z537">
        <f t="shared" si="188"/>
        <v>5.8215633838709886</v>
      </c>
      <c r="AA537">
        <f t="shared" si="182"/>
        <v>0.56168452159130133</v>
      </c>
      <c r="AB537">
        <f t="shared" si="183"/>
        <v>-2.100352094537711</v>
      </c>
      <c r="AC537">
        <f t="shared" si="184"/>
        <v>6.002284728304808</v>
      </c>
      <c r="AD537">
        <f t="shared" si="185"/>
        <v>0.38096317715748196</v>
      </c>
    </row>
    <row r="538" spans="1:30">
      <c r="A538">
        <v>536</v>
      </c>
      <c r="B538">
        <v>7.8736471406795268</v>
      </c>
      <c r="C538">
        <f t="shared" si="189"/>
        <v>5.7234367688200312</v>
      </c>
      <c r="D538">
        <f t="shared" si="189"/>
        <v>6.2669636861820326</v>
      </c>
      <c r="E538">
        <f t="shared" si="190"/>
        <v>6.039999758309734</v>
      </c>
      <c r="F538">
        <f t="shared" si="193"/>
        <v>6.1042058185150063</v>
      </c>
      <c r="G538">
        <f t="shared" si="193"/>
        <v>5.9633679354856399</v>
      </c>
      <c r="H538">
        <f t="shared" si="193"/>
        <v>5.7434815070035539</v>
      </c>
      <c r="I538">
        <f t="shared" si="176"/>
        <v>-2.1301656336759729</v>
      </c>
      <c r="J538">
        <f t="shared" si="191"/>
        <v>6.1944942282253201</v>
      </c>
      <c r="K538">
        <f t="shared" si="195"/>
        <v>5.9932202491247883</v>
      </c>
      <c r="L538">
        <f t="shared" si="195"/>
        <v>5.7793366704599247</v>
      </c>
      <c r="M538">
        <f t="shared" si="195"/>
        <v>5.1576837277864964</v>
      </c>
      <c r="N538">
        <f t="shared" si="177"/>
        <v>-2.7159634128930303</v>
      </c>
      <c r="O538">
        <f t="shared" si="192"/>
        <v>6.5303248107161611</v>
      </c>
      <c r="P538">
        <f t="shared" si="196"/>
        <v>5.9691283457911695</v>
      </c>
      <c r="Q538">
        <f t="shared" si="194"/>
        <v>5.9995950046079365</v>
      </c>
      <c r="R538">
        <f t="shared" si="197"/>
        <v>5.7962174736318923</v>
      </c>
      <c r="S538">
        <f t="shared" si="197"/>
        <v>5.1503947403149608</v>
      </c>
      <c r="T538">
        <f t="shared" si="178"/>
        <v>-2.723252400364566</v>
      </c>
      <c r="U538">
        <f t="shared" si="179"/>
        <v>2.723252400364566</v>
      </c>
      <c r="V538">
        <f t="shared" si="186"/>
        <v>5.7011061561551397</v>
      </c>
      <c r="W538">
        <f t="shared" si="180"/>
        <v>2.172540984524387</v>
      </c>
      <c r="X538">
        <f t="shared" si="187"/>
        <v>5.8879773033247345</v>
      </c>
      <c r="Y538">
        <f t="shared" si="181"/>
        <v>1.9856698373547923</v>
      </c>
      <c r="Z538">
        <f t="shared" si="188"/>
        <v>5.990068740348379</v>
      </c>
      <c r="AA538">
        <f t="shared" si="182"/>
        <v>1.8835784003311478</v>
      </c>
      <c r="AB538">
        <f t="shared" si="183"/>
        <v>-0.61551285932047328</v>
      </c>
      <c r="AC538">
        <f t="shared" si="184"/>
        <v>6.046612415468994</v>
      </c>
      <c r="AD538">
        <f t="shared" si="185"/>
        <v>1.8270347252105328</v>
      </c>
    </row>
    <row r="539" spans="1:30">
      <c r="A539">
        <v>537</v>
      </c>
      <c r="B539">
        <v>6.816359605352865</v>
      </c>
      <c r="C539">
        <f t="shared" si="189"/>
        <v>7.1284475230709088</v>
      </c>
      <c r="D539">
        <f t="shared" si="189"/>
        <v>5.7959062267767436</v>
      </c>
      <c r="E539">
        <f t="shared" si="190"/>
        <v>6.440173559439863</v>
      </c>
      <c r="F539">
        <f t="shared" si="193"/>
        <v>6.131142320982871</v>
      </c>
      <c r="G539">
        <f t="shared" si="193"/>
        <v>6.0366833187210078</v>
      </c>
      <c r="H539">
        <f t="shared" si="193"/>
        <v>5.8708177588796273</v>
      </c>
      <c r="I539">
        <f t="shared" si="176"/>
        <v>-0.94554184647323769</v>
      </c>
      <c r="J539">
        <f t="shared" si="191"/>
        <v>6.4984116039021824</v>
      </c>
      <c r="K539">
        <f t="shared" si="195"/>
        <v>6.1080318761443051</v>
      </c>
      <c r="L539">
        <f t="shared" si="195"/>
        <v>5.8968186735012349</v>
      </c>
      <c r="M539">
        <f t="shared" si="195"/>
        <v>5.4144057846459361</v>
      </c>
      <c r="N539">
        <f t="shared" si="177"/>
        <v>-1.4019538207069289</v>
      </c>
      <c r="O539">
        <f t="shared" si="192"/>
        <v>6.5620012041923186</v>
      </c>
      <c r="P539">
        <f t="shared" si="196"/>
        <v>6.1328449980991477</v>
      </c>
      <c r="Q539">
        <f t="shared" si="194"/>
        <v>6.3310122141328726</v>
      </c>
      <c r="R539">
        <f t="shared" si="197"/>
        <v>5.9121339044459518</v>
      </c>
      <c r="S539">
        <f t="shared" si="197"/>
        <v>5.2993814569170459</v>
      </c>
      <c r="T539">
        <f t="shared" si="178"/>
        <v>-1.5169781484358191</v>
      </c>
      <c r="U539">
        <f t="shared" si="179"/>
        <v>1.5169781484358191</v>
      </c>
      <c r="V539">
        <f t="shared" si="186"/>
        <v>5.9183602546075784</v>
      </c>
      <c r="W539">
        <f t="shared" si="180"/>
        <v>0.89799935074528658</v>
      </c>
      <c r="X539">
        <f t="shared" si="187"/>
        <v>6.2851112707956931</v>
      </c>
      <c r="Y539">
        <f t="shared" si="181"/>
        <v>0.53124833455717191</v>
      </c>
      <c r="Z539">
        <f t="shared" si="188"/>
        <v>6.555142260447723</v>
      </c>
      <c r="AA539">
        <f t="shared" si="182"/>
        <v>0.26121734490514203</v>
      </c>
      <c r="AB539">
        <f t="shared" si="183"/>
        <v>-1.6783603946471359</v>
      </c>
      <c r="AC539">
        <f t="shared" si="184"/>
        <v>6.0914024218157845</v>
      </c>
      <c r="AD539">
        <f t="shared" si="185"/>
        <v>0.7249571835370805</v>
      </c>
    </row>
    <row r="540" spans="1:30">
      <c r="A540">
        <v>538</v>
      </c>
      <c r="B540">
        <v>7.0913154710918631</v>
      </c>
      <c r="C540">
        <f t="shared" si="189"/>
        <v>7.3450033730161959</v>
      </c>
      <c r="D540">
        <f t="shared" si="189"/>
        <v>6.42594214594547</v>
      </c>
      <c r="E540">
        <f t="shared" si="190"/>
        <v>7.0244182171648939</v>
      </c>
      <c r="F540">
        <f t="shared" si="193"/>
        <v>6.2039165511875316</v>
      </c>
      <c r="G540">
        <f t="shared" si="193"/>
        <v>6.0990347167944252</v>
      </c>
      <c r="H540">
        <f t="shared" si="193"/>
        <v>5.9590241462325855</v>
      </c>
      <c r="I540">
        <f t="shared" si="176"/>
        <v>-1.1322913248592776</v>
      </c>
      <c r="J540">
        <f t="shared" si="191"/>
        <v>6.5342200709181135</v>
      </c>
      <c r="K540">
        <f t="shared" si="195"/>
        <v>6.1907186285733111</v>
      </c>
      <c r="L540">
        <f t="shared" si="195"/>
        <v>5.9986628000460165</v>
      </c>
      <c r="M540">
        <f t="shared" si="195"/>
        <v>5.6393567883770199</v>
      </c>
      <c r="N540">
        <f t="shared" si="177"/>
        <v>-1.4519586827148432</v>
      </c>
      <c r="O540">
        <f t="shared" si="192"/>
        <v>6.6456391509528627</v>
      </c>
      <c r="P540">
        <f t="shared" si="196"/>
        <v>6.2612864981951688</v>
      </c>
      <c r="Q540">
        <f t="shared" si="194"/>
        <v>6.5779972764889445</v>
      </c>
      <c r="R540">
        <f t="shared" si="197"/>
        <v>6.0325360827150334</v>
      </c>
      <c r="S540">
        <f t="shared" si="197"/>
        <v>5.4706327662495271</v>
      </c>
      <c r="T540">
        <f t="shared" si="178"/>
        <v>-1.620682704842336</v>
      </c>
      <c r="U540">
        <f t="shared" si="179"/>
        <v>1.620682704842336</v>
      </c>
      <c r="V540">
        <f t="shared" si="186"/>
        <v>6.0081601896821066</v>
      </c>
      <c r="W540">
        <f t="shared" si="180"/>
        <v>1.0831552814097565</v>
      </c>
      <c r="X540">
        <f t="shared" si="187"/>
        <v>6.3913609377071277</v>
      </c>
      <c r="Y540">
        <f t="shared" si="181"/>
        <v>0.69995453338473546</v>
      </c>
      <c r="Z540">
        <f t="shared" si="188"/>
        <v>6.6335074639192655</v>
      </c>
      <c r="AA540">
        <f t="shared" si="182"/>
        <v>0.45780800717259762</v>
      </c>
      <c r="AB540">
        <f t="shared" si="183"/>
        <v>-1.4089645289081369</v>
      </c>
      <c r="AC540">
        <f t="shared" si="184"/>
        <v>6.1366425142932712</v>
      </c>
      <c r="AD540">
        <f t="shared" si="185"/>
        <v>0.95467295679859188</v>
      </c>
    </row>
    <row r="541" spans="1:30">
      <c r="A541">
        <v>539</v>
      </c>
      <c r="B541">
        <v>7.3678206273629652</v>
      </c>
      <c r="C541">
        <f t="shared" si="189"/>
        <v>6.9538375382223645</v>
      </c>
      <c r="D541">
        <f t="shared" si="189"/>
        <v>7.2367254480435523</v>
      </c>
      <c r="E541">
        <f t="shared" si="190"/>
        <v>7.2604407390414183</v>
      </c>
      <c r="F541">
        <f t="shared" si="193"/>
        <v>6.5015305116381628</v>
      </c>
      <c r="G541">
        <f t="shared" si="193"/>
        <v>6.1464215635618027</v>
      </c>
      <c r="H541">
        <f t="shared" si="193"/>
        <v>6.033028657000358</v>
      </c>
      <c r="I541">
        <f t="shared" si="176"/>
        <v>-1.3347919703626072</v>
      </c>
      <c r="J541">
        <f t="shared" si="191"/>
        <v>7.0411425306466366</v>
      </c>
      <c r="K541">
        <f t="shared" si="195"/>
        <v>6.2898551156773683</v>
      </c>
      <c r="L541">
        <f t="shared" si="195"/>
        <v>6.0634083800544474</v>
      </c>
      <c r="M541">
        <f t="shared" si="195"/>
        <v>5.8169079825317889</v>
      </c>
      <c r="N541">
        <f t="shared" si="177"/>
        <v>-1.5509126448311763</v>
      </c>
      <c r="O541">
        <f t="shared" si="192"/>
        <v>7.1064781499899023</v>
      </c>
      <c r="P541">
        <f t="shared" si="196"/>
        <v>6.3366629638243896</v>
      </c>
      <c r="Q541">
        <f t="shared" si="194"/>
        <v>6.6502202486755762</v>
      </c>
      <c r="R541">
        <f t="shared" si="197"/>
        <v>6.1485504543692704</v>
      </c>
      <c r="S541">
        <f t="shared" si="197"/>
        <v>5.6460871342328005</v>
      </c>
      <c r="T541">
        <f t="shared" si="178"/>
        <v>-1.7217334931301647</v>
      </c>
      <c r="U541">
        <f t="shared" si="179"/>
        <v>1.7217334931301647</v>
      </c>
      <c r="V541">
        <f t="shared" si="186"/>
        <v>6.1164757178230822</v>
      </c>
      <c r="W541">
        <f t="shared" si="180"/>
        <v>1.251344909539883</v>
      </c>
      <c r="X541">
        <f t="shared" si="187"/>
        <v>6.5313518443840746</v>
      </c>
      <c r="Y541">
        <f t="shared" si="181"/>
        <v>0.8364687829788906</v>
      </c>
      <c r="Z541">
        <f t="shared" si="188"/>
        <v>6.7708498660710443</v>
      </c>
      <c r="AA541">
        <f t="shared" si="182"/>
        <v>0.59697076129192084</v>
      </c>
      <c r="AB541">
        <f t="shared" si="183"/>
        <v>-1.138019372637034</v>
      </c>
      <c r="AC541">
        <f t="shared" si="184"/>
        <v>6.1823203348284919</v>
      </c>
      <c r="AD541">
        <f t="shared" si="185"/>
        <v>1.1855002925344733</v>
      </c>
    </row>
    <row r="542" spans="1:30">
      <c r="A542">
        <v>540</v>
      </c>
      <c r="B542">
        <v>8.6330651125919751</v>
      </c>
      <c r="C542">
        <f t="shared" si="189"/>
        <v>7.2295680492274137</v>
      </c>
      <c r="D542">
        <f t="shared" si="189"/>
        <v>7.1494204556192802</v>
      </c>
      <c r="E542">
        <f t="shared" si="190"/>
        <v>7.0918319012692308</v>
      </c>
      <c r="F542">
        <f t="shared" si="193"/>
        <v>6.9083441718820575</v>
      </c>
      <c r="G542">
        <f t="shared" si="193"/>
        <v>6.2788631279361882</v>
      </c>
      <c r="H542">
        <f t="shared" si="193"/>
        <v>6.0940465330257458</v>
      </c>
      <c r="I542">
        <f t="shared" si="176"/>
        <v>-2.5390185795662292</v>
      </c>
      <c r="J542">
        <f t="shared" si="191"/>
        <v>7.2872857111218057</v>
      </c>
      <c r="K542">
        <f t="shared" si="195"/>
        <v>6.5670671084230641</v>
      </c>
      <c r="L542">
        <f t="shared" si="195"/>
        <v>6.1454564673799439</v>
      </c>
      <c r="M542">
        <f t="shared" si="195"/>
        <v>5.9345566310154059</v>
      </c>
      <c r="N542">
        <f t="shared" si="177"/>
        <v>-2.6985084815765692</v>
      </c>
      <c r="O542">
        <f t="shared" si="192"/>
        <v>7.5564415914158385</v>
      </c>
      <c r="P542">
        <f t="shared" si="196"/>
        <v>6.573385708934957</v>
      </c>
      <c r="Q542">
        <f t="shared" si="194"/>
        <v>6.7660027303545469</v>
      </c>
      <c r="R542">
        <f t="shared" si="197"/>
        <v>6.2786792351526044</v>
      </c>
      <c r="S542">
        <f t="shared" si="197"/>
        <v>5.807204764406749</v>
      </c>
      <c r="T542">
        <f t="shared" si="178"/>
        <v>-2.825860348185226</v>
      </c>
      <c r="U542">
        <f t="shared" si="179"/>
        <v>2.825860348185226</v>
      </c>
      <c r="V542">
        <f t="shared" si="186"/>
        <v>6.2416102087770708</v>
      </c>
      <c r="W542">
        <f t="shared" si="180"/>
        <v>2.3914549038149042</v>
      </c>
      <c r="X542">
        <f t="shared" si="187"/>
        <v>6.6986456009798525</v>
      </c>
      <c r="Y542">
        <f t="shared" si="181"/>
        <v>1.9344195116121226</v>
      </c>
      <c r="Z542">
        <f t="shared" si="188"/>
        <v>6.9499410944586204</v>
      </c>
      <c r="AA542">
        <f t="shared" si="182"/>
        <v>1.6831240181333547</v>
      </c>
      <c r="AB542">
        <f t="shared" si="183"/>
        <v>0.12166511259197499</v>
      </c>
      <c r="AC542">
        <f t="shared" si="184"/>
        <v>6.2284234037601935</v>
      </c>
      <c r="AD542">
        <f t="shared" si="185"/>
        <v>2.4046417088317815</v>
      </c>
    </row>
    <row r="543" spans="1:30">
      <c r="A543">
        <v>541</v>
      </c>
      <c r="B543">
        <v>8.6113644043829467</v>
      </c>
      <c r="C543">
        <f t="shared" si="189"/>
        <v>8.0004428699774692</v>
      </c>
      <c r="D543">
        <f t="shared" si="189"/>
        <v>7.0917027937248891</v>
      </c>
      <c r="E543">
        <f t="shared" si="190"/>
        <v>7.6974004036822672</v>
      </c>
      <c r="F543">
        <f t="shared" si="193"/>
        <v>7.1255636191585152</v>
      </c>
      <c r="G543">
        <f t="shared" si="193"/>
        <v>6.53793041156925</v>
      </c>
      <c r="H543">
        <f t="shared" si="193"/>
        <v>6.174773136097472</v>
      </c>
      <c r="I543">
        <f t="shared" si="176"/>
        <v>-2.4365912682854747</v>
      </c>
      <c r="J543">
        <f t="shared" si="191"/>
        <v>7.4771402040999169</v>
      </c>
      <c r="K543">
        <f t="shared" si="195"/>
        <v>6.8402649791471841</v>
      </c>
      <c r="L543">
        <f t="shared" si="195"/>
        <v>6.2889181822045126</v>
      </c>
      <c r="M543">
        <f t="shared" si="195"/>
        <v>6.0260865802454102</v>
      </c>
      <c r="N543">
        <f t="shared" si="177"/>
        <v>-2.5852778241375365</v>
      </c>
      <c r="O543">
        <f t="shared" si="192"/>
        <v>7.7039850441565223</v>
      </c>
      <c r="P543">
        <f t="shared" si="196"/>
        <v>6.8801769814534168</v>
      </c>
      <c r="Q543">
        <f t="shared" si="194"/>
        <v>7.3609093104235823</v>
      </c>
      <c r="R543">
        <f t="shared" si="197"/>
        <v>6.3987881831047444</v>
      </c>
      <c r="S543">
        <f t="shared" si="197"/>
        <v>5.9590527134747147</v>
      </c>
      <c r="T543">
        <f t="shared" si="178"/>
        <v>-2.652311690908232</v>
      </c>
      <c r="U543">
        <f t="shared" si="179"/>
        <v>2.652311690908232</v>
      </c>
      <c r="V543">
        <f t="shared" si="186"/>
        <v>6.4807556991585615</v>
      </c>
      <c r="W543">
        <f t="shared" si="180"/>
        <v>2.1306087052243852</v>
      </c>
      <c r="X543">
        <f t="shared" si="187"/>
        <v>7.0855295033022774</v>
      </c>
      <c r="Y543">
        <f t="shared" si="181"/>
        <v>1.5258349010806693</v>
      </c>
      <c r="Z543">
        <f t="shared" si="188"/>
        <v>7.4548782998986267</v>
      </c>
      <c r="AA543">
        <f t="shared" si="182"/>
        <v>1.15648610448432</v>
      </c>
      <c r="AB543">
        <f t="shared" si="183"/>
        <v>9.4404404382945728E-2</v>
      </c>
      <c r="AC543">
        <f t="shared" si="184"/>
        <v>6.2749391233052867</v>
      </c>
      <c r="AD543">
        <f t="shared" si="185"/>
        <v>2.33642528107766</v>
      </c>
    </row>
    <row r="544" spans="1:30">
      <c r="A544">
        <v>542</v>
      </c>
      <c r="B544">
        <v>8.1829119381269191</v>
      </c>
      <c r="C544">
        <f t="shared" si="189"/>
        <v>8.6222147584874609</v>
      </c>
      <c r="D544">
        <f t="shared" si="189"/>
        <v>7.6150054596024415</v>
      </c>
      <c r="E544">
        <f t="shared" si="190"/>
        <v>8.2040833814459617</v>
      </c>
      <c r="F544">
        <f t="shared" si="193"/>
        <v>7.3498910146643048</v>
      </c>
      <c r="G544">
        <f t="shared" si="193"/>
        <v>6.8451461008929115</v>
      </c>
      <c r="H544">
        <f t="shared" si="193"/>
        <v>6.3210717010224142</v>
      </c>
      <c r="I544">
        <f t="shared" si="176"/>
        <v>-1.8618402371045049</v>
      </c>
      <c r="J544">
        <f t="shared" si="191"/>
        <v>7.9258914038574373</v>
      </c>
      <c r="K544">
        <f t="shared" si="195"/>
        <v>7.0849471291966184</v>
      </c>
      <c r="L544">
        <f t="shared" si="195"/>
        <v>6.4719764579552326</v>
      </c>
      <c r="M544">
        <f t="shared" si="195"/>
        <v>6.1241114574212299</v>
      </c>
      <c r="N544">
        <f t="shared" si="177"/>
        <v>-2.0588004807056892</v>
      </c>
      <c r="O544">
        <f t="shared" si="192"/>
        <v>7.9772955107113335</v>
      </c>
      <c r="P544">
        <f t="shared" si="196"/>
        <v>7.11490902814149</v>
      </c>
      <c r="Q544">
        <f t="shared" si="194"/>
        <v>7.7322620602436904</v>
      </c>
      <c r="R544">
        <f t="shared" si="197"/>
        <v>6.6142894641139094</v>
      </c>
      <c r="S544">
        <f t="shared" si="197"/>
        <v>6.0944842222365834</v>
      </c>
      <c r="T544">
        <f t="shared" si="178"/>
        <v>-2.0884277158903357</v>
      </c>
      <c r="U544">
        <f t="shared" si="179"/>
        <v>2.0884277158903357</v>
      </c>
      <c r="V544">
        <f t="shared" si="186"/>
        <v>6.6938165696810001</v>
      </c>
      <c r="W544">
        <f t="shared" si="180"/>
        <v>1.4890953684459189</v>
      </c>
      <c r="X544">
        <f t="shared" si="187"/>
        <v>7.3906964835184112</v>
      </c>
      <c r="Y544">
        <f t="shared" si="181"/>
        <v>0.79221545460850784</v>
      </c>
      <c r="Z544">
        <f t="shared" si="188"/>
        <v>7.8018241312439223</v>
      </c>
      <c r="AA544">
        <f t="shared" si="182"/>
        <v>0.38108780688299682</v>
      </c>
      <c r="AB544">
        <f t="shared" si="183"/>
        <v>-0.33960806187308101</v>
      </c>
      <c r="AC544">
        <f t="shared" si="184"/>
        <v>6.3218547810581667</v>
      </c>
      <c r="AD544">
        <f t="shared" si="185"/>
        <v>1.8610571570687524</v>
      </c>
    </row>
    <row r="545" spans="1:30">
      <c r="A545">
        <v>543</v>
      </c>
      <c r="B545">
        <v>6.5935559418119558</v>
      </c>
      <c r="C545">
        <f t="shared" si="189"/>
        <v>8.3971381712549338</v>
      </c>
      <c r="D545">
        <f t="shared" si="189"/>
        <v>8.3113288142324642</v>
      </c>
      <c r="E545">
        <f t="shared" si="190"/>
        <v>8.4757804850339458</v>
      </c>
      <c r="F545">
        <f t="shared" si="193"/>
        <v>7.664438562132486</v>
      </c>
      <c r="G545">
        <f t="shared" si="193"/>
        <v>7.1279329352349592</v>
      </c>
      <c r="H545">
        <f t="shared" si="193"/>
        <v>6.5539798801327835</v>
      </c>
      <c r="I545">
        <f t="shared" si="176"/>
        <v>-3.957606167917227E-2</v>
      </c>
      <c r="J545">
        <f t="shared" si="191"/>
        <v>8.1987905206162015</v>
      </c>
      <c r="K545">
        <f t="shared" si="195"/>
        <v>7.4328649624314496</v>
      </c>
      <c r="L545">
        <f t="shared" si="195"/>
        <v>6.6955335831110583</v>
      </c>
      <c r="M545">
        <f t="shared" si="195"/>
        <v>6.2424398718985339</v>
      </c>
      <c r="N545">
        <f t="shared" si="177"/>
        <v>-0.35111606991342192</v>
      </c>
      <c r="O545">
        <f t="shared" si="192"/>
        <v>7.8777436048553522</v>
      </c>
      <c r="P545">
        <f t="shared" si="196"/>
        <v>7.397967889445292</v>
      </c>
      <c r="Q545">
        <f t="shared" si="194"/>
        <v>7.7838061931515883</v>
      </c>
      <c r="R545">
        <f t="shared" si="197"/>
        <v>6.9030673067198691</v>
      </c>
      <c r="S545">
        <f t="shared" si="197"/>
        <v>6.2308295539835861</v>
      </c>
      <c r="T545">
        <f t="shared" si="178"/>
        <v>-0.36272638782836975</v>
      </c>
      <c r="U545">
        <f t="shared" si="179"/>
        <v>0.36272638782836975</v>
      </c>
      <c r="V545">
        <f t="shared" si="186"/>
        <v>6.8427261065255918</v>
      </c>
      <c r="W545">
        <f t="shared" si="180"/>
        <v>-0.24917016471363596</v>
      </c>
      <c r="X545">
        <f t="shared" si="187"/>
        <v>7.5491395744401126</v>
      </c>
      <c r="Y545">
        <f t="shared" si="181"/>
        <v>-0.95558363262815682</v>
      </c>
      <c r="Z545">
        <f t="shared" si="188"/>
        <v>7.9161504733088215</v>
      </c>
      <c r="AA545">
        <f t="shared" si="182"/>
        <v>-1.3225945314968657</v>
      </c>
      <c r="AB545">
        <f t="shared" si="183"/>
        <v>-1.9345240581880434</v>
      </c>
      <c r="AC545">
        <f t="shared" si="184"/>
        <v>6.369157553521867</v>
      </c>
      <c r="AD545">
        <f t="shared" si="185"/>
        <v>0.22439838829008885</v>
      </c>
    </row>
    <row r="546" spans="1:30">
      <c r="A546">
        <v>544</v>
      </c>
      <c r="B546">
        <v>8.2541108523829205</v>
      </c>
      <c r="C546">
        <f t="shared" si="189"/>
        <v>7.388233939969437</v>
      </c>
      <c r="D546">
        <f t="shared" si="189"/>
        <v>8.5096764648711982</v>
      </c>
      <c r="E546">
        <f t="shared" si="190"/>
        <v>7.7959440947739411</v>
      </c>
      <c r="F546">
        <f t="shared" si="193"/>
        <v>8.125754756720724</v>
      </c>
      <c r="G546">
        <f t="shared" si="193"/>
        <v>7.3799643986517687</v>
      </c>
      <c r="H546">
        <f t="shared" si="193"/>
        <v>6.8370031492323733</v>
      </c>
      <c r="I546">
        <f t="shared" si="176"/>
        <v>-1.4171077031505472</v>
      </c>
      <c r="J546">
        <f t="shared" si="191"/>
        <v>8.0052243492284489</v>
      </c>
      <c r="K546">
        <f t="shared" si="195"/>
        <v>7.7222769599238408</v>
      </c>
      <c r="L546">
        <f t="shared" si="195"/>
        <v>6.981286044799579</v>
      </c>
      <c r="M546">
        <f t="shared" si="195"/>
        <v>6.4004711726626864</v>
      </c>
      <c r="N546">
        <f t="shared" si="177"/>
        <v>-1.8536396797202341</v>
      </c>
      <c r="O546">
        <f t="shared" si="192"/>
        <v>8.055001649859344</v>
      </c>
      <c r="P546">
        <f t="shared" si="196"/>
        <v>7.644388780225789</v>
      </c>
      <c r="Q546">
        <f t="shared" si="194"/>
        <v>7.7466722492281042</v>
      </c>
      <c r="R546">
        <f t="shared" si="197"/>
        <v>7.1451996365563213</v>
      </c>
      <c r="S546">
        <f t="shared" si="197"/>
        <v>6.3959851210292387</v>
      </c>
      <c r="T546">
        <f t="shared" si="178"/>
        <v>-1.8581257313536819</v>
      </c>
      <c r="U546">
        <f t="shared" si="179"/>
        <v>1.8581257313536819</v>
      </c>
      <c r="V546">
        <f t="shared" si="186"/>
        <v>6.8178090900542285</v>
      </c>
      <c r="W546">
        <f t="shared" si="180"/>
        <v>1.436301762328692</v>
      </c>
      <c r="X546">
        <f t="shared" si="187"/>
        <v>7.3580228479144809</v>
      </c>
      <c r="Y546">
        <f t="shared" si="181"/>
        <v>0.89608800446843961</v>
      </c>
      <c r="Z546">
        <f t="shared" si="188"/>
        <v>7.5193721138597613</v>
      </c>
      <c r="AA546">
        <f t="shared" si="182"/>
        <v>0.73473873852315918</v>
      </c>
      <c r="AB546">
        <f t="shared" si="183"/>
        <v>-0.27952914761707959</v>
      </c>
      <c r="AC546">
        <f t="shared" si="184"/>
        <v>6.4168345096700259</v>
      </c>
      <c r="AD546">
        <f t="shared" si="185"/>
        <v>1.8372763427128946</v>
      </c>
    </row>
    <row r="547" spans="1:30">
      <c r="A547">
        <v>545</v>
      </c>
      <c r="B547">
        <v>7.3975555546377603</v>
      </c>
      <c r="C547">
        <f t="shared" si="189"/>
        <v>7.4238333970974377</v>
      </c>
      <c r="D547">
        <f t="shared" si="189"/>
        <v>7.8926860556121854</v>
      </c>
      <c r="E547">
        <f t="shared" si="190"/>
        <v>7.6768595774405979</v>
      </c>
      <c r="F547">
        <f t="shared" si="193"/>
        <v>8.1586026537512826</v>
      </c>
      <c r="G547">
        <f t="shared" si="193"/>
        <v>7.7133614445058383</v>
      </c>
      <c r="H547">
        <f t="shared" si="193"/>
        <v>7.1176811449265465</v>
      </c>
      <c r="I547">
        <f t="shared" si="176"/>
        <v>-0.2798744097112138</v>
      </c>
      <c r="J547">
        <f t="shared" si="191"/>
        <v>7.9104857841761866</v>
      </c>
      <c r="K547">
        <f t="shared" si="195"/>
        <v>7.9017616194505012</v>
      </c>
      <c r="L547">
        <f t="shared" si="195"/>
        <v>7.2700885076747728</v>
      </c>
      <c r="M547">
        <f t="shared" si="195"/>
        <v>6.609428567017595</v>
      </c>
      <c r="N547">
        <f t="shared" si="177"/>
        <v>-0.78812698762016531</v>
      </c>
      <c r="O547">
        <f t="shared" si="192"/>
        <v>7.8078997382685014</v>
      </c>
      <c r="P547">
        <f t="shared" si="196"/>
        <v>7.8340934801996784</v>
      </c>
      <c r="Q547">
        <f t="shared" si="194"/>
        <v>7.9404714794432811</v>
      </c>
      <c r="R547">
        <f t="shared" si="197"/>
        <v>7.3399787986795149</v>
      </c>
      <c r="S547">
        <f t="shared" si="197"/>
        <v>6.5814290466694523</v>
      </c>
      <c r="T547">
        <f t="shared" si="178"/>
        <v>-0.81612650796830799</v>
      </c>
      <c r="U547">
        <f t="shared" si="179"/>
        <v>0.81612650796830799</v>
      </c>
      <c r="V547">
        <f t="shared" si="186"/>
        <v>6.9614392662870976</v>
      </c>
      <c r="W547">
        <f t="shared" si="180"/>
        <v>0.43611628835066263</v>
      </c>
      <c r="X547">
        <f t="shared" si="187"/>
        <v>7.537240448808169</v>
      </c>
      <c r="Y547">
        <f t="shared" si="181"/>
        <v>-0.13968489417040875</v>
      </c>
      <c r="Z547">
        <f t="shared" si="188"/>
        <v>7.7397937354167095</v>
      </c>
      <c r="AA547">
        <f t="shared" si="182"/>
        <v>-0.34223818077894919</v>
      </c>
      <c r="AB547">
        <f t="shared" si="183"/>
        <v>-1.1416444453622407</v>
      </c>
      <c r="AC547">
        <f t="shared" si="184"/>
        <v>6.4648726145387965</v>
      </c>
      <c r="AD547">
        <f t="shared" si="185"/>
        <v>0.9326829400989638</v>
      </c>
    </row>
    <row r="548" spans="1:30">
      <c r="A548">
        <v>546</v>
      </c>
      <c r="B548">
        <v>6.889191794074363</v>
      </c>
      <c r="C548">
        <f t="shared" si="189"/>
        <v>7.8258332035103404</v>
      </c>
      <c r="D548">
        <f t="shared" si="189"/>
        <v>7.4060336685334374</v>
      </c>
      <c r="E548">
        <f t="shared" si="190"/>
        <v>7.4150741162775446</v>
      </c>
      <c r="F548">
        <f t="shared" si="193"/>
        <v>7.9828613857494952</v>
      </c>
      <c r="G548">
        <f t="shared" si="193"/>
        <v>7.9829319908681642</v>
      </c>
      <c r="H548">
        <f t="shared" si="193"/>
        <v>7.4070862594641893</v>
      </c>
      <c r="I548">
        <f t="shared" si="176"/>
        <v>0.51789446538982631</v>
      </c>
      <c r="J548">
        <f t="shared" si="191"/>
        <v>7.6070335717398887</v>
      </c>
      <c r="K548">
        <f t="shared" si="195"/>
        <v>8.0100980144695679</v>
      </c>
      <c r="L548">
        <f t="shared" si="195"/>
        <v>7.5354626677506023</v>
      </c>
      <c r="M548">
        <f t="shared" si="195"/>
        <v>6.8547211483851598</v>
      </c>
      <c r="N548">
        <f t="shared" si="177"/>
        <v>-3.4470645689203216E-2</v>
      </c>
      <c r="O548">
        <f t="shared" si="192"/>
        <v>7.4634652162067834</v>
      </c>
      <c r="P548">
        <f t="shared" si="196"/>
        <v>7.8843851095702107</v>
      </c>
      <c r="Q548">
        <f t="shared" si="194"/>
        <v>7.945427300655747</v>
      </c>
      <c r="R548">
        <f t="shared" si="197"/>
        <v>7.5550206704741321</v>
      </c>
      <c r="S548">
        <f t="shared" si="197"/>
        <v>6.7800004373878275</v>
      </c>
      <c r="T548">
        <f t="shared" si="178"/>
        <v>-0.10919135668653546</v>
      </c>
      <c r="U548">
        <f t="shared" si="179"/>
        <v>0.10919135668653546</v>
      </c>
      <c r="V548">
        <f t="shared" si="186"/>
        <v>7.0050508951221637</v>
      </c>
      <c r="W548">
        <f t="shared" si="180"/>
        <v>-0.11585910104780073</v>
      </c>
      <c r="X548">
        <f t="shared" si="187"/>
        <v>7.5093034699740873</v>
      </c>
      <c r="Y548">
        <f t="shared" si="181"/>
        <v>-0.62011167589972427</v>
      </c>
      <c r="Z548">
        <f t="shared" si="188"/>
        <v>7.6371222811830251</v>
      </c>
      <c r="AA548">
        <f t="shared" si="182"/>
        <v>-0.74793048710866206</v>
      </c>
      <c r="AB548">
        <f t="shared" si="183"/>
        <v>-1.6555682059256371</v>
      </c>
      <c r="AC548">
        <f t="shared" si="184"/>
        <v>6.5132587328475458</v>
      </c>
      <c r="AD548">
        <f t="shared" si="185"/>
        <v>0.37593306122681724</v>
      </c>
    </row>
    <row r="549" spans="1:30">
      <c r="A549">
        <v>547</v>
      </c>
      <c r="B549">
        <v>5.1002976450315254</v>
      </c>
      <c r="C549">
        <f t="shared" si="189"/>
        <v>7.1433736743560612</v>
      </c>
      <c r="D549">
        <f t="shared" si="189"/>
        <v>7.6248333003038891</v>
      </c>
      <c r="E549">
        <f t="shared" si="190"/>
        <v>7.5136194003650152</v>
      </c>
      <c r="F549">
        <f t="shared" si="193"/>
        <v>7.6292925961640279</v>
      </c>
      <c r="G549">
        <f t="shared" si="193"/>
        <v>8.089072932073833</v>
      </c>
      <c r="H549">
        <f t="shared" si="193"/>
        <v>7.6920859446752567</v>
      </c>
      <c r="I549">
        <f t="shared" si="176"/>
        <v>2.5917882996437314</v>
      </c>
      <c r="J549">
        <f t="shared" si="191"/>
        <v>7.2836035357267495</v>
      </c>
      <c r="K549">
        <f t="shared" si="195"/>
        <v>7.9303835564401819</v>
      </c>
      <c r="L549">
        <f t="shared" si="195"/>
        <v>7.7667503890688394</v>
      </c>
      <c r="M549">
        <f t="shared" si="195"/>
        <v>7.1205927008340026</v>
      </c>
      <c r="N549">
        <f t="shared" si="177"/>
        <v>2.0202950558024773</v>
      </c>
      <c r="O549">
        <f t="shared" si="192"/>
        <v>6.8469423575877046</v>
      </c>
      <c r="P549">
        <f t="shared" si="196"/>
        <v>7.8362811439802638</v>
      </c>
      <c r="Q549">
        <f t="shared" si="194"/>
        <v>7.654781747569479</v>
      </c>
      <c r="R549">
        <f t="shared" si="197"/>
        <v>7.7515914321909989</v>
      </c>
      <c r="S549">
        <f t="shared" si="197"/>
        <v>6.9927240099414147</v>
      </c>
      <c r="T549">
        <f t="shared" si="178"/>
        <v>1.8924263649098894</v>
      </c>
      <c r="U549">
        <f t="shared" si="179"/>
        <v>-1.8924263649098894</v>
      </c>
      <c r="V549">
        <f t="shared" si="186"/>
        <v>6.9934649850173836</v>
      </c>
      <c r="W549">
        <f t="shared" si="180"/>
        <v>-1.8931673399858582</v>
      </c>
      <c r="X549">
        <f t="shared" si="187"/>
        <v>7.3852811347941421</v>
      </c>
      <c r="Y549">
        <f t="shared" si="181"/>
        <v>-2.2849834897626167</v>
      </c>
      <c r="Z549">
        <f t="shared" si="188"/>
        <v>7.4127431350504267</v>
      </c>
      <c r="AA549">
        <f t="shared" si="182"/>
        <v>-2.3124454900189013</v>
      </c>
      <c r="AB549">
        <f t="shared" si="183"/>
        <v>-3.4500223549684739</v>
      </c>
      <c r="AC549">
        <f t="shared" si="184"/>
        <v>6.5619796326474953</v>
      </c>
      <c r="AD549">
        <f t="shared" si="185"/>
        <v>-1.4616819876159699</v>
      </c>
    </row>
    <row r="550" spans="1:30">
      <c r="A550">
        <v>548</v>
      </c>
      <c r="B550">
        <v>5.7679258894324805</v>
      </c>
      <c r="C550">
        <f t="shared" si="189"/>
        <v>5.9947447195529442</v>
      </c>
      <c r="D550">
        <f t="shared" si="189"/>
        <v>7.4846034389332008</v>
      </c>
      <c r="E550">
        <f t="shared" si="190"/>
        <v>6.462348331247882</v>
      </c>
      <c r="F550">
        <f t="shared" si="193"/>
        <v>7.5351843646943868</v>
      </c>
      <c r="G550">
        <f t="shared" si="193"/>
        <v>7.9235855452216022</v>
      </c>
      <c r="H550">
        <f t="shared" si="193"/>
        <v>7.9284554558159455</v>
      </c>
      <c r="I550">
        <f t="shared" si="176"/>
        <v>2.1605295663834649</v>
      </c>
      <c r="J550">
        <f t="shared" si="191"/>
        <v>6.9102889615316423</v>
      </c>
      <c r="K550">
        <f t="shared" si="195"/>
        <v>7.7015868102178189</v>
      </c>
      <c r="L550">
        <f t="shared" si="195"/>
        <v>7.891130037571024</v>
      </c>
      <c r="M550">
        <f t="shared" si="195"/>
        <v>7.3883969023234481</v>
      </c>
      <c r="N550">
        <f t="shared" si="177"/>
        <v>1.6204710128909676</v>
      </c>
      <c r="O550">
        <f t="shared" si="192"/>
        <v>6.6818163471118099</v>
      </c>
      <c r="P550">
        <f t="shared" si="196"/>
        <v>7.610210513355538</v>
      </c>
      <c r="Q550">
        <f t="shared" si="194"/>
        <v>7.0696039543442408</v>
      </c>
      <c r="R550">
        <f t="shared" si="197"/>
        <v>7.8005701717153153</v>
      </c>
      <c r="S550">
        <f t="shared" si="197"/>
        <v>7.218191218122457</v>
      </c>
      <c r="T550">
        <f t="shared" si="178"/>
        <v>1.4502653286899765</v>
      </c>
      <c r="U550">
        <f t="shared" si="179"/>
        <v>-1.4502653286899765</v>
      </c>
      <c r="V550">
        <f t="shared" si="186"/>
        <v>6.8041482510187974</v>
      </c>
      <c r="W550">
        <f t="shared" si="180"/>
        <v>-1.0362223615863169</v>
      </c>
      <c r="X550">
        <f t="shared" si="187"/>
        <v>6.9282844368416185</v>
      </c>
      <c r="Y550">
        <f t="shared" si="181"/>
        <v>-1.160358547409138</v>
      </c>
      <c r="Z550">
        <f t="shared" si="188"/>
        <v>6.7190094880447564</v>
      </c>
      <c r="AA550">
        <f t="shared" si="182"/>
        <v>-0.95108359861227587</v>
      </c>
      <c r="AB550">
        <f t="shared" si="183"/>
        <v>-2.7879541105675196</v>
      </c>
      <c r="AC550">
        <f t="shared" si="184"/>
        <v>6.6110219889971447</v>
      </c>
      <c r="AD550">
        <f t="shared" si="185"/>
        <v>-0.84309609956466414</v>
      </c>
    </row>
    <row r="551" spans="1:30">
      <c r="A551">
        <v>549</v>
      </c>
      <c r="B551">
        <v>7.0066717460779824</v>
      </c>
      <c r="C551">
        <f t="shared" si="189"/>
        <v>5.434111767232003</v>
      </c>
      <c r="D551">
        <f t="shared" si="189"/>
        <v>6.5690591969545027</v>
      </c>
      <c r="E551">
        <f t="shared" si="190"/>
        <v>5.9191384428461227</v>
      </c>
      <c r="F551">
        <f t="shared" si="193"/>
        <v>7.1303472826301473</v>
      </c>
      <c r="G551">
        <f t="shared" si="193"/>
        <v>7.715779448869303</v>
      </c>
      <c r="H551">
        <f t="shared" si="193"/>
        <v>7.9985301560545325</v>
      </c>
      <c r="I551">
        <f t="shared" si="176"/>
        <v>0.99185840997655017</v>
      </c>
      <c r="J551">
        <f t="shared" si="191"/>
        <v>6.2887427207940316</v>
      </c>
      <c r="K551">
        <f t="shared" si="195"/>
        <v>7.427852963293617</v>
      </c>
      <c r="L551">
        <f t="shared" si="195"/>
        <v>7.8859575001445172</v>
      </c>
      <c r="M551">
        <f t="shared" si="195"/>
        <v>7.6158579005163096</v>
      </c>
      <c r="N551">
        <f t="shared" si="177"/>
        <v>0.60918615443832724</v>
      </c>
      <c r="O551">
        <f t="shared" si="192"/>
        <v>6.4323285258508225</v>
      </c>
      <c r="P551">
        <f t="shared" si="196"/>
        <v>7.3710250618068285</v>
      </c>
      <c r="Q551">
        <f t="shared" si="194"/>
        <v>6.6671062795618345</v>
      </c>
      <c r="R551">
        <f t="shared" si="197"/>
        <v>7.690127154065407</v>
      </c>
      <c r="S551">
        <f t="shared" si="197"/>
        <v>7.4159046693893584</v>
      </c>
      <c r="T551">
        <f t="shared" si="178"/>
        <v>0.40923292331137606</v>
      </c>
      <c r="U551">
        <f t="shared" si="179"/>
        <v>-0.40923292331137606</v>
      </c>
      <c r="V551">
        <f t="shared" si="186"/>
        <v>6.7005260148601655</v>
      </c>
      <c r="W551">
        <f t="shared" si="180"/>
        <v>0.30614573121781685</v>
      </c>
      <c r="X551">
        <f t="shared" si="187"/>
        <v>6.6962127273597911</v>
      </c>
      <c r="Y551">
        <f t="shared" si="181"/>
        <v>0.31045901871819126</v>
      </c>
      <c r="Z551">
        <f t="shared" si="188"/>
        <v>6.4336844084610734</v>
      </c>
      <c r="AA551">
        <f t="shared" si="182"/>
        <v>0.57298733761690901</v>
      </c>
      <c r="AB551">
        <f t="shared" si="183"/>
        <v>-1.5547682539220187</v>
      </c>
      <c r="AC551">
        <f t="shared" si="184"/>
        <v>6.6603723876635916</v>
      </c>
      <c r="AD551">
        <f t="shared" si="185"/>
        <v>0.34629935841439075</v>
      </c>
    </row>
    <row r="552" spans="1:30">
      <c r="A552">
        <v>550</v>
      </c>
      <c r="B552">
        <v>4.76557508487193</v>
      </c>
      <c r="C552">
        <f t="shared" si="189"/>
        <v>6.3872988177552319</v>
      </c>
      <c r="D552">
        <f t="shared" si="189"/>
        <v>5.714428243392474</v>
      </c>
      <c r="E552">
        <f t="shared" si="190"/>
        <v>5.9582984268473291</v>
      </c>
      <c r="F552">
        <f t="shared" si="193"/>
        <v>6.6317020581530066</v>
      </c>
      <c r="G552">
        <f t="shared" si="193"/>
        <v>7.431608081162854</v>
      </c>
      <c r="H552">
        <f t="shared" si="193"/>
        <v>7.9094793087215791</v>
      </c>
      <c r="I552">
        <f t="shared" si="176"/>
        <v>3.1439042238496491</v>
      </c>
      <c r="J552">
        <f t="shared" si="191"/>
        <v>6.1910217686540872</v>
      </c>
      <c r="K552">
        <f t="shared" si="195"/>
        <v>7.0224171974480782</v>
      </c>
      <c r="L552">
        <f t="shared" si="195"/>
        <v>7.7674803361052964</v>
      </c>
      <c r="M552">
        <f t="shared" si="195"/>
        <v>7.7698251486337453</v>
      </c>
      <c r="N552">
        <f t="shared" si="177"/>
        <v>3.0042500637618152</v>
      </c>
      <c r="O552">
        <f t="shared" si="192"/>
        <v>5.9059324318976554</v>
      </c>
      <c r="P552">
        <f t="shared" si="196"/>
        <v>7.046490437005124</v>
      </c>
      <c r="Q552">
        <f t="shared" si="194"/>
        <v>6.7359589136061722</v>
      </c>
      <c r="R552">
        <f t="shared" si="197"/>
        <v>7.5040105018004475</v>
      </c>
      <c r="S552">
        <f t="shared" si="197"/>
        <v>7.5470813106136143</v>
      </c>
      <c r="T552">
        <f t="shared" si="178"/>
        <v>2.7815062257416843</v>
      </c>
      <c r="U552">
        <f t="shared" si="179"/>
        <v>-2.7815062257416843</v>
      </c>
      <c r="V552">
        <f t="shared" si="186"/>
        <v>6.7311405879819475</v>
      </c>
      <c r="W552">
        <f t="shared" si="180"/>
        <v>-1.9655655031100174</v>
      </c>
      <c r="X552">
        <f t="shared" si="187"/>
        <v>6.7583045311034295</v>
      </c>
      <c r="Y552">
        <f t="shared" si="181"/>
        <v>-1.9927294462314995</v>
      </c>
      <c r="Z552">
        <f t="shared" si="188"/>
        <v>6.6055806097461458</v>
      </c>
      <c r="AA552">
        <f t="shared" si="182"/>
        <v>-1.8400055248742158</v>
      </c>
      <c r="AB552">
        <f t="shared" si="183"/>
        <v>-3.8014249151280701</v>
      </c>
      <c r="AC552">
        <f t="shared" si="184"/>
        <v>6.7100173288485854</v>
      </c>
      <c r="AD552">
        <f t="shared" si="185"/>
        <v>-1.9444422439766553</v>
      </c>
    </row>
    <row r="553" spans="1:30">
      <c r="A553">
        <v>551</v>
      </c>
      <c r="B553">
        <v>5.6651653766812862</v>
      </c>
      <c r="C553">
        <f t="shared" si="189"/>
        <v>5.8861234154749562</v>
      </c>
      <c r="D553">
        <f t="shared" si="189"/>
        <v>5.910705292493617</v>
      </c>
      <c r="E553">
        <f t="shared" si="190"/>
        <v>5.8467242401274646</v>
      </c>
      <c r="F553">
        <f t="shared" si="193"/>
        <v>6.1132617336471107</v>
      </c>
      <c r="G553">
        <f t="shared" si="193"/>
        <v>7.0990779018258472</v>
      </c>
      <c r="H553">
        <f t="shared" si="193"/>
        <v>7.6903243584179188</v>
      </c>
      <c r="I553">
        <f t="shared" si="176"/>
        <v>2.0251589817366327</v>
      </c>
      <c r="J553">
        <f t="shared" si="191"/>
        <v>5.6601175913534796</v>
      </c>
      <c r="K553">
        <f t="shared" si="195"/>
        <v>6.6684142466766279</v>
      </c>
      <c r="L553">
        <f t="shared" si="195"/>
        <v>7.5205601318499244</v>
      </c>
      <c r="M553">
        <f t="shared" si="195"/>
        <v>7.8278295657224195</v>
      </c>
      <c r="N553">
        <f t="shared" si="177"/>
        <v>2.1626641890411333</v>
      </c>
      <c r="O553">
        <f t="shared" si="192"/>
        <v>5.6611271484190411</v>
      </c>
      <c r="P553">
        <f t="shared" si="196"/>
        <v>6.6660969757309543</v>
      </c>
      <c r="Q553">
        <f t="shared" si="194"/>
        <v>6.1545362856876737</v>
      </c>
      <c r="R553">
        <f t="shared" si="197"/>
        <v>7.3355582791967917</v>
      </c>
      <c r="S553">
        <f t="shared" si="197"/>
        <v>7.6068831214876367</v>
      </c>
      <c r="T553">
        <f t="shared" si="178"/>
        <v>1.9417177448063505</v>
      </c>
      <c r="U553">
        <f t="shared" si="179"/>
        <v>-1.9417177448063505</v>
      </c>
      <c r="V553">
        <f t="shared" si="186"/>
        <v>6.5345840376709461</v>
      </c>
      <c r="W553">
        <f t="shared" si="180"/>
        <v>-0.86941866098965992</v>
      </c>
      <c r="X553">
        <f t="shared" si="187"/>
        <v>6.3597586418571295</v>
      </c>
      <c r="Y553">
        <f t="shared" si="181"/>
        <v>-0.6945932651758433</v>
      </c>
      <c r="Z553">
        <f t="shared" si="188"/>
        <v>6.053578952283881</v>
      </c>
      <c r="AA553">
        <f t="shared" si="182"/>
        <v>-0.38841357560259482</v>
      </c>
      <c r="AB553">
        <f t="shared" si="183"/>
        <v>-2.9073946233187131</v>
      </c>
      <c r="AC553">
        <f t="shared" si="184"/>
        <v>6.7599432309384229</v>
      </c>
      <c r="AD553">
        <f t="shared" si="185"/>
        <v>-1.0947778542571367</v>
      </c>
    </row>
    <row r="554" spans="1:30">
      <c r="A554">
        <v>552</v>
      </c>
      <c r="B554">
        <v>7.5735974212117574</v>
      </c>
      <c r="C554">
        <f t="shared" si="189"/>
        <v>5.2153702307766086</v>
      </c>
      <c r="D554">
        <f t="shared" si="189"/>
        <v>6.1367111166150945</v>
      </c>
      <c r="E554">
        <f t="shared" si="190"/>
        <v>5.8124707358770662</v>
      </c>
      <c r="F554">
        <f t="shared" si="193"/>
        <v>5.9080537032736382</v>
      </c>
      <c r="G554">
        <f t="shared" si="193"/>
        <v>6.6251036914767552</v>
      </c>
      <c r="H554">
        <f t="shared" si="193"/>
        <v>7.4154884772860017</v>
      </c>
      <c r="I554">
        <f t="shared" si="176"/>
        <v>-0.1581089439257557</v>
      </c>
      <c r="J554">
        <f t="shared" si="191"/>
        <v>5.8013345242659202</v>
      </c>
      <c r="K554">
        <f t="shared" si="195"/>
        <v>6.2625427605833108</v>
      </c>
      <c r="L554">
        <f t="shared" si="195"/>
        <v>7.205067804409035</v>
      </c>
      <c r="M554">
        <f t="shared" si="195"/>
        <v>7.7662820014176912</v>
      </c>
      <c r="N554">
        <f t="shared" si="177"/>
        <v>0.19268458020593382</v>
      </c>
      <c r="O554">
        <f t="shared" si="192"/>
        <v>6.1557871036550882</v>
      </c>
      <c r="P554">
        <f t="shared" si="196"/>
        <v>6.3056293621734074</v>
      </c>
      <c r="Q554">
        <f t="shared" si="194"/>
        <v>5.865804589361594</v>
      </c>
      <c r="R554">
        <f t="shared" si="197"/>
        <v>7.0379024135708583</v>
      </c>
      <c r="S554">
        <f t="shared" si="197"/>
        <v>7.6061463682405153</v>
      </c>
      <c r="T554">
        <f t="shared" si="178"/>
        <v>3.254894702875788E-2</v>
      </c>
      <c r="U554">
        <f t="shared" si="179"/>
        <v>-3.254894702875788E-2</v>
      </c>
      <c r="V554">
        <f t="shared" si="186"/>
        <v>6.4476421715719798</v>
      </c>
      <c r="W554">
        <f t="shared" si="180"/>
        <v>1.1259552496397776</v>
      </c>
      <c r="X554">
        <f t="shared" si="187"/>
        <v>6.220839988821961</v>
      </c>
      <c r="Y554">
        <f t="shared" si="181"/>
        <v>1.3527574323897964</v>
      </c>
      <c r="Z554">
        <f t="shared" si="188"/>
        <v>5.9370548796031022</v>
      </c>
      <c r="AA554">
        <f t="shared" si="182"/>
        <v>1.6365425416086552</v>
      </c>
      <c r="AB554">
        <f t="shared" si="183"/>
        <v>-1.0045225787882428</v>
      </c>
      <c r="AC554">
        <f t="shared" si="184"/>
        <v>6.8101364342764894</v>
      </c>
      <c r="AD554">
        <f t="shared" si="185"/>
        <v>0.76346098693526798</v>
      </c>
    </row>
    <row r="555" spans="1:30">
      <c r="A555">
        <v>553</v>
      </c>
      <c r="B555">
        <v>4.9851860647914155</v>
      </c>
      <c r="C555">
        <f t="shared" si="189"/>
        <v>6.6193813989465218</v>
      </c>
      <c r="D555">
        <f t="shared" si="189"/>
        <v>5.5507468231257828</v>
      </c>
      <c r="E555">
        <f t="shared" si="190"/>
        <v>6.0014459609216582</v>
      </c>
      <c r="F555">
        <f t="shared" si="193"/>
        <v>5.8724978009506197</v>
      </c>
      <c r="G555">
        <f t="shared" si="193"/>
        <v>6.2176724983579179</v>
      </c>
      <c r="H555">
        <f t="shared" si="193"/>
        <v>7.0519298914884851</v>
      </c>
      <c r="I555">
        <f t="shared" si="176"/>
        <v>2.0667438266970697</v>
      </c>
      <c r="J555">
        <f t="shared" si="191"/>
        <v>6.252752407210739</v>
      </c>
      <c r="K555">
        <f t="shared" si="195"/>
        <v>5.9853041512668792</v>
      </c>
      <c r="L555">
        <f t="shared" si="195"/>
        <v>6.8453067920004083</v>
      </c>
      <c r="M555">
        <f t="shared" si="195"/>
        <v>7.5947664431271935</v>
      </c>
      <c r="N555">
        <f t="shared" si="177"/>
        <v>2.6095803783357781</v>
      </c>
      <c r="O555">
        <f t="shared" si="192"/>
        <v>5.9992391387268738</v>
      </c>
      <c r="P555">
        <f t="shared" si="196"/>
        <v>6.1673983113868829</v>
      </c>
      <c r="Q555">
        <f t="shared" si="194"/>
        <v>5.9798721938844936</v>
      </c>
      <c r="R555">
        <f t="shared" si="197"/>
        <v>6.6912986283551659</v>
      </c>
      <c r="S555">
        <f t="shared" si="197"/>
        <v>7.5199599920899702</v>
      </c>
      <c r="T555">
        <f t="shared" si="178"/>
        <v>2.5347739272985548</v>
      </c>
      <c r="U555">
        <f t="shared" si="179"/>
        <v>-2.5347739272985548</v>
      </c>
      <c r="V555">
        <f t="shared" si="186"/>
        <v>6.5602376965359577</v>
      </c>
      <c r="W555">
        <f t="shared" si="180"/>
        <v>-1.5750516317445422</v>
      </c>
      <c r="X555">
        <f t="shared" si="187"/>
        <v>6.4913914752999204</v>
      </c>
      <c r="Y555">
        <f t="shared" si="181"/>
        <v>-1.506205410508505</v>
      </c>
      <c r="Z555">
        <f t="shared" si="188"/>
        <v>6.4280176420856989</v>
      </c>
      <c r="AA555">
        <f t="shared" si="182"/>
        <v>-1.4428315772942835</v>
      </c>
      <c r="AB555">
        <f t="shared" si="183"/>
        <v>-3.5984939352085856</v>
      </c>
      <c r="AC555">
        <f t="shared" si="184"/>
        <v>6.8605832049575675</v>
      </c>
      <c r="AD555">
        <f t="shared" si="185"/>
        <v>-1.875397140166152</v>
      </c>
    </row>
    <row r="556" spans="1:30">
      <c r="A556">
        <v>554</v>
      </c>
      <c r="B556">
        <v>6.9629776828488383</v>
      </c>
      <c r="C556">
        <f t="shared" si="189"/>
        <v>6.279391743001586</v>
      </c>
      <c r="D556">
        <f t="shared" si="189"/>
        <v>5.9173758148615647</v>
      </c>
      <c r="E556">
        <f t="shared" si="190"/>
        <v>6.07464962089482</v>
      </c>
      <c r="F556">
        <f t="shared" si="193"/>
        <v>5.8868803123087297</v>
      </c>
      <c r="G556">
        <f t="shared" si="193"/>
        <v>5.9646044126237889</v>
      </c>
      <c r="H556">
        <f t="shared" si="193"/>
        <v>6.6472846972201731</v>
      </c>
      <c r="I556">
        <f t="shared" si="176"/>
        <v>-0.31569298562866521</v>
      </c>
      <c r="J556">
        <f t="shared" si="191"/>
        <v>5.7473809868890982</v>
      </c>
      <c r="K556">
        <f t="shared" si="195"/>
        <v>5.9763065728710565</v>
      </c>
      <c r="L556">
        <f t="shared" si="195"/>
        <v>6.4846695889937234</v>
      </c>
      <c r="M556">
        <f t="shared" si="195"/>
        <v>7.3346037660911652</v>
      </c>
      <c r="N556">
        <f t="shared" si="177"/>
        <v>0.37162608324232682</v>
      </c>
      <c r="O556">
        <f t="shared" si="192"/>
        <v>5.9905003260810457</v>
      </c>
      <c r="P556">
        <f t="shared" si="196"/>
        <v>6.0308828697098971</v>
      </c>
      <c r="Q556">
        <f t="shared" si="194"/>
        <v>5.9606869305111418</v>
      </c>
      <c r="R556">
        <f t="shared" si="197"/>
        <v>6.4121470360743347</v>
      </c>
      <c r="S556">
        <f t="shared" si="197"/>
        <v>7.343244524783997</v>
      </c>
      <c r="T556">
        <f t="shared" si="178"/>
        <v>0.38026684193515869</v>
      </c>
      <c r="U556">
        <f t="shared" si="179"/>
        <v>-0.38026684193515869</v>
      </c>
      <c r="V556">
        <f t="shared" si="186"/>
        <v>6.4027325333615037</v>
      </c>
      <c r="W556">
        <f t="shared" si="180"/>
        <v>0.56024514948733461</v>
      </c>
      <c r="X556">
        <f t="shared" si="187"/>
        <v>6.1901503931982198</v>
      </c>
      <c r="Y556">
        <f t="shared" si="181"/>
        <v>0.77282728965061853</v>
      </c>
      <c r="Z556">
        <f t="shared" si="188"/>
        <v>5.9951681688974139</v>
      </c>
      <c r="AA556">
        <f t="shared" si="182"/>
        <v>0.96780951395142445</v>
      </c>
      <c r="AB556">
        <f t="shared" si="183"/>
        <v>-1.6262623171511619</v>
      </c>
      <c r="AC556">
        <f t="shared" si="184"/>
        <v>6.9112697386426714</v>
      </c>
      <c r="AD556">
        <f t="shared" si="185"/>
        <v>5.1707944206166978E-2</v>
      </c>
    </row>
    <row r="557" spans="1:30">
      <c r="A557">
        <v>555</v>
      </c>
      <c r="B557">
        <v>8.6117553337604971</v>
      </c>
      <c r="C557">
        <f t="shared" si="189"/>
        <v>5.9740818738201273</v>
      </c>
      <c r="D557">
        <f t="shared" si="189"/>
        <v>6.4493865709740543</v>
      </c>
      <c r="E557">
        <f t="shared" si="190"/>
        <v>6.5072537229506695</v>
      </c>
      <c r="F557">
        <f t="shared" si="193"/>
        <v>5.9628554392311814</v>
      </c>
      <c r="G557">
        <f t="shared" si="193"/>
        <v>5.8891439388443301</v>
      </c>
      <c r="H557">
        <f t="shared" si="193"/>
        <v>6.269126867486154</v>
      </c>
      <c r="I557">
        <f t="shared" si="176"/>
        <v>-2.3426284662743431</v>
      </c>
      <c r="J557">
        <f t="shared" si="191"/>
        <v>6.2967316363833241</v>
      </c>
      <c r="K557">
        <f t="shared" si="195"/>
        <v>5.8653963774298088</v>
      </c>
      <c r="L557">
        <f t="shared" si="195"/>
        <v>6.2231419328494679</v>
      </c>
      <c r="M557">
        <f t="shared" si="195"/>
        <v>7.013901079313273</v>
      </c>
      <c r="N557">
        <f t="shared" si="177"/>
        <v>-1.5978542544472241</v>
      </c>
      <c r="O557">
        <f t="shared" si="192"/>
        <v>6.7597363758587594</v>
      </c>
      <c r="P557">
        <f t="shared" si="196"/>
        <v>5.942517229755941</v>
      </c>
      <c r="Q557">
        <f t="shared" si="194"/>
        <v>6.1598622294138679</v>
      </c>
      <c r="R557">
        <f t="shared" si="197"/>
        <v>6.2273275321021515</v>
      </c>
      <c r="S557">
        <f t="shared" si="197"/>
        <v>7.1118406688438354</v>
      </c>
      <c r="T557">
        <f t="shared" si="178"/>
        <v>-1.4999146649166617</v>
      </c>
      <c r="U557">
        <f t="shared" si="179"/>
        <v>1.4999146649166617</v>
      </c>
      <c r="V557">
        <f t="shared" si="186"/>
        <v>6.458757048310237</v>
      </c>
      <c r="W557">
        <f t="shared" si="180"/>
        <v>2.1529982854502601</v>
      </c>
      <c r="X557">
        <f t="shared" si="187"/>
        <v>6.3447158511283437</v>
      </c>
      <c r="Y557">
        <f t="shared" si="181"/>
        <v>2.2670394826321534</v>
      </c>
      <c r="Z557">
        <f t="shared" si="188"/>
        <v>6.285511023082841</v>
      </c>
      <c r="AA557">
        <f t="shared" si="182"/>
        <v>2.326244310677656</v>
      </c>
      <c r="AB557">
        <f t="shared" si="183"/>
        <v>1.6955333760497737E-2</v>
      </c>
      <c r="AC557">
        <f t="shared" si="184"/>
        <v>6.9621821643935471</v>
      </c>
      <c r="AD557">
        <f t="shared" si="185"/>
        <v>1.64957316936695</v>
      </c>
    </row>
    <row r="558" spans="1:30">
      <c r="A558">
        <v>556</v>
      </c>
      <c r="B558">
        <v>5.6408204518236023</v>
      </c>
      <c r="C558">
        <f t="shared" si="189"/>
        <v>7.7873665083046681</v>
      </c>
      <c r="D558">
        <f t="shared" si="189"/>
        <v>6.1267368084108567</v>
      </c>
      <c r="E558">
        <f t="shared" si="190"/>
        <v>6.8533063604669167</v>
      </c>
      <c r="F558">
        <f t="shared" si="193"/>
        <v>6.1944497682557156</v>
      </c>
      <c r="G558">
        <f t="shared" si="193"/>
        <v>5.90741118416351</v>
      </c>
      <c r="H558">
        <f t="shared" si="193"/>
        <v>6.0238069499420126</v>
      </c>
      <c r="I558">
        <f t="shared" si="176"/>
        <v>0.38298649811841035</v>
      </c>
      <c r="J558">
        <f t="shared" si="191"/>
        <v>7.0333791256531271</v>
      </c>
      <c r="K558">
        <f t="shared" si="195"/>
        <v>6.0245498886872708</v>
      </c>
      <c r="L558">
        <f t="shared" si="195"/>
        <v>6.0223874655377632</v>
      </c>
      <c r="M558">
        <f t="shared" si="195"/>
        <v>6.6895465295631586</v>
      </c>
      <c r="N558">
        <f t="shared" si="177"/>
        <v>1.0487260777395564</v>
      </c>
      <c r="O558">
        <f t="shared" si="192"/>
        <v>6.7548673908872221</v>
      </c>
      <c r="P558">
        <f t="shared" si="196"/>
        <v>6.1132780185481606</v>
      </c>
      <c r="Q558">
        <f t="shared" si="194"/>
        <v>6.4273761606942879</v>
      </c>
      <c r="R558">
        <f t="shared" si="197"/>
        <v>6.1427868570774899</v>
      </c>
      <c r="S558">
        <f t="shared" si="197"/>
        <v>6.868040731849959</v>
      </c>
      <c r="T558">
        <f t="shared" si="178"/>
        <v>1.2272202800263567</v>
      </c>
      <c r="U558">
        <f t="shared" si="179"/>
        <v>-1.2272202800263567</v>
      </c>
      <c r="V558">
        <f t="shared" si="186"/>
        <v>6.6740568768552633</v>
      </c>
      <c r="W558">
        <f t="shared" si="180"/>
        <v>-1.033236425031661</v>
      </c>
      <c r="X558">
        <f t="shared" si="187"/>
        <v>6.798123747654774</v>
      </c>
      <c r="Y558">
        <f t="shared" si="181"/>
        <v>-1.1573032958311718</v>
      </c>
      <c r="Z558">
        <f t="shared" si="188"/>
        <v>6.9833843162861378</v>
      </c>
      <c r="AA558">
        <f t="shared" si="182"/>
        <v>-1.3425638644625355</v>
      </c>
      <c r="AB558">
        <f t="shared" si="183"/>
        <v>-2.959539548176398</v>
      </c>
      <c r="AC558">
        <f t="shared" si="184"/>
        <v>7.0133065485255788</v>
      </c>
      <c r="AD558">
        <f t="shared" si="185"/>
        <v>-1.3724860967019765</v>
      </c>
    </row>
    <row r="559" spans="1:30">
      <c r="A559">
        <v>557</v>
      </c>
      <c r="B559">
        <v>6.9766165088864964</v>
      </c>
      <c r="C559">
        <f t="shared" si="189"/>
        <v>7.1262878927920497</v>
      </c>
      <c r="D559">
        <f t="shared" si="189"/>
        <v>6.8807241910623977</v>
      </c>
      <c r="E559">
        <f t="shared" si="190"/>
        <v>7.0718511561443123</v>
      </c>
      <c r="F559">
        <f t="shared" si="193"/>
        <v>6.478403234770802</v>
      </c>
      <c r="G559">
        <f t="shared" si="193"/>
        <v>6.0147285065985416</v>
      </c>
      <c r="H559">
        <f t="shared" si="193"/>
        <v>5.9203865118772105</v>
      </c>
      <c r="I559">
        <f t="shared" si="176"/>
        <v>-1.0562299970092859</v>
      </c>
      <c r="J559">
        <f t="shared" si="191"/>
        <v>6.5501848833060876</v>
      </c>
      <c r="K559">
        <f t="shared" si="195"/>
        <v>6.3325610390340721</v>
      </c>
      <c r="L559">
        <f t="shared" si="195"/>
        <v>5.962889247563754</v>
      </c>
      <c r="M559">
        <f t="shared" si="195"/>
        <v>6.3938764448453416</v>
      </c>
      <c r="N559">
        <f t="shared" si="177"/>
        <v>-0.58274006404115486</v>
      </c>
      <c r="O559">
        <f t="shared" si="192"/>
        <v>6.6354712084221692</v>
      </c>
      <c r="P559">
        <f t="shared" si="196"/>
        <v>6.3320260670417969</v>
      </c>
      <c r="Q559">
        <f t="shared" si="194"/>
        <v>6.5732503885195657</v>
      </c>
      <c r="R559">
        <f t="shared" si="197"/>
        <v>6.091356398258843</v>
      </c>
      <c r="S559">
        <f t="shared" si="197"/>
        <v>6.6411701243961323</v>
      </c>
      <c r="T559">
        <f t="shared" si="178"/>
        <v>-0.33544638449036412</v>
      </c>
      <c r="U559">
        <f t="shared" si="179"/>
        <v>0.33544638449036412</v>
      </c>
      <c r="V559">
        <f t="shared" si="186"/>
        <v>6.5707332343520974</v>
      </c>
      <c r="W559">
        <f t="shared" si="180"/>
        <v>0.40588327453439899</v>
      </c>
      <c r="X559">
        <f t="shared" si="187"/>
        <v>6.5666630884885393</v>
      </c>
      <c r="Y559">
        <f t="shared" si="181"/>
        <v>0.40995342039795712</v>
      </c>
      <c r="Z559">
        <f t="shared" si="188"/>
        <v>6.5806151569473768</v>
      </c>
      <c r="AA559">
        <f t="shared" si="182"/>
        <v>0.39600135193911967</v>
      </c>
      <c r="AB559">
        <f t="shared" si="183"/>
        <v>-1.6293034911135047</v>
      </c>
      <c r="AC559">
        <f t="shared" si="184"/>
        <v>7.064628898478186</v>
      </c>
      <c r="AD559">
        <f t="shared" si="185"/>
        <v>-8.8012389591689555E-2</v>
      </c>
    </row>
    <row r="560" spans="1:30">
      <c r="A560">
        <v>558</v>
      </c>
      <c r="B560">
        <v>7.7789929086470497</v>
      </c>
      <c r="C560">
        <f t="shared" si="189"/>
        <v>6.3087184803550489</v>
      </c>
      <c r="D560">
        <f t="shared" si="189"/>
        <v>7.4568272005483589</v>
      </c>
      <c r="E560">
        <f t="shared" si="190"/>
        <v>7.0763974314901992</v>
      </c>
      <c r="F560">
        <f t="shared" si="193"/>
        <v>6.8108037465206328</v>
      </c>
      <c r="G560">
        <f t="shared" si="193"/>
        <v>6.2119028140858994</v>
      </c>
      <c r="H560">
        <f t="shared" si="193"/>
        <v>5.9370945432021278</v>
      </c>
      <c r="I560">
        <f t="shared" si="176"/>
        <v>-1.8418983654449219</v>
      </c>
      <c r="J560">
        <f t="shared" si="191"/>
        <v>7.0480424943298585</v>
      </c>
      <c r="K560">
        <f t="shared" si="195"/>
        <v>6.4069191580579092</v>
      </c>
      <c r="L560">
        <f t="shared" si="195"/>
        <v>6.0497034695055518</v>
      </c>
      <c r="M560">
        <f t="shared" si="195"/>
        <v>6.1732720587361767</v>
      </c>
      <c r="N560">
        <f t="shared" si="177"/>
        <v>-1.605720849910873</v>
      </c>
      <c r="O560">
        <f t="shared" si="192"/>
        <v>7.1942325771932971</v>
      </c>
      <c r="P560">
        <f t="shared" si="196"/>
        <v>6.4279628879952124</v>
      </c>
      <c r="Q560">
        <f t="shared" si="194"/>
        <v>6.7918255772204335</v>
      </c>
      <c r="R560">
        <f t="shared" si="197"/>
        <v>6.1611420820641589</v>
      </c>
      <c r="S560">
        <f t="shared" si="197"/>
        <v>6.4338031442398078</v>
      </c>
      <c r="T560">
        <f t="shared" si="178"/>
        <v>-1.3451897644072419</v>
      </c>
      <c r="U560">
        <f t="shared" si="179"/>
        <v>1.3451897644072419</v>
      </c>
      <c r="V560">
        <f t="shared" si="186"/>
        <v>6.6113215618055374</v>
      </c>
      <c r="W560">
        <f t="shared" si="180"/>
        <v>1.1676713468415123</v>
      </c>
      <c r="X560">
        <f t="shared" si="187"/>
        <v>6.6486537725681307</v>
      </c>
      <c r="Y560">
        <f t="shared" si="181"/>
        <v>1.130339136078919</v>
      </c>
      <c r="Z560">
        <f t="shared" si="188"/>
        <v>6.6994155625291123</v>
      </c>
      <c r="AA560">
        <f t="shared" si="182"/>
        <v>1.0795773461179374</v>
      </c>
      <c r="AB560">
        <f t="shared" si="183"/>
        <v>-0.83248709135295051</v>
      </c>
      <c r="AC560">
        <f t="shared" si="184"/>
        <v>7.1161351667015733</v>
      </c>
      <c r="AD560">
        <f t="shared" si="185"/>
        <v>0.66285774194547642</v>
      </c>
    </row>
    <row r="561" spans="1:30">
      <c r="A561">
        <v>559</v>
      </c>
      <c r="B561">
        <v>5.7494786575889902</v>
      </c>
      <c r="C561">
        <f t="shared" si="189"/>
        <v>7.3778047087667726</v>
      </c>
      <c r="D561">
        <f t="shared" si="189"/>
        <v>6.7175031865735493</v>
      </c>
      <c r="E561">
        <f t="shared" si="190"/>
        <v>6.7988099564523834</v>
      </c>
      <c r="F561">
        <f t="shared" si="193"/>
        <v>7.0005183160338094</v>
      </c>
      <c r="G561">
        <f t="shared" si="193"/>
        <v>6.4945522498490504</v>
      </c>
      <c r="H561">
        <f t="shared" si="193"/>
        <v>6.0446808349493173</v>
      </c>
      <c r="I561">
        <f t="shared" si="176"/>
        <v>0.29520217736032706</v>
      </c>
      <c r="J561">
        <f t="shared" si="191"/>
        <v>7.252046300779412</v>
      </c>
      <c r="K561">
        <f t="shared" si="195"/>
        <v>6.7320845349180995</v>
      </c>
      <c r="L561">
        <f t="shared" si="195"/>
        <v>6.1573566158022652</v>
      </c>
      <c r="M561">
        <f t="shared" si="195"/>
        <v>6.0645305288641342</v>
      </c>
      <c r="N561">
        <f t="shared" si="177"/>
        <v>0.315051871275144</v>
      </c>
      <c r="O561">
        <f t="shared" si="192"/>
        <v>6.9515327721413271</v>
      </c>
      <c r="P561">
        <f t="shared" si="196"/>
        <v>6.6669615756884983</v>
      </c>
      <c r="Q561">
        <f t="shared" si="194"/>
        <v>6.8260581584596487</v>
      </c>
      <c r="R561">
        <f t="shared" si="197"/>
        <v>6.3154789133739646</v>
      </c>
      <c r="S561">
        <f t="shared" si="197"/>
        <v>6.287676422322023</v>
      </c>
      <c r="T561">
        <f t="shared" si="178"/>
        <v>0.53819776473303271</v>
      </c>
      <c r="U561">
        <f t="shared" si="179"/>
        <v>-0.53819776473303271</v>
      </c>
      <c r="V561">
        <f t="shared" si="186"/>
        <v>6.7280886964896887</v>
      </c>
      <c r="W561">
        <f t="shared" si="180"/>
        <v>-0.97861003890069842</v>
      </c>
      <c r="X561">
        <f t="shared" si="187"/>
        <v>6.8747215997839142</v>
      </c>
      <c r="Y561">
        <f t="shared" si="181"/>
        <v>-1.1252429421949239</v>
      </c>
      <c r="Z561">
        <f t="shared" si="188"/>
        <v>7.0232887663644936</v>
      </c>
      <c r="AA561">
        <f t="shared" si="182"/>
        <v>-1.2738101087755034</v>
      </c>
      <c r="AB561">
        <f t="shared" si="183"/>
        <v>-2.8675613424110091</v>
      </c>
      <c r="AC561">
        <f t="shared" si="184"/>
        <v>7.1678112545586963</v>
      </c>
      <c r="AD561">
        <f t="shared" si="185"/>
        <v>-1.418332596969706</v>
      </c>
    </row>
    <row r="562" spans="1:30">
      <c r="A562">
        <v>560</v>
      </c>
      <c r="B562">
        <v>9.1894598114093284</v>
      </c>
      <c r="C562">
        <f t="shared" si="189"/>
        <v>6.7642357831180195</v>
      </c>
      <c r="D562">
        <f t="shared" si="189"/>
        <v>6.8432615945609108</v>
      </c>
      <c r="E562">
        <f t="shared" si="190"/>
        <v>6.8350293583741788</v>
      </c>
      <c r="F562">
        <f t="shared" si="193"/>
        <v>6.9823528480289658</v>
      </c>
      <c r="G562">
        <f t="shared" si="193"/>
        <v>6.7632417657750814</v>
      </c>
      <c r="H562">
        <f t="shared" si="193"/>
        <v>6.2403945235111635</v>
      </c>
      <c r="I562">
        <f t="shared" si="176"/>
        <v>-2.9490652878981649</v>
      </c>
      <c r="J562">
        <f t="shared" si="191"/>
        <v>6.5364771317365351</v>
      </c>
      <c r="K562">
        <f t="shared" si="195"/>
        <v>6.9709132010171215</v>
      </c>
      <c r="L562">
        <f t="shared" si="195"/>
        <v>6.3740286551743388</v>
      </c>
      <c r="M562">
        <f t="shared" si="195"/>
        <v>6.0480841996023331</v>
      </c>
      <c r="N562">
        <f t="shared" si="177"/>
        <v>-3.1413756118069953</v>
      </c>
      <c r="O562">
        <f t="shared" si="192"/>
        <v>7.0670736676710932</v>
      </c>
      <c r="P562">
        <f t="shared" si="196"/>
        <v>6.8591680649005555</v>
      </c>
      <c r="Q562">
        <f t="shared" si="194"/>
        <v>6.9534402572592455</v>
      </c>
      <c r="R562">
        <f t="shared" si="197"/>
        <v>6.4565099074698233</v>
      </c>
      <c r="S562">
        <f t="shared" si="197"/>
        <v>6.2250398031584906</v>
      </c>
      <c r="T562">
        <f t="shared" si="178"/>
        <v>-2.9644200082508378</v>
      </c>
      <c r="U562">
        <f t="shared" si="179"/>
        <v>2.9644200082508378</v>
      </c>
      <c r="V562">
        <f t="shared" si="186"/>
        <v>6.6302276925996191</v>
      </c>
      <c r="W562">
        <f t="shared" si="180"/>
        <v>2.5592321188097094</v>
      </c>
      <c r="X562">
        <f t="shared" si="187"/>
        <v>6.6496730113449294</v>
      </c>
      <c r="Y562">
        <f t="shared" si="181"/>
        <v>2.5397868000643991</v>
      </c>
      <c r="Z562">
        <f t="shared" si="188"/>
        <v>6.6411457337318422</v>
      </c>
      <c r="AA562">
        <f t="shared" si="182"/>
        <v>2.5483140776774862</v>
      </c>
      <c r="AB562">
        <f t="shared" si="183"/>
        <v>0.56685981140932817</v>
      </c>
      <c r="AC562">
        <f t="shared" si="184"/>
        <v>7.219643016241502</v>
      </c>
      <c r="AD562">
        <f t="shared" si="185"/>
        <v>1.9698167951678265</v>
      </c>
    </row>
    <row r="563" spans="1:30">
      <c r="A563">
        <v>561</v>
      </c>
      <c r="B563">
        <v>7.1820239838326243</v>
      </c>
      <c r="C563">
        <f t="shared" si="189"/>
        <v>7.4694692344991598</v>
      </c>
      <c r="D563">
        <f t="shared" si="189"/>
        <v>7.0710202459423961</v>
      </c>
      <c r="E563">
        <f t="shared" si="190"/>
        <v>7.5726437925484555</v>
      </c>
      <c r="F563">
        <f t="shared" si="193"/>
        <v>6.9034122487722529</v>
      </c>
      <c r="G563">
        <f t="shared" si="193"/>
        <v>6.9312249701944699</v>
      </c>
      <c r="H563">
        <f t="shared" si="193"/>
        <v>6.4898989432366774</v>
      </c>
      <c r="I563">
        <f t="shared" si="176"/>
        <v>-0.69212504059594693</v>
      </c>
      <c r="J563">
        <f t="shared" si="191"/>
        <v>7.4236369716329662</v>
      </c>
      <c r="K563">
        <f t="shared" si="195"/>
        <v>6.8466877025379738</v>
      </c>
      <c r="L563">
        <f t="shared" si="195"/>
        <v>6.6106194832568006</v>
      </c>
      <c r="M563">
        <f t="shared" si="195"/>
        <v>6.1359944970114775</v>
      </c>
      <c r="N563">
        <f t="shared" si="177"/>
        <v>-1.0460294868211468</v>
      </c>
      <c r="O563">
        <f t="shared" si="192"/>
        <v>7.3753143740728975</v>
      </c>
      <c r="P563">
        <f t="shared" si="196"/>
        <v>6.9206355232630212</v>
      </c>
      <c r="Q563">
        <f t="shared" si="194"/>
        <v>7.3245206120193274</v>
      </c>
      <c r="R563">
        <f t="shared" si="197"/>
        <v>6.621968795261175</v>
      </c>
      <c r="S563">
        <f t="shared" si="197"/>
        <v>6.2324336150577393</v>
      </c>
      <c r="T563">
        <f t="shared" si="178"/>
        <v>-0.94959036877488501</v>
      </c>
      <c r="U563">
        <f t="shared" si="179"/>
        <v>0.94959036877488501</v>
      </c>
      <c r="V563">
        <f t="shared" si="186"/>
        <v>6.8861509044805898</v>
      </c>
      <c r="W563">
        <f t="shared" si="180"/>
        <v>0.29587307935203455</v>
      </c>
      <c r="X563">
        <f t="shared" si="187"/>
        <v>7.1576303713578096</v>
      </c>
      <c r="Y563">
        <f t="shared" si="181"/>
        <v>2.4393612474814752E-2</v>
      </c>
      <c r="Z563">
        <f t="shared" si="188"/>
        <v>7.4056399570350884</v>
      </c>
      <c r="AA563">
        <f t="shared" si="182"/>
        <v>-0.22361597320246407</v>
      </c>
      <c r="AB563">
        <f t="shared" si="183"/>
        <v>-1.4461360161673769</v>
      </c>
      <c r="AC563">
        <f t="shared" si="184"/>
        <v>7.2716162627001903</v>
      </c>
      <c r="AD563">
        <f t="shared" si="185"/>
        <v>-8.9592278867566044E-2</v>
      </c>
    </row>
    <row r="564" spans="1:30">
      <c r="A564">
        <v>562</v>
      </c>
      <c r="B564">
        <v>6.5707380596082885</v>
      </c>
      <c r="C564">
        <f t="shared" si="189"/>
        <v>8.1857418976209768</v>
      </c>
      <c r="D564">
        <f t="shared" si="189"/>
        <v>7.1168525088085897</v>
      </c>
      <c r="E564">
        <f t="shared" si="190"/>
        <v>7.373654150943648</v>
      </c>
      <c r="F564">
        <f t="shared" si="193"/>
        <v>7.0688277024583392</v>
      </c>
      <c r="G564">
        <f t="shared" si="193"/>
        <v>6.9620944709450088</v>
      </c>
      <c r="H564">
        <f t="shared" si="193"/>
        <v>6.7296729952728676</v>
      </c>
      <c r="I564">
        <f t="shared" si="176"/>
        <v>0.15893493566457906</v>
      </c>
      <c r="J564">
        <f t="shared" si="191"/>
        <v>7.4749888403694982</v>
      </c>
      <c r="K564">
        <f t="shared" si="195"/>
        <v>7.0650507246196934</v>
      </c>
      <c r="L564">
        <f t="shared" si="195"/>
        <v>6.739151149132776</v>
      </c>
      <c r="M564">
        <f t="shared" si="195"/>
        <v>6.2979270559347391</v>
      </c>
      <c r="N564">
        <f t="shared" si="177"/>
        <v>-0.27281100367354938</v>
      </c>
      <c r="O564">
        <f t="shared" si="192"/>
        <v>7.2941386842172564</v>
      </c>
      <c r="P564">
        <f t="shared" si="196"/>
        <v>7.0447249199001565</v>
      </c>
      <c r="Q564">
        <f t="shared" si="194"/>
        <v>7.0862320536980148</v>
      </c>
      <c r="R564">
        <f t="shared" si="197"/>
        <v>6.8160785256954179</v>
      </c>
      <c r="S564">
        <f t="shared" si="197"/>
        <v>6.2982071589175748</v>
      </c>
      <c r="T564">
        <f t="shared" si="178"/>
        <v>-0.27253090069071373</v>
      </c>
      <c r="U564">
        <f t="shared" si="179"/>
        <v>0.27253090069071373</v>
      </c>
      <c r="V564">
        <f t="shared" si="186"/>
        <v>6.9157382124157936</v>
      </c>
      <c r="W564">
        <f t="shared" si="180"/>
        <v>-0.34500015280750507</v>
      </c>
      <c r="X564">
        <f t="shared" si="187"/>
        <v>7.1625090938527727</v>
      </c>
      <c r="Y564">
        <f t="shared" si="181"/>
        <v>-0.59177103424448418</v>
      </c>
      <c r="Z564">
        <f t="shared" si="188"/>
        <v>7.3385551650743492</v>
      </c>
      <c r="AA564">
        <f t="shared" si="182"/>
        <v>-0.76781710546606075</v>
      </c>
      <c r="AB564">
        <f t="shared" si="183"/>
        <v>-2.0629819403917118</v>
      </c>
      <c r="AC564">
        <f t="shared" si="184"/>
        <v>7.3237167655845656</v>
      </c>
      <c r="AD564">
        <f t="shared" si="185"/>
        <v>-0.75297870597627714</v>
      </c>
    </row>
    <row r="565" spans="1:30">
      <c r="A565">
        <v>563</v>
      </c>
      <c r="B565">
        <v>6.4229492341296899</v>
      </c>
      <c r="C565">
        <f t="shared" si="189"/>
        <v>6.8763810217204568</v>
      </c>
      <c r="D565">
        <f t="shared" si="189"/>
        <v>7.8276055660600683</v>
      </c>
      <c r="E565">
        <f t="shared" si="190"/>
        <v>7.6474072849500807</v>
      </c>
      <c r="F565">
        <f t="shared" si="193"/>
        <v>7.2604424339554265</v>
      </c>
      <c r="G565">
        <f t="shared" si="193"/>
        <v>6.9848642664198524</v>
      </c>
      <c r="H565">
        <f t="shared" si="193"/>
        <v>6.8855204023048531</v>
      </c>
      <c r="I565">
        <f t="shared" si="176"/>
        <v>0.46257116817516319</v>
      </c>
      <c r="J565">
        <f t="shared" si="191"/>
        <v>7.1729251281098083</v>
      </c>
      <c r="K565">
        <f t="shared" si="195"/>
        <v>7.1717873111296031</v>
      </c>
      <c r="L565">
        <f t="shared" si="195"/>
        <v>6.9036840407732214</v>
      </c>
      <c r="M565">
        <f t="shared" si="195"/>
        <v>6.4702889758415454</v>
      </c>
      <c r="N565">
        <f t="shared" si="177"/>
        <v>4.733974171185551E-2</v>
      </c>
      <c r="O565">
        <f t="shared" si="192"/>
        <v>7.0229299493137844</v>
      </c>
      <c r="P565">
        <f t="shared" si="196"/>
        <v>7.1764584150591748</v>
      </c>
      <c r="Q565">
        <f t="shared" si="194"/>
        <v>7.2412183216621289</v>
      </c>
      <c r="R565">
        <f t="shared" si="197"/>
        <v>6.9258878411960394</v>
      </c>
      <c r="S565">
        <f t="shared" si="197"/>
        <v>6.4104224370205642</v>
      </c>
      <c r="T565">
        <f t="shared" si="178"/>
        <v>-1.2526797109125631E-2</v>
      </c>
      <c r="U565">
        <f t="shared" si="179"/>
        <v>1.2526797109125631E-2</v>
      </c>
      <c r="V565">
        <f t="shared" si="186"/>
        <v>6.8812381971350431</v>
      </c>
      <c r="W565">
        <f t="shared" si="180"/>
        <v>-0.45828896300535327</v>
      </c>
      <c r="X565">
        <f t="shared" si="187"/>
        <v>7.0441548870038755</v>
      </c>
      <c r="Y565">
        <f t="shared" si="181"/>
        <v>-0.62120565287418561</v>
      </c>
      <c r="Z565">
        <f t="shared" si="188"/>
        <v>7.1082100334345313</v>
      </c>
      <c r="AA565">
        <f t="shared" si="182"/>
        <v>-0.68526079930484141</v>
      </c>
      <c r="AB565">
        <f t="shared" si="183"/>
        <v>-2.2163307658703095</v>
      </c>
      <c r="AC565">
        <f t="shared" si="184"/>
        <v>7.3759302611962188</v>
      </c>
      <c r="AD565">
        <f t="shared" si="185"/>
        <v>-0.95298102706652887</v>
      </c>
    </row>
    <row r="566" spans="1:30">
      <c r="A566">
        <v>564</v>
      </c>
      <c r="B566">
        <v>7.2283300576285416</v>
      </c>
      <c r="C566">
        <f t="shared" si="189"/>
        <v>6.4968436468689887</v>
      </c>
      <c r="D566">
        <f t="shared" si="189"/>
        <v>7.5310614596707168</v>
      </c>
      <c r="E566">
        <f t="shared" si="190"/>
        <v>6.7252370925235345</v>
      </c>
      <c r="F566">
        <f t="shared" si="193"/>
        <v>7.5312350761473938</v>
      </c>
      <c r="G566">
        <f t="shared" si="193"/>
        <v>7.0775607950620056</v>
      </c>
      <c r="H566">
        <f t="shared" si="193"/>
        <v>6.9593945691864434</v>
      </c>
      <c r="I566">
        <f t="shared" si="176"/>
        <v>-0.26893548844209825</v>
      </c>
      <c r="J566">
        <f t="shared" si="191"/>
        <v>7.3412927722449828</v>
      </c>
      <c r="K566">
        <f t="shared" si="195"/>
        <v>7.1520070179622017</v>
      </c>
      <c r="L566">
        <f t="shared" si="195"/>
        <v>7.0136097348260984</v>
      </c>
      <c r="M566">
        <f t="shared" si="195"/>
        <v>6.6568708320842847</v>
      </c>
      <c r="N566">
        <f t="shared" si="177"/>
        <v>-0.57145922554425699</v>
      </c>
      <c r="O566">
        <f t="shared" si="192"/>
        <v>7.3187002293216947</v>
      </c>
      <c r="P566">
        <f t="shared" si="196"/>
        <v>7.1421978894832705</v>
      </c>
      <c r="Q566">
        <f t="shared" si="194"/>
        <v>7.148940442535995</v>
      </c>
      <c r="R566">
        <f t="shared" si="197"/>
        <v>7.0372158300531327</v>
      </c>
      <c r="S566">
        <f t="shared" si="197"/>
        <v>6.5495110108434291</v>
      </c>
      <c r="T566">
        <f t="shared" si="178"/>
        <v>-0.67881904678511251</v>
      </c>
      <c r="U566">
        <f t="shared" si="179"/>
        <v>0.67881904678511251</v>
      </c>
      <c r="V566">
        <f t="shared" si="186"/>
        <v>6.8354093008345078</v>
      </c>
      <c r="W566">
        <f t="shared" si="180"/>
        <v>0.39292075679403382</v>
      </c>
      <c r="X566">
        <f t="shared" si="187"/>
        <v>6.9199137564290387</v>
      </c>
      <c r="Y566">
        <f t="shared" si="181"/>
        <v>0.30841630119950292</v>
      </c>
      <c r="Z566">
        <f t="shared" si="188"/>
        <v>6.9026317936430788</v>
      </c>
      <c r="AA566">
        <f t="shared" si="182"/>
        <v>0.32569826398546287</v>
      </c>
      <c r="AB566">
        <f t="shared" si="183"/>
        <v>-1.4165099423714587</v>
      </c>
      <c r="AC566">
        <f t="shared" si="184"/>
        <v>7.4282424544506247</v>
      </c>
      <c r="AD566">
        <f t="shared" si="185"/>
        <v>-0.19991239682208306</v>
      </c>
    </row>
    <row r="567" spans="1:30">
      <c r="A567">
        <v>565</v>
      </c>
      <c r="B567">
        <v>9.6493799429010245</v>
      </c>
      <c r="C567">
        <f t="shared" si="189"/>
        <v>6.8256396458791162</v>
      </c>
      <c r="D567">
        <f t="shared" si="189"/>
        <v>6.6866123342947228</v>
      </c>
      <c r="E567">
        <f t="shared" si="190"/>
        <v>6.7406724504555058</v>
      </c>
      <c r="F567">
        <f t="shared" si="193"/>
        <v>7.248766176139088</v>
      </c>
      <c r="G567">
        <f t="shared" si="193"/>
        <v>7.2868350708537193</v>
      </c>
      <c r="H567">
        <f t="shared" si="193"/>
        <v>7.008173177475622</v>
      </c>
      <c r="I567">
        <f t="shared" si="176"/>
        <v>-2.6412067654254026</v>
      </c>
      <c r="J567">
        <f t="shared" si="191"/>
        <v>6.8510103337997865</v>
      </c>
      <c r="K567">
        <f t="shared" si="195"/>
        <v>7.3532109280893145</v>
      </c>
      <c r="L567">
        <f t="shared" si="195"/>
        <v>7.0588831890623682</v>
      </c>
      <c r="M567">
        <f t="shared" si="195"/>
        <v>6.8167661019972243</v>
      </c>
      <c r="N567">
        <f t="shared" si="177"/>
        <v>-2.8326138409038002</v>
      </c>
      <c r="O567">
        <f t="shared" si="192"/>
        <v>7.4106842556200352</v>
      </c>
      <c r="P567">
        <f t="shared" si="196"/>
        <v>7.2156313809193451</v>
      </c>
      <c r="Q567">
        <f t="shared" si="194"/>
        <v>7.0571633006995773</v>
      </c>
      <c r="R567">
        <f t="shared" si="197"/>
        <v>7.096734974272394</v>
      </c>
      <c r="S567">
        <f t="shared" si="197"/>
        <v>6.6955233021749256</v>
      </c>
      <c r="T567">
        <f t="shared" si="178"/>
        <v>-2.9538566407260989</v>
      </c>
      <c r="U567">
        <f t="shared" si="179"/>
        <v>2.9538566407260989</v>
      </c>
      <c r="V567">
        <f t="shared" si="186"/>
        <v>6.8747013765139116</v>
      </c>
      <c r="W567">
        <f t="shared" si="180"/>
        <v>2.774678566387113</v>
      </c>
      <c r="X567">
        <f t="shared" si="187"/>
        <v>6.9815970166689389</v>
      </c>
      <c r="Y567">
        <f t="shared" si="181"/>
        <v>2.6677829262320856</v>
      </c>
      <c r="Z567">
        <f t="shared" si="188"/>
        <v>7.0003412728387175</v>
      </c>
      <c r="AA567">
        <f t="shared" si="182"/>
        <v>2.649038670062307</v>
      </c>
      <c r="AB567">
        <f t="shared" si="183"/>
        <v>0.99897994290102332</v>
      </c>
      <c r="AC567">
        <f t="shared" si="184"/>
        <v>7.4806390228478552</v>
      </c>
      <c r="AD567">
        <f t="shared" si="185"/>
        <v>2.1687409200531693</v>
      </c>
    </row>
    <row r="568" spans="1:30">
      <c r="A568">
        <v>566</v>
      </c>
      <c r="B568">
        <v>7.4268261241355811</v>
      </c>
      <c r="C568">
        <f t="shared" si="189"/>
        <v>8.438855000264784</v>
      </c>
      <c r="D568">
        <f t="shared" si="189"/>
        <v>6.6612416463740525</v>
      </c>
      <c r="E568">
        <f t="shared" si="190"/>
        <v>7.7668864115530853</v>
      </c>
      <c r="F568">
        <f t="shared" si="193"/>
        <v>7.0377722759763737</v>
      </c>
      <c r="G568">
        <f t="shared" si="193"/>
        <v>7.3468145620806355</v>
      </c>
      <c r="H568">
        <f t="shared" si="193"/>
        <v>7.1164200441118588</v>
      </c>
      <c r="I568">
        <f t="shared" si="176"/>
        <v>-0.31040608002372228</v>
      </c>
      <c r="J568">
        <f t="shared" si="191"/>
        <v>7.4678493235668855</v>
      </c>
      <c r="K568">
        <f t="shared" si="195"/>
        <v>7.2100542686310192</v>
      </c>
      <c r="L568">
        <f t="shared" si="195"/>
        <v>7.1855139954502034</v>
      </c>
      <c r="M568">
        <f t="shared" si="195"/>
        <v>6.9288320284486158</v>
      </c>
      <c r="N568">
        <f t="shared" si="177"/>
        <v>-0.49799409568696529</v>
      </c>
      <c r="O568">
        <f t="shared" si="192"/>
        <v>7.4596446836806249</v>
      </c>
      <c r="P568">
        <f t="shared" si="196"/>
        <v>7.2843534985091338</v>
      </c>
      <c r="Q568">
        <f t="shared" si="194"/>
        <v>7.7071468482515826</v>
      </c>
      <c r="R568">
        <f t="shared" si="197"/>
        <v>7.1352524979790486</v>
      </c>
      <c r="S568">
        <f t="shared" si="197"/>
        <v>6.8257326456579968</v>
      </c>
      <c r="T568">
        <f t="shared" si="178"/>
        <v>-0.60109347847758432</v>
      </c>
      <c r="U568">
        <f t="shared" si="179"/>
        <v>0.60109347847758432</v>
      </c>
      <c r="V568">
        <f t="shared" si="186"/>
        <v>7.1521692331526232</v>
      </c>
      <c r="W568">
        <f t="shared" si="180"/>
        <v>0.27465689098295787</v>
      </c>
      <c r="X568">
        <f t="shared" si="187"/>
        <v>7.5151536019153564</v>
      </c>
      <c r="Y568">
        <f t="shared" si="181"/>
        <v>-8.8327477779775343E-2</v>
      </c>
      <c r="Z568">
        <f t="shared" si="188"/>
        <v>7.7950528738574096</v>
      </c>
      <c r="AA568">
        <f t="shared" si="182"/>
        <v>-0.36822674972182856</v>
      </c>
      <c r="AB568">
        <f t="shared" si="183"/>
        <v>-1.2291338758644192</v>
      </c>
      <c r="AC568">
        <f t="shared" si="184"/>
        <v>7.5331056204510087</v>
      </c>
      <c r="AD568">
        <f t="shared" si="185"/>
        <v>-0.10627949631542766</v>
      </c>
    </row>
    <row r="569" spans="1:30">
      <c r="A569">
        <v>567</v>
      </c>
      <c r="B569">
        <v>8.5752466862229184</v>
      </c>
      <c r="C569">
        <f t="shared" si="189"/>
        <v>8.5381030335183024</v>
      </c>
      <c r="D569">
        <f t="shared" si="189"/>
        <v>7.6322473230719501</v>
      </c>
      <c r="E569">
        <f t="shared" si="190"/>
        <v>8.1015120415550488</v>
      </c>
      <c r="F569">
        <f t="shared" si="193"/>
        <v>7.0775986515107085</v>
      </c>
      <c r="G569">
        <f t="shared" si="193"/>
        <v>7.2725911760876185</v>
      </c>
      <c r="H569">
        <f t="shared" si="193"/>
        <v>7.2370701426654529</v>
      </c>
      <c r="I569">
        <f t="shared" si="176"/>
        <v>-1.3381765435574655</v>
      </c>
      <c r="J569">
        <f t="shared" si="191"/>
        <v>7.6818713396987093</v>
      </c>
      <c r="K569">
        <f t="shared" si="195"/>
        <v>7.2082693894303658</v>
      </c>
      <c r="L569">
        <f t="shared" si="195"/>
        <v>7.2217648814530344</v>
      </c>
      <c r="M569">
        <f t="shared" si="195"/>
        <v>7.0404227400279726</v>
      </c>
      <c r="N569">
        <f t="shared" si="177"/>
        <v>-1.5348239461949458</v>
      </c>
      <c r="O569">
        <f t="shared" si="192"/>
        <v>7.8605464090035513</v>
      </c>
      <c r="P569">
        <f t="shared" si="196"/>
        <v>7.3012195604306784</v>
      </c>
      <c r="Q569">
        <f t="shared" si="194"/>
        <v>7.4133745670392921</v>
      </c>
      <c r="R569">
        <f t="shared" si="197"/>
        <v>7.2608702631444375</v>
      </c>
      <c r="S569">
        <f t="shared" si="197"/>
        <v>6.9388564107428676</v>
      </c>
      <c r="T569">
        <f t="shared" si="178"/>
        <v>-1.6363902754800508</v>
      </c>
      <c r="U569">
        <f t="shared" si="179"/>
        <v>1.6363902754800508</v>
      </c>
      <c r="V569">
        <f t="shared" si="186"/>
        <v>7.1796349222509193</v>
      </c>
      <c r="W569">
        <f t="shared" si="180"/>
        <v>1.3956117639719992</v>
      </c>
      <c r="X569">
        <f t="shared" si="187"/>
        <v>7.497488106359401</v>
      </c>
      <c r="Y569">
        <f t="shared" si="181"/>
        <v>1.0777585798635174</v>
      </c>
      <c r="Z569">
        <f t="shared" si="188"/>
        <v>7.6845848489408608</v>
      </c>
      <c r="AA569">
        <f t="shared" si="182"/>
        <v>0.89066183728205761</v>
      </c>
      <c r="AB569">
        <f t="shared" si="183"/>
        <v>-8.6273313777081029E-2</v>
      </c>
      <c r="AC569">
        <f t="shared" si="184"/>
        <v>7.5856278818710559</v>
      </c>
      <c r="AD569">
        <f t="shared" si="185"/>
        <v>0.98961880435186256</v>
      </c>
    </row>
    <row r="570" spans="1:30">
      <c r="A570">
        <v>568</v>
      </c>
      <c r="B570">
        <v>7.5383926638300593</v>
      </c>
      <c r="C570">
        <f t="shared" si="189"/>
        <v>8.0010364051792493</v>
      </c>
      <c r="D570">
        <f t="shared" si="189"/>
        <v>8.4884790168915423</v>
      </c>
      <c r="E570">
        <f t="shared" si="190"/>
        <v>8.5504842510865071</v>
      </c>
      <c r="F570">
        <f t="shared" si="193"/>
        <v>7.5363569678545472</v>
      </c>
      <c r="G570">
        <f t="shared" si="193"/>
        <v>7.1213790345420565</v>
      </c>
      <c r="H570">
        <f t="shared" si="193"/>
        <v>7.3020802696739908</v>
      </c>
      <c r="I570">
        <f t="shared" si="176"/>
        <v>-0.23631239415606853</v>
      </c>
      <c r="J570">
        <f t="shared" si="191"/>
        <v>8.2199457027220166</v>
      </c>
      <c r="K570">
        <f t="shared" si="195"/>
        <v>7.3355059423275906</v>
      </c>
      <c r="L570">
        <f t="shared" si="195"/>
        <v>7.2308854010282255</v>
      </c>
      <c r="M570">
        <f t="shared" si="195"/>
        <v>7.1199429501979257</v>
      </c>
      <c r="N570">
        <f t="shared" si="177"/>
        <v>-0.41844971363213368</v>
      </c>
      <c r="O570">
        <f t="shared" si="192"/>
        <v>8.0836350949436255</v>
      </c>
      <c r="P570">
        <f t="shared" si="196"/>
        <v>7.4145011053879388</v>
      </c>
      <c r="Q570">
        <f t="shared" si="194"/>
        <v>7.6455783507710073</v>
      </c>
      <c r="R570">
        <f t="shared" si="197"/>
        <v>7.2756792556477654</v>
      </c>
      <c r="S570">
        <f t="shared" si="197"/>
        <v>7.0453399887234118</v>
      </c>
      <c r="T570">
        <f t="shared" si="178"/>
        <v>-0.49305267510664752</v>
      </c>
      <c r="U570">
        <f t="shared" si="179"/>
        <v>0.49305267510664752</v>
      </c>
      <c r="V570">
        <f t="shared" si="186"/>
        <v>7.3191960986481188</v>
      </c>
      <c r="W570">
        <f t="shared" si="180"/>
        <v>0.21919656518194053</v>
      </c>
      <c r="X570">
        <f t="shared" si="187"/>
        <v>7.7130398223321048</v>
      </c>
      <c r="Y570">
        <f t="shared" si="181"/>
        <v>-0.17464715850204549</v>
      </c>
      <c r="Z570">
        <f t="shared" si="188"/>
        <v>7.9517834001254784</v>
      </c>
      <c r="AA570">
        <f t="shared" si="182"/>
        <v>-0.413390736295419</v>
      </c>
      <c r="AB570">
        <f t="shared" si="183"/>
        <v>-1.128687336169941</v>
      </c>
      <c r="AC570">
        <f t="shared" si="184"/>
        <v>7.6381914262571717</v>
      </c>
      <c r="AD570">
        <f t="shared" si="185"/>
        <v>-9.9798762427112386E-2</v>
      </c>
    </row>
    <row r="571" spans="1:30">
      <c r="A571">
        <v>569</v>
      </c>
      <c r="B571">
        <v>7.2326109041385891</v>
      </c>
      <c r="C571">
        <f t="shared" si="189"/>
        <v>8.0568196750264889</v>
      </c>
      <c r="D571">
        <f t="shared" si="189"/>
        <v>8.2695697193487767</v>
      </c>
      <c r="E571">
        <f t="shared" si="190"/>
        <v>7.8468218247295196</v>
      </c>
      <c r="F571">
        <f t="shared" si="193"/>
        <v>8.1396275680648813</v>
      </c>
      <c r="G571">
        <f t="shared" si="193"/>
        <v>7.2172426317805431</v>
      </c>
      <c r="H571">
        <f t="shared" si="193"/>
        <v>7.2469282575701035</v>
      </c>
      <c r="I571">
        <f t="shared" si="176"/>
        <v>1.4317353431514412E-2</v>
      </c>
      <c r="J571">
        <f t="shared" si="191"/>
        <v>8.2974613542723965</v>
      </c>
      <c r="K571">
        <f t="shared" si="195"/>
        <v>7.5551691749468493</v>
      </c>
      <c r="L571">
        <f t="shared" si="195"/>
        <v>7.2767601321195725</v>
      </c>
      <c r="M571">
        <f t="shared" si="195"/>
        <v>7.1742618667484575</v>
      </c>
      <c r="N571">
        <f t="shared" si="177"/>
        <v>-5.8349037390131642E-2</v>
      </c>
      <c r="O571">
        <f t="shared" si="192"/>
        <v>8.084491264245635</v>
      </c>
      <c r="P571">
        <f t="shared" si="196"/>
        <v>7.6266421345139062</v>
      </c>
      <c r="Q571">
        <f t="shared" si="194"/>
        <v>7.8068541181413025</v>
      </c>
      <c r="R571">
        <f t="shared" si="197"/>
        <v>7.3689036384932649</v>
      </c>
      <c r="S571">
        <f t="shared" si="197"/>
        <v>7.1219401103821367</v>
      </c>
      <c r="T571">
        <f t="shared" si="178"/>
        <v>-0.11067079375645239</v>
      </c>
      <c r="U571">
        <f t="shared" si="179"/>
        <v>0.11067079375645239</v>
      </c>
      <c r="V571">
        <f t="shared" si="186"/>
        <v>7.3411157551663129</v>
      </c>
      <c r="W571">
        <f t="shared" si="180"/>
        <v>-0.10850485102772378</v>
      </c>
      <c r="X571">
        <f t="shared" si="187"/>
        <v>7.6781103906316961</v>
      </c>
      <c r="Y571">
        <f t="shared" si="181"/>
        <v>-0.445499486493107</v>
      </c>
      <c r="Z571">
        <f t="shared" si="188"/>
        <v>7.8277661792368525</v>
      </c>
      <c r="AA571">
        <f t="shared" si="182"/>
        <v>-0.59515527509826338</v>
      </c>
      <c r="AB571">
        <f t="shared" si="183"/>
        <v>-1.4400290958614121</v>
      </c>
      <c r="AC571">
        <f t="shared" si="184"/>
        <v>7.6907818612912902</v>
      </c>
      <c r="AD571">
        <f t="shared" si="185"/>
        <v>-0.45817095715270106</v>
      </c>
    </row>
    <row r="572" spans="1:30">
      <c r="A572">
        <v>570</v>
      </c>
      <c r="B572">
        <v>7.2471305211746992</v>
      </c>
      <c r="C572">
        <f t="shared" si="189"/>
        <v>7.3855017839843242</v>
      </c>
      <c r="D572">
        <f t="shared" si="189"/>
        <v>8.0289280401028691</v>
      </c>
      <c r="E572">
        <f t="shared" si="190"/>
        <v>7.7820834180638556</v>
      </c>
      <c r="F572">
        <f t="shared" si="193"/>
        <v>8.1662727057903588</v>
      </c>
      <c r="G572">
        <f t="shared" si="193"/>
        <v>7.584527729143379</v>
      </c>
      <c r="H572">
        <f t="shared" si="193"/>
        <v>7.2037376141367391</v>
      </c>
      <c r="I572">
        <f t="shared" si="176"/>
        <v>-4.3392907037960171E-2</v>
      </c>
      <c r="J572">
        <f t="shared" si="191"/>
        <v>7.6932690945817868</v>
      </c>
      <c r="K572">
        <f t="shared" si="195"/>
        <v>7.9167819300650022</v>
      </c>
      <c r="L572">
        <f t="shared" si="195"/>
        <v>7.3272496938339557</v>
      </c>
      <c r="M572">
        <f t="shared" si="195"/>
        <v>7.228731102512759</v>
      </c>
      <c r="N572">
        <f t="shared" si="177"/>
        <v>-1.8399418661940281E-2</v>
      </c>
      <c r="O572">
        <f t="shared" si="192"/>
        <v>7.6040413799003685</v>
      </c>
      <c r="P572">
        <f t="shared" si="196"/>
        <v>7.779800341498694</v>
      </c>
      <c r="Q572">
        <f t="shared" si="194"/>
        <v>7.9417977298094522</v>
      </c>
      <c r="R572">
        <f t="shared" si="197"/>
        <v>7.4631762712397931</v>
      </c>
      <c r="S572">
        <f t="shared" si="197"/>
        <v>7.1957760765983396</v>
      </c>
      <c r="T572">
        <f t="shared" si="178"/>
        <v>-5.1354444576359626E-2</v>
      </c>
      <c r="U572">
        <f t="shared" si="179"/>
        <v>5.1354444576359626E-2</v>
      </c>
      <c r="V572">
        <f t="shared" si="186"/>
        <v>7.3302652700635402</v>
      </c>
      <c r="W572">
        <f t="shared" si="180"/>
        <v>-8.3134748888840981E-2</v>
      </c>
      <c r="X572">
        <f t="shared" si="187"/>
        <v>7.5890104933330749</v>
      </c>
      <c r="Y572">
        <f t="shared" si="181"/>
        <v>-0.34187997215837562</v>
      </c>
      <c r="Z572">
        <f t="shared" si="188"/>
        <v>7.6492195967073737</v>
      </c>
      <c r="AA572">
        <f t="shared" si="182"/>
        <v>-0.40208907553267448</v>
      </c>
      <c r="AB572">
        <f t="shared" si="183"/>
        <v>-1.4310694788253011</v>
      </c>
      <c r="AC572">
        <f t="shared" si="184"/>
        <v>7.7433847871859101</v>
      </c>
      <c r="AD572">
        <f t="shared" si="185"/>
        <v>-0.49625426601121081</v>
      </c>
    </row>
    <row r="573" spans="1:30">
      <c r="A573">
        <v>571</v>
      </c>
      <c r="B573">
        <v>9.7802497819860115</v>
      </c>
      <c r="C573">
        <f t="shared" si="189"/>
        <v>7.2398707126566446</v>
      </c>
      <c r="D573">
        <f t="shared" si="189"/>
        <v>7.7211607295054066</v>
      </c>
      <c r="E573">
        <f t="shared" si="190"/>
        <v>7.3393780297144495</v>
      </c>
      <c r="F573">
        <f t="shared" si="193"/>
        <v>8.0597964979599599</v>
      </c>
      <c r="G573">
        <f t="shared" si="193"/>
        <v>7.9474190805699294</v>
      </c>
      <c r="H573">
        <f t="shared" si="193"/>
        <v>7.3077164651553259</v>
      </c>
      <c r="I573">
        <f t="shared" si="176"/>
        <v>-2.4725333168306856</v>
      </c>
      <c r="J573">
        <f t="shared" si="191"/>
        <v>7.6483451938415667</v>
      </c>
      <c r="K573">
        <f t="shared" si="195"/>
        <v>7.9731368728187277</v>
      </c>
      <c r="L573">
        <f t="shared" si="195"/>
        <v>7.5039316091924517</v>
      </c>
      <c r="M573">
        <f t="shared" si="195"/>
        <v>7.2641650271086968</v>
      </c>
      <c r="N573">
        <f t="shared" si="177"/>
        <v>-2.5160847548773146</v>
      </c>
      <c r="O573">
        <f t="shared" si="192"/>
        <v>8.074726111470456</v>
      </c>
      <c r="P573">
        <f t="shared" si="196"/>
        <v>7.8184717663547598</v>
      </c>
      <c r="Q573">
        <f t="shared" si="194"/>
        <v>7.9449311404004783</v>
      </c>
      <c r="R573">
        <f t="shared" si="197"/>
        <v>7.5953191524520349</v>
      </c>
      <c r="S573">
        <f t="shared" si="197"/>
        <v>7.2667694834627845</v>
      </c>
      <c r="T573">
        <f t="shared" si="178"/>
        <v>-2.513480298523227</v>
      </c>
      <c r="U573">
        <f t="shared" si="179"/>
        <v>2.513480298523227</v>
      </c>
      <c r="V573">
        <f t="shared" si="186"/>
        <v>7.3219517951746562</v>
      </c>
      <c r="W573">
        <f t="shared" si="180"/>
        <v>2.4582979868113553</v>
      </c>
      <c r="X573">
        <f t="shared" si="187"/>
        <v>7.5206344989013996</v>
      </c>
      <c r="Y573">
        <f t="shared" si="181"/>
        <v>2.2596152830846119</v>
      </c>
      <c r="Z573">
        <f t="shared" si="188"/>
        <v>7.5285928740475718</v>
      </c>
      <c r="AA573">
        <f t="shared" si="182"/>
        <v>2.2516569079384396</v>
      </c>
      <c r="AB573">
        <f t="shared" si="183"/>
        <v>1.096489781986012</v>
      </c>
      <c r="AC573">
        <f t="shared" si="184"/>
        <v>7.7959858006839147</v>
      </c>
      <c r="AD573">
        <f t="shared" si="185"/>
        <v>1.9842639813020968</v>
      </c>
    </row>
    <row r="574" spans="1:30">
      <c r="A574">
        <v>572</v>
      </c>
      <c r="B574">
        <v>7.5474737135896337</v>
      </c>
      <c r="C574">
        <f t="shared" si="189"/>
        <v>8.5136901515803558</v>
      </c>
      <c r="D574">
        <f t="shared" si="189"/>
        <v>7.3126862483204844</v>
      </c>
      <c r="E574">
        <f t="shared" si="190"/>
        <v>8.0866637357664342</v>
      </c>
      <c r="F574">
        <f t="shared" si="193"/>
        <v>7.6560944241692752</v>
      </c>
      <c r="G574">
        <f t="shared" si="193"/>
        <v>8.1218989239384012</v>
      </c>
      <c r="H574">
        <f t="shared" si="193"/>
        <v>7.5830631471646166</v>
      </c>
      <c r="I574">
        <f t="shared" si="176"/>
        <v>3.5589433574982898E-2</v>
      </c>
      <c r="J574">
        <f t="shared" si="191"/>
        <v>7.94959596778234</v>
      </c>
      <c r="K574">
        <f t="shared" si="195"/>
        <v>7.9647553363544423</v>
      </c>
      <c r="L574">
        <f t="shared" si="195"/>
        <v>7.6951484800395429</v>
      </c>
      <c r="M574">
        <f t="shared" si="195"/>
        <v>7.3347067090435516</v>
      </c>
      <c r="N574">
        <f t="shared" si="177"/>
        <v>-0.21276700454608211</v>
      </c>
      <c r="O574">
        <f t="shared" si="192"/>
        <v>7.8691715169437986</v>
      </c>
      <c r="P574">
        <f t="shared" si="196"/>
        <v>7.941488051912728</v>
      </c>
      <c r="Q574">
        <f t="shared" si="194"/>
        <v>7.9667427802479764</v>
      </c>
      <c r="R574">
        <f t="shared" si="197"/>
        <v>7.7432804590688527</v>
      </c>
      <c r="S574">
        <f t="shared" si="197"/>
        <v>7.3498668464927244</v>
      </c>
      <c r="T574">
        <f t="shared" si="178"/>
        <v>-0.19760686709690933</v>
      </c>
      <c r="U574">
        <f t="shared" si="179"/>
        <v>0.19760686709690933</v>
      </c>
      <c r="V574">
        <f t="shared" si="186"/>
        <v>7.5677815938557913</v>
      </c>
      <c r="W574">
        <f t="shared" si="180"/>
        <v>-2.0307880266157596E-2</v>
      </c>
      <c r="X574">
        <f t="shared" si="187"/>
        <v>7.9725575555183221</v>
      </c>
      <c r="Y574">
        <f t="shared" si="181"/>
        <v>-0.42508384192868842</v>
      </c>
      <c r="Z574">
        <f t="shared" si="188"/>
        <v>8.2040899464291037</v>
      </c>
      <c r="AA574">
        <f t="shared" si="182"/>
        <v>-0.65661623283947002</v>
      </c>
      <c r="AB574">
        <f t="shared" si="183"/>
        <v>-1.1418462864103667</v>
      </c>
      <c r="AC574">
        <f t="shared" si="184"/>
        <v>7.8485704990593943</v>
      </c>
      <c r="AD574">
        <f t="shared" si="185"/>
        <v>-0.3010967854697606</v>
      </c>
    </row>
    <row r="575" spans="1:30">
      <c r="A575">
        <v>573</v>
      </c>
      <c r="B575">
        <v>7.8720478496456661</v>
      </c>
      <c r="C575">
        <f t="shared" si="189"/>
        <v>8.6638617477878235</v>
      </c>
      <c r="D575">
        <f t="shared" si="189"/>
        <v>7.8767804321185002</v>
      </c>
      <c r="E575">
        <f t="shared" si="190"/>
        <v>8.1916180055834484</v>
      </c>
      <c r="F575">
        <f t="shared" si="193"/>
        <v>7.7360417278482458</v>
      </c>
      <c r="G575">
        <f t="shared" si="193"/>
        <v>7.9607212093065316</v>
      </c>
      <c r="H575">
        <f t="shared" si="193"/>
        <v>7.8846152445505693</v>
      </c>
      <c r="I575">
        <f t="shared" si="176"/>
        <v>1.2567394904903217E-2</v>
      </c>
      <c r="J575">
        <f t="shared" si="191"/>
        <v>7.9518662302222332</v>
      </c>
      <c r="K575">
        <f t="shared" si="195"/>
        <v>7.8971679026195227</v>
      </c>
      <c r="L575">
        <f t="shared" si="195"/>
        <v>7.8524608285462554</v>
      </c>
      <c r="M575">
        <f t="shared" si="195"/>
        <v>7.4507724787963809</v>
      </c>
      <c r="N575">
        <f t="shared" si="177"/>
        <v>-0.42127537084928512</v>
      </c>
      <c r="O575">
        <f t="shared" si="192"/>
        <v>7.9359025541069199</v>
      </c>
      <c r="P575">
        <f t="shared" si="196"/>
        <v>7.9432130735007771</v>
      </c>
      <c r="Q575">
        <f t="shared" si="194"/>
        <v>7.986850711823652</v>
      </c>
      <c r="R575">
        <f t="shared" si="197"/>
        <v>7.786546447734918</v>
      </c>
      <c r="S575">
        <f t="shared" si="197"/>
        <v>7.4512048400076907</v>
      </c>
      <c r="T575">
        <f t="shared" si="178"/>
        <v>-0.42084300963797538</v>
      </c>
      <c r="U575">
        <f t="shared" si="179"/>
        <v>0.42084300963797538</v>
      </c>
      <c r="V575">
        <f t="shared" si="186"/>
        <v>7.5657508058291754</v>
      </c>
      <c r="W575">
        <f t="shared" si="180"/>
        <v>0.3062970438164907</v>
      </c>
      <c r="X575">
        <f t="shared" si="187"/>
        <v>7.8875407871325844</v>
      </c>
      <c r="Y575">
        <f t="shared" si="181"/>
        <v>-1.5492937486918379E-2</v>
      </c>
      <c r="Z575">
        <f t="shared" si="188"/>
        <v>8.0071050765772629</v>
      </c>
      <c r="AA575">
        <f t="shared" si="182"/>
        <v>-0.13505722693159683</v>
      </c>
      <c r="AB575">
        <f t="shared" si="183"/>
        <v>-0.82283215035433521</v>
      </c>
      <c r="AC575">
        <f t="shared" si="184"/>
        <v>7.9011244841183288</v>
      </c>
      <c r="AD575">
        <f t="shared" si="185"/>
        <v>-2.9076634472662732E-2</v>
      </c>
    </row>
    <row r="576" spans="1:30">
      <c r="A576">
        <v>574</v>
      </c>
      <c r="B576">
        <v>10.081268346339055</v>
      </c>
      <c r="C576">
        <f t="shared" si="189"/>
        <v>7.7097607816176499</v>
      </c>
      <c r="D576">
        <f t="shared" si="189"/>
        <v>8.5887759496840896</v>
      </c>
      <c r="E576">
        <f t="shared" si="190"/>
        <v>8.3999237817404389</v>
      </c>
      <c r="F576">
        <f t="shared" si="193"/>
        <v>7.872553257021444</v>
      </c>
      <c r="G576">
        <f t="shared" si="193"/>
        <v>7.8173108833258267</v>
      </c>
      <c r="H576">
        <f t="shared" si="193"/>
        <v>8.0100130712716204</v>
      </c>
      <c r="I576">
        <f t="shared" si="176"/>
        <v>-2.0712552750674345</v>
      </c>
      <c r="J576">
        <f t="shared" si="191"/>
        <v>8.1117254665990028</v>
      </c>
      <c r="K576">
        <f t="shared" si="195"/>
        <v>7.8107691216069819</v>
      </c>
      <c r="L576">
        <f t="shared" si="195"/>
        <v>7.937960510464424</v>
      </c>
      <c r="M576">
        <f t="shared" si="195"/>
        <v>7.5946976529030517</v>
      </c>
      <c r="N576">
        <f t="shared" si="177"/>
        <v>-2.4865706934360032</v>
      </c>
      <c r="O576">
        <f t="shared" si="192"/>
        <v>8.5056340425470118</v>
      </c>
      <c r="P576">
        <f t="shared" si="196"/>
        <v>7.9136665653334362</v>
      </c>
      <c r="Q576">
        <f t="shared" si="194"/>
        <v>7.8696509057274433</v>
      </c>
      <c r="R576">
        <f t="shared" si="197"/>
        <v>7.8821258051989771</v>
      </c>
      <c r="S576">
        <f t="shared" si="197"/>
        <v>7.5388175374394386</v>
      </c>
      <c r="T576">
        <f t="shared" si="178"/>
        <v>-2.5424508088996163</v>
      </c>
      <c r="U576">
        <f t="shared" si="179"/>
        <v>2.5424508088996163</v>
      </c>
      <c r="V576">
        <f t="shared" si="186"/>
        <v>7.5963805102108246</v>
      </c>
      <c r="W576">
        <f t="shared" si="180"/>
        <v>2.4848878361282303</v>
      </c>
      <c r="X576">
        <f t="shared" si="187"/>
        <v>7.8844421996352008</v>
      </c>
      <c r="Y576">
        <f t="shared" si="181"/>
        <v>2.1968261467038541</v>
      </c>
      <c r="Z576">
        <f t="shared" si="188"/>
        <v>7.9665879084977842</v>
      </c>
      <c r="AA576">
        <f t="shared" si="182"/>
        <v>2.1146804378412707</v>
      </c>
      <c r="AB576">
        <f t="shared" si="183"/>
        <v>1.3808283463390545</v>
      </c>
      <c r="AC576">
        <f t="shared" si="184"/>
        <v>7.9536333661979564</v>
      </c>
      <c r="AD576">
        <f t="shared" si="185"/>
        <v>2.1276349801410985</v>
      </c>
    </row>
    <row r="577" spans="1:30">
      <c r="A577">
        <v>575</v>
      </c>
      <c r="B577">
        <v>7.2381823615652703</v>
      </c>
      <c r="C577">
        <f t="shared" si="189"/>
        <v>8.9766580979923596</v>
      </c>
      <c r="D577">
        <f t="shared" si="189"/>
        <v>8.1868112647027367</v>
      </c>
      <c r="E577">
        <f t="shared" si="190"/>
        <v>8.500263303191451</v>
      </c>
      <c r="F577">
        <f t="shared" si="193"/>
        <v>8.2260685076967732</v>
      </c>
      <c r="G577">
        <f t="shared" si="193"/>
        <v>7.7548964696796547</v>
      </c>
      <c r="H577">
        <f t="shared" si="193"/>
        <v>7.966643672190254</v>
      </c>
      <c r="I577">
        <f t="shared" si="176"/>
        <v>0.72846131062498376</v>
      </c>
      <c r="J577">
        <f t="shared" si="191"/>
        <v>8.8202599228900915</v>
      </c>
      <c r="K577">
        <f t="shared" si="195"/>
        <v>7.9153832146112855</v>
      </c>
      <c r="L577">
        <f t="shared" si="195"/>
        <v>7.9114573083499184</v>
      </c>
      <c r="M577">
        <f t="shared" si="195"/>
        <v>7.7473753570606689</v>
      </c>
      <c r="N577">
        <f t="shared" si="177"/>
        <v>0.50919299549539865</v>
      </c>
      <c r="O577">
        <f t="shared" si="192"/>
        <v>8.5038444106251276</v>
      </c>
      <c r="P577">
        <f t="shared" si="196"/>
        <v>7.9978951209937108</v>
      </c>
      <c r="Q577">
        <f t="shared" si="194"/>
        <v>8.2934635194789426</v>
      </c>
      <c r="R577">
        <f t="shared" si="197"/>
        <v>7.9194712310250495</v>
      </c>
      <c r="S577">
        <f t="shared" si="197"/>
        <v>7.63989196236464</v>
      </c>
      <c r="T577">
        <f t="shared" si="178"/>
        <v>0.40170960079936968</v>
      </c>
      <c r="U577">
        <f t="shared" si="179"/>
        <v>-0.40170960079936968</v>
      </c>
      <c r="V577">
        <f t="shared" si="186"/>
        <v>7.8448692938236473</v>
      </c>
      <c r="W577">
        <f t="shared" si="180"/>
        <v>-0.606686932258377</v>
      </c>
      <c r="X577">
        <f t="shared" si="187"/>
        <v>8.3238074289759716</v>
      </c>
      <c r="Y577">
        <f t="shared" si="181"/>
        <v>-1.0856250674107013</v>
      </c>
      <c r="Z577">
        <f t="shared" si="188"/>
        <v>8.6009920398501656</v>
      </c>
      <c r="AA577">
        <f t="shared" si="182"/>
        <v>-1.3628096782848953</v>
      </c>
      <c r="AB577">
        <f t="shared" si="183"/>
        <v>-1.4678176384347292</v>
      </c>
      <c r="AC577">
        <f t="shared" si="184"/>
        <v>8.0060827681638536</v>
      </c>
      <c r="AD577">
        <f t="shared" si="185"/>
        <v>-0.76790040659858327</v>
      </c>
    </row>
    <row r="578" spans="1:30">
      <c r="A578">
        <v>576</v>
      </c>
      <c r="B578">
        <v>6.5605626412347213</v>
      </c>
      <c r="C578">
        <f t="shared" si="189"/>
        <v>8.6597253539521617</v>
      </c>
      <c r="D578">
        <f t="shared" si="189"/>
        <v>8.3432094398050047</v>
      </c>
      <c r="E578">
        <f t="shared" si="190"/>
        <v>8.3971661858499971</v>
      </c>
      <c r="F578">
        <f t="shared" si="193"/>
        <v>8.3639350301717794</v>
      </c>
      <c r="G578">
        <f t="shared" si="193"/>
        <v>7.944887830855488</v>
      </c>
      <c r="H578">
        <f t="shared" si="193"/>
        <v>7.844309520770671</v>
      </c>
      <c r="I578">
        <f t="shared" si="176"/>
        <v>1.2837468795359497</v>
      </c>
      <c r="J578">
        <f t="shared" si="191"/>
        <v>8.1847430677849058</v>
      </c>
      <c r="K578">
        <f t="shared" si="195"/>
        <v>8.2083618968734164</v>
      </c>
      <c r="L578">
        <f t="shared" si="195"/>
        <v>7.8970188937980579</v>
      </c>
      <c r="M578">
        <f t="shared" si="195"/>
        <v>7.8492567818500358</v>
      </c>
      <c r="N578">
        <f t="shared" si="177"/>
        <v>1.2886941406153145</v>
      </c>
      <c r="O578">
        <f t="shared" si="192"/>
        <v>7.8599069824748682</v>
      </c>
      <c r="P578">
        <f t="shared" si="196"/>
        <v>8.1778557271386632</v>
      </c>
      <c r="Q578">
        <f t="shared" si="194"/>
        <v>8.2943920957167219</v>
      </c>
      <c r="R578">
        <f t="shared" si="197"/>
        <v>8.000572797914657</v>
      </c>
      <c r="S578">
        <f t="shared" si="197"/>
        <v>7.7316532277866044</v>
      </c>
      <c r="T578">
        <f t="shared" si="178"/>
        <v>1.171090586551883</v>
      </c>
      <c r="U578">
        <f t="shared" si="179"/>
        <v>-1.171090586551883</v>
      </c>
      <c r="V578">
        <f t="shared" si="186"/>
        <v>7.7842006005978099</v>
      </c>
      <c r="W578">
        <f t="shared" si="180"/>
        <v>-1.2236379593630886</v>
      </c>
      <c r="X578">
        <f t="shared" si="187"/>
        <v>8.1066824154938306</v>
      </c>
      <c r="Y578">
        <f t="shared" si="181"/>
        <v>-1.5461197742591093</v>
      </c>
      <c r="Z578">
        <f t="shared" si="188"/>
        <v>8.1921491363646979</v>
      </c>
      <c r="AA578">
        <f t="shared" si="182"/>
        <v>-1.6315864951299766</v>
      </c>
      <c r="AB578">
        <f t="shared" si="183"/>
        <v>-2.1509973587652791</v>
      </c>
      <c r="AC578">
        <f t="shared" si="184"/>
        <v>8.0584583294034431</v>
      </c>
      <c r="AD578">
        <f t="shared" si="185"/>
        <v>-1.4978956881687218</v>
      </c>
    </row>
    <row r="579" spans="1:30">
      <c r="A579">
        <v>577</v>
      </c>
      <c r="B579">
        <v>7.323804908224365</v>
      </c>
      <c r="C579">
        <f t="shared" si="189"/>
        <v>6.8993725013999958</v>
      </c>
      <c r="D579">
        <f t="shared" si="189"/>
        <v>8.8181917259722606</v>
      </c>
      <c r="E579">
        <f t="shared" si="190"/>
        <v>7.9600044497130149</v>
      </c>
      <c r="F579">
        <f t="shared" si="193"/>
        <v>8.4324510902606296</v>
      </c>
      <c r="G579">
        <f t="shared" si="193"/>
        <v>8.1541855982966656</v>
      </c>
      <c r="H579">
        <f t="shared" si="193"/>
        <v>7.8390317279536568</v>
      </c>
      <c r="I579">
        <f t="shared" ref="I579:I642" si="198">H579-B579</f>
        <v>0.51522681972929174</v>
      </c>
      <c r="J579">
        <f t="shared" si="191"/>
        <v>7.9380152996961781</v>
      </c>
      <c r="K579">
        <f t="shared" si="195"/>
        <v>8.2671486718740574</v>
      </c>
      <c r="L579">
        <f t="shared" si="195"/>
        <v>7.9579205339278021</v>
      </c>
      <c r="M579">
        <f t="shared" si="195"/>
        <v>7.8997243852896641</v>
      </c>
      <c r="N579">
        <f t="shared" ref="N579:N642" si="199">M579-B579</f>
        <v>0.57591947706529911</v>
      </c>
      <c r="O579">
        <f t="shared" si="192"/>
        <v>7.8151732214018157</v>
      </c>
      <c r="P579">
        <f t="shared" si="196"/>
        <v>8.1348919013395466</v>
      </c>
      <c r="Q579">
        <f t="shared" si="194"/>
        <v>8.179964115726726</v>
      </c>
      <c r="R579">
        <f t="shared" si="197"/>
        <v>8.0593385255658685</v>
      </c>
      <c r="S579">
        <f t="shared" si="197"/>
        <v>7.8212193155657488</v>
      </c>
      <c r="T579">
        <f t="shared" ref="T579:T642" si="200">S579-B579</f>
        <v>0.49741440734138376</v>
      </c>
      <c r="U579">
        <f t="shared" ref="U579:U642" si="201">B579-S579</f>
        <v>-0.49741440734138376</v>
      </c>
      <c r="V579">
        <f t="shared" si="186"/>
        <v>7.6618368046615011</v>
      </c>
      <c r="W579">
        <f t="shared" ref="W579:W642" si="202">B579-V579</f>
        <v>-0.33803189643713605</v>
      </c>
      <c r="X579">
        <f t="shared" si="187"/>
        <v>7.7974584606420088</v>
      </c>
      <c r="Y579">
        <f t="shared" ref="Y579:Y642" si="203">B579-X579</f>
        <v>-0.47365355241764373</v>
      </c>
      <c r="Z579">
        <f t="shared" si="188"/>
        <v>7.7026731878257051</v>
      </c>
      <c r="AA579">
        <f t="shared" ref="AA579:AA642" si="204">B579-Z579</f>
        <v>-0.37886827960134006</v>
      </c>
      <c r="AB579">
        <f t="shared" ref="AB579:AB642" si="205">B579- ((0.00556 * A579)  +5.509)</f>
        <v>-1.3933150917756363</v>
      </c>
      <c r="AC579">
        <f t="shared" ref="AC579:AC642" si="206">0.00075*A579 + 5.509 + ($AI$6*SIN((A579/$AI$7)+ $AI$8))+ ($AI$6*COS((A579/$AI$7) + $AI$8))+ $AI$9</f>
        <v>8.11074570981501</v>
      </c>
      <c r="AD579">
        <f t="shared" ref="AD579:AD642" si="207">B579-AC579</f>
        <v>-0.78694080159064494</v>
      </c>
    </row>
    <row r="580" spans="1:30">
      <c r="A580">
        <v>578</v>
      </c>
      <c r="B580">
        <v>8.1612753978530357</v>
      </c>
      <c r="C580">
        <f t="shared" si="189"/>
        <v>6.9421837747295427</v>
      </c>
      <c r="D580">
        <f t="shared" si="189"/>
        <v>7.7795489276760783</v>
      </c>
      <c r="E580">
        <f t="shared" si="190"/>
        <v>7.0408499703414522</v>
      </c>
      <c r="F580">
        <f t="shared" si="193"/>
        <v>8.2858113129181543</v>
      </c>
      <c r="G580">
        <f t="shared" si="193"/>
        <v>8.3408182093763941</v>
      </c>
      <c r="H580">
        <f t="shared" si="193"/>
        <v>7.9513232996106025</v>
      </c>
      <c r="I580">
        <f t="shared" si="198"/>
        <v>-0.20995209824243322</v>
      </c>
      <c r="J580">
        <f t="shared" si="191"/>
        <v>7.8009545643408522</v>
      </c>
      <c r="K580">
        <f t="shared" si="195"/>
        <v>8.2636859392425439</v>
      </c>
      <c r="L580">
        <f t="shared" si="195"/>
        <v>8.050415726241436</v>
      </c>
      <c r="M580">
        <f t="shared" si="195"/>
        <v>7.9260893116350504</v>
      </c>
      <c r="N580">
        <f t="shared" si="199"/>
        <v>-0.23518608621798531</v>
      </c>
      <c r="O580">
        <f t="shared" si="192"/>
        <v>7.8730187310432882</v>
      </c>
      <c r="P580">
        <f t="shared" si="196"/>
        <v>8.1240922422311481</v>
      </c>
      <c r="Q580">
        <f t="shared" si="194"/>
        <v>7.7705566367664511</v>
      </c>
      <c r="R580">
        <f t="shared" si="197"/>
        <v>8.0985106881202444</v>
      </c>
      <c r="S580">
        <f t="shared" si="197"/>
        <v>7.898555877751388</v>
      </c>
      <c r="T580">
        <f t="shared" si="200"/>
        <v>-0.26271952010164767</v>
      </c>
      <c r="U580">
        <f t="shared" si="201"/>
        <v>0.26271952010164767</v>
      </c>
      <c r="V580">
        <f t="shared" ref="V580:V643" si="208">V579+0.1*(B579-V579)</f>
        <v>7.6280336150177872</v>
      </c>
      <c r="W580">
        <f t="shared" si="202"/>
        <v>0.53324178283524848</v>
      </c>
      <c r="X580">
        <f t="shared" ref="X580:X643" si="209">X579+0.2*(B579-X579)</f>
        <v>7.7027277501584797</v>
      </c>
      <c r="Y580">
        <f t="shared" si="203"/>
        <v>0.45854764769455603</v>
      </c>
      <c r="Z580">
        <f t="shared" ref="Z580:Z643" si="210">Z579+0.3*(B579-Z579)</f>
        <v>7.5890127039453033</v>
      </c>
      <c r="AA580">
        <f t="shared" si="204"/>
        <v>0.57226269390773243</v>
      </c>
      <c r="AB580">
        <f t="shared" si="205"/>
        <v>-0.56140460214696475</v>
      </c>
      <c r="AC580">
        <f t="shared" si="206"/>
        <v>8.1629305937909251</v>
      </c>
      <c r="AD580">
        <f t="shared" si="207"/>
        <v>-1.655195937889431E-3</v>
      </c>
    </row>
    <row r="581" spans="1:30">
      <c r="A581">
        <v>579</v>
      </c>
      <c r="B581">
        <v>8.375899726631701</v>
      </c>
      <c r="C581">
        <f t="shared" ref="C581:D644" si="211">AVERAGE(B579:B580)</f>
        <v>7.7425401530386999</v>
      </c>
      <c r="D581">
        <f t="shared" si="211"/>
        <v>6.9207781380647688</v>
      </c>
      <c r="E581">
        <f t="shared" si="190"/>
        <v>7.3485476491040407</v>
      </c>
      <c r="F581">
        <f t="shared" si="193"/>
        <v>7.7993402019681541</v>
      </c>
      <c r="G581">
        <f t="shared" si="193"/>
        <v>8.3607324777835217</v>
      </c>
      <c r="H581">
        <f t="shared" si="193"/>
        <v>8.1466305461761817</v>
      </c>
      <c r="I581">
        <f t="shared" si="198"/>
        <v>-0.22926918045551936</v>
      </c>
      <c r="J581">
        <f t="shared" si="191"/>
        <v>7.3209563272193483</v>
      </c>
      <c r="K581">
        <f t="shared" si="195"/>
        <v>8.1859932136780067</v>
      </c>
      <c r="L581">
        <f t="shared" si="195"/>
        <v>8.1636449306503263</v>
      </c>
      <c r="M581">
        <f t="shared" si="195"/>
        <v>7.9542031155793032</v>
      </c>
      <c r="N581">
        <f t="shared" si="199"/>
        <v>-0.42169661105239786</v>
      </c>
      <c r="O581">
        <f t="shared" si="192"/>
        <v>7.5319450071018199</v>
      </c>
      <c r="P581">
        <f t="shared" si="196"/>
        <v>8.111515477618422</v>
      </c>
      <c r="Q581">
        <f t="shared" si="194"/>
        <v>7.8728569174770184</v>
      </c>
      <c r="R581">
        <f t="shared" si="197"/>
        <v>8.0658129975399895</v>
      </c>
      <c r="S581">
        <f t="shared" si="197"/>
        <v>7.9577609159266194</v>
      </c>
      <c r="T581">
        <f t="shared" si="200"/>
        <v>-0.41813881070508163</v>
      </c>
      <c r="U581">
        <f t="shared" si="201"/>
        <v>0.41813881070508163</v>
      </c>
      <c r="V581">
        <f t="shared" si="208"/>
        <v>7.681357793301312</v>
      </c>
      <c r="W581">
        <f t="shared" si="202"/>
        <v>0.69454193333038905</v>
      </c>
      <c r="X581">
        <f t="shared" si="209"/>
        <v>7.7944372796973909</v>
      </c>
      <c r="Y581">
        <f t="shared" si="203"/>
        <v>0.58146244693431015</v>
      </c>
      <c r="Z581">
        <f t="shared" si="210"/>
        <v>7.7606915121176225</v>
      </c>
      <c r="AA581">
        <f t="shared" si="204"/>
        <v>0.61520821451407848</v>
      </c>
      <c r="AB581">
        <f t="shared" si="205"/>
        <v>-0.35234027336829854</v>
      </c>
      <c r="AC581">
        <f t="shared" si="206"/>
        <v>8.214998694194156</v>
      </c>
      <c r="AD581">
        <f t="shared" si="207"/>
        <v>0.16090103243754506</v>
      </c>
    </row>
    <row r="582" spans="1:30">
      <c r="A582">
        <v>580</v>
      </c>
      <c r="B582">
        <v>8.6326456822612414</v>
      </c>
      <c r="C582">
        <f t="shared" si="211"/>
        <v>8.2685875622423683</v>
      </c>
      <c r="D582">
        <f t="shared" si="211"/>
        <v>7.3423619638841213</v>
      </c>
      <c r="E582">
        <f t="shared" ref="E582:E645" si="212">AVERAGE(B579:B581)</f>
        <v>7.9536600109030333</v>
      </c>
      <c r="F582">
        <f t="shared" si="193"/>
        <v>7.4498006897195026</v>
      </c>
      <c r="G582">
        <f t="shared" si="193"/>
        <v>8.1725342017156457</v>
      </c>
      <c r="H582">
        <f t="shared" si="193"/>
        <v>8.2852454284855259</v>
      </c>
      <c r="I582">
        <f t="shared" si="198"/>
        <v>-0.34740025377571548</v>
      </c>
      <c r="J582">
        <f t="shared" si="191"/>
        <v>7.6053856684859555</v>
      </c>
      <c r="K582">
        <f t="shared" si="195"/>
        <v>7.8111673147603211</v>
      </c>
      <c r="L582">
        <f t="shared" si="195"/>
        <v>8.2312974304170048</v>
      </c>
      <c r="M582">
        <f t="shared" si="195"/>
        <v>8.0172500211544051</v>
      </c>
      <c r="N582">
        <f t="shared" si="199"/>
        <v>-0.6153956611068363</v>
      </c>
      <c r="O582">
        <f t="shared" si="192"/>
        <v>7.8108376712410124</v>
      </c>
      <c r="P582">
        <f t="shared" si="196"/>
        <v>7.9167776705293829</v>
      </c>
      <c r="Q582">
        <f t="shared" si="194"/>
        <v>7.9568322303080237</v>
      </c>
      <c r="R582">
        <f t="shared" si="197"/>
        <v>8.0468140318155505</v>
      </c>
      <c r="S582">
        <f t="shared" si="197"/>
        <v>8.0043053408941294</v>
      </c>
      <c r="T582">
        <f t="shared" si="200"/>
        <v>-0.62834034136711203</v>
      </c>
      <c r="U582">
        <f t="shared" si="201"/>
        <v>0.62834034136711203</v>
      </c>
      <c r="V582">
        <f t="shared" si="208"/>
        <v>7.7508119866343508</v>
      </c>
      <c r="W582">
        <f t="shared" si="202"/>
        <v>0.88183369562689062</v>
      </c>
      <c r="X582">
        <f t="shared" si="209"/>
        <v>7.9107297690842531</v>
      </c>
      <c r="Y582">
        <f t="shared" si="203"/>
        <v>0.72191591317698833</v>
      </c>
      <c r="Z582">
        <f t="shared" si="210"/>
        <v>7.9452539764718457</v>
      </c>
      <c r="AA582">
        <f t="shared" si="204"/>
        <v>0.68739170578939568</v>
      </c>
      <c r="AB582">
        <f t="shared" si="205"/>
        <v>-0.10115431773875905</v>
      </c>
      <c r="AC582">
        <f t="shared" si="206"/>
        <v>8.2669357563267702</v>
      </c>
      <c r="AD582">
        <f t="shared" si="207"/>
        <v>0.36570992593447116</v>
      </c>
    </row>
    <row r="583" spans="1:30">
      <c r="A583">
        <v>581</v>
      </c>
      <c r="B583">
        <v>7.6655342798033237</v>
      </c>
      <c r="C583">
        <f t="shared" si="211"/>
        <v>8.5042727044464712</v>
      </c>
      <c r="D583">
        <f t="shared" si="211"/>
        <v>8.005563857640535</v>
      </c>
      <c r="E583">
        <f t="shared" si="212"/>
        <v>8.3899402689153266</v>
      </c>
      <c r="F583">
        <f t="shared" si="193"/>
        <v>7.4476858767828418</v>
      </c>
      <c r="G583">
        <f t="shared" si="193"/>
        <v>7.8449840682019376</v>
      </c>
      <c r="H583">
        <f t="shared" si="193"/>
        <v>8.2913616296251877</v>
      </c>
      <c r="I583">
        <f t="shared" si="198"/>
        <v>0.62582734982186405</v>
      </c>
      <c r="J583">
        <f t="shared" ref="J583:J646" si="213">AVERAGE(B579:B582)</f>
        <v>8.1234064287425856</v>
      </c>
      <c r="K583">
        <f t="shared" si="195"/>
        <v>7.6663279649355838</v>
      </c>
      <c r="L583">
        <f t="shared" si="195"/>
        <v>8.131998784888733</v>
      </c>
      <c r="M583">
        <f t="shared" si="195"/>
        <v>8.1008196553091416</v>
      </c>
      <c r="N583">
        <f t="shared" si="199"/>
        <v>0.43528537550581792</v>
      </c>
      <c r="O583">
        <f t="shared" ref="O583:O646" si="214">AVERAGE(B579:B583)</f>
        <v>8.0318319989547327</v>
      </c>
      <c r="P583">
        <f t="shared" si="196"/>
        <v>7.77817632265256</v>
      </c>
      <c r="Q583">
        <f t="shared" si="194"/>
        <v>7.7153951196283899</v>
      </c>
      <c r="R583">
        <f t="shared" si="197"/>
        <v>8.06134425257898</v>
      </c>
      <c r="S583">
        <f t="shared" si="197"/>
        <v>8.0317533786635611</v>
      </c>
      <c r="T583">
        <f t="shared" si="200"/>
        <v>0.3662190988602374</v>
      </c>
      <c r="U583">
        <f t="shared" si="201"/>
        <v>-0.3662190988602374</v>
      </c>
      <c r="V583">
        <f t="shared" si="208"/>
        <v>7.8389953561970396</v>
      </c>
      <c r="W583">
        <f t="shared" si="202"/>
        <v>-0.17346107639371589</v>
      </c>
      <c r="X583">
        <f t="shared" si="209"/>
        <v>8.05511295171965</v>
      </c>
      <c r="Y583">
        <f t="shared" si="203"/>
        <v>-0.38957867191632634</v>
      </c>
      <c r="Z583">
        <f t="shared" si="210"/>
        <v>8.1514714882086636</v>
      </c>
      <c r="AA583">
        <f t="shared" si="204"/>
        <v>-0.48593720840533994</v>
      </c>
      <c r="AB583">
        <f t="shared" si="205"/>
        <v>-1.0738257201966777</v>
      </c>
      <c r="AC583">
        <f t="shared" si="206"/>
        <v>8.3187275618895455</v>
      </c>
      <c r="AD583">
        <f t="shared" si="207"/>
        <v>-0.65319328208622185</v>
      </c>
    </row>
    <row r="584" spans="1:30">
      <c r="A584">
        <v>582</v>
      </c>
      <c r="B584">
        <v>9.7278267860980154</v>
      </c>
      <c r="C584">
        <f t="shared" si="211"/>
        <v>8.149089981032283</v>
      </c>
      <c r="D584">
        <f t="shared" si="211"/>
        <v>8.3864301333444189</v>
      </c>
      <c r="E584">
        <f t="shared" si="212"/>
        <v>8.2246932295654229</v>
      </c>
      <c r="F584">
        <f t="shared" si="193"/>
        <v>7.8973826429741338</v>
      </c>
      <c r="G584">
        <f t="shared" si="193"/>
        <v>7.5656089228234995</v>
      </c>
      <c r="H584">
        <f t="shared" si="193"/>
        <v>8.1260835825670359</v>
      </c>
      <c r="I584">
        <f t="shared" si="198"/>
        <v>-1.6017432035309795</v>
      </c>
      <c r="J584">
        <f t="shared" si="213"/>
        <v>8.2088387716373248</v>
      </c>
      <c r="K584">
        <f t="shared" si="195"/>
        <v>7.712675747197185</v>
      </c>
      <c r="L584">
        <f t="shared" si="195"/>
        <v>7.9817936081541143</v>
      </c>
      <c r="M584">
        <f t="shared" si="195"/>
        <v>8.1443392180493746</v>
      </c>
      <c r="N584">
        <f t="shared" si="199"/>
        <v>-1.5834875680486409</v>
      </c>
      <c r="O584">
        <f t="shared" si="214"/>
        <v>8.5126363745294622</v>
      </c>
      <c r="P584">
        <f t="shared" si="196"/>
        <v>7.8125613259485336</v>
      </c>
      <c r="Q584">
        <f t="shared" si="194"/>
        <v>7.7866204393347305</v>
      </c>
      <c r="R584">
        <f t="shared" si="197"/>
        <v>7.9649995192705552</v>
      </c>
      <c r="S584">
        <f t="shared" si="197"/>
        <v>8.0553988822558811</v>
      </c>
      <c r="T584">
        <f t="shared" si="200"/>
        <v>-1.6724279038421344</v>
      </c>
      <c r="U584">
        <f t="shared" si="201"/>
        <v>1.6724279038421344</v>
      </c>
      <c r="V584">
        <f t="shared" si="208"/>
        <v>7.8216492485576676</v>
      </c>
      <c r="W584">
        <f t="shared" si="202"/>
        <v>1.9061775375403478</v>
      </c>
      <c r="X584">
        <f t="shared" si="209"/>
        <v>7.9771972173363848</v>
      </c>
      <c r="Y584">
        <f t="shared" si="203"/>
        <v>1.7506295687616307</v>
      </c>
      <c r="Z584">
        <f t="shared" si="210"/>
        <v>8.0056903256870608</v>
      </c>
      <c r="AA584">
        <f t="shared" si="204"/>
        <v>1.7221364604109546</v>
      </c>
      <c r="AB584">
        <f t="shared" si="205"/>
        <v>0.98290678609801496</v>
      </c>
      <c r="AC584">
        <f t="shared" si="206"/>
        <v>8.3703599329313469</v>
      </c>
      <c r="AD584">
        <f t="shared" si="207"/>
        <v>1.3574668531666685</v>
      </c>
    </row>
    <row r="585" spans="1:30">
      <c r="A585">
        <v>583</v>
      </c>
      <c r="B585">
        <v>9.4156338493733021</v>
      </c>
      <c r="C585">
        <f t="shared" si="211"/>
        <v>8.6966805329506691</v>
      </c>
      <c r="D585">
        <f t="shared" si="211"/>
        <v>8.3266813427393771</v>
      </c>
      <c r="E585">
        <f t="shared" si="212"/>
        <v>8.6753355827208605</v>
      </c>
      <c r="F585">
        <f t="shared" ref="F585:H648" si="215">AVERAGE(E582:E584)</f>
        <v>8.1894311697945952</v>
      </c>
      <c r="G585">
        <f t="shared" si="215"/>
        <v>7.5982897364921591</v>
      </c>
      <c r="H585">
        <f t="shared" si="215"/>
        <v>7.8610423975803618</v>
      </c>
      <c r="I585">
        <f t="shared" si="198"/>
        <v>-1.5545914517929402</v>
      </c>
      <c r="J585">
        <f t="shared" si="213"/>
        <v>8.6004766186985702</v>
      </c>
      <c r="K585">
        <f t="shared" si="195"/>
        <v>7.814646799021304</v>
      </c>
      <c r="L585">
        <f t="shared" si="195"/>
        <v>7.8440410601427741</v>
      </c>
      <c r="M585">
        <f t="shared" si="195"/>
        <v>8.1271836885275448</v>
      </c>
      <c r="N585">
        <f t="shared" si="199"/>
        <v>-1.2884501608457573</v>
      </c>
      <c r="O585">
        <f t="shared" si="214"/>
        <v>8.7635080648335162</v>
      </c>
      <c r="P585">
        <f t="shared" si="196"/>
        <v>7.9520539565740638</v>
      </c>
      <c r="Q585">
        <f t="shared" ref="Q585:Q648" si="216">AVERAGE(B579:B584)</f>
        <v>8.3144977968119473</v>
      </c>
      <c r="R585">
        <f t="shared" si="197"/>
        <v>7.8803709098735562</v>
      </c>
      <c r="S585">
        <f t="shared" si="197"/>
        <v>8.0494700024818648</v>
      </c>
      <c r="T585">
        <f t="shared" si="200"/>
        <v>-1.3661638468914372</v>
      </c>
      <c r="U585">
        <f t="shared" si="201"/>
        <v>1.3661638468914372</v>
      </c>
      <c r="V585">
        <f t="shared" si="208"/>
        <v>8.0122670023117024</v>
      </c>
      <c r="W585">
        <f t="shared" si="202"/>
        <v>1.4033668470615996</v>
      </c>
      <c r="X585">
        <f t="shared" si="209"/>
        <v>8.3273231310887112</v>
      </c>
      <c r="Y585">
        <f t="shared" si="203"/>
        <v>1.0883107182845908</v>
      </c>
      <c r="Z585">
        <f t="shared" si="210"/>
        <v>8.5223312638103472</v>
      </c>
      <c r="AA585">
        <f t="shared" si="204"/>
        <v>0.89330258556295483</v>
      </c>
      <c r="AB585">
        <f t="shared" si="205"/>
        <v>0.66515384937330246</v>
      </c>
      <c r="AC585">
        <f t="shared" si="206"/>
        <v>8.4218187357873973</v>
      </c>
      <c r="AD585">
        <f t="shared" si="207"/>
        <v>0.9938151135859048</v>
      </c>
    </row>
    <row r="586" spans="1:30">
      <c r="A586">
        <v>584</v>
      </c>
      <c r="B586">
        <v>8.217633744271037</v>
      </c>
      <c r="C586">
        <f t="shared" si="211"/>
        <v>9.5717303177356587</v>
      </c>
      <c r="D586">
        <f t="shared" si="211"/>
        <v>8.4228852569914761</v>
      </c>
      <c r="E586">
        <f t="shared" si="212"/>
        <v>8.9363316384248801</v>
      </c>
      <c r="F586">
        <f t="shared" si="215"/>
        <v>8.4299896937338712</v>
      </c>
      <c r="G586">
        <f t="shared" si="215"/>
        <v>7.844833229850523</v>
      </c>
      <c r="H586">
        <f t="shared" si="215"/>
        <v>7.6696275758391979</v>
      </c>
      <c r="I586">
        <f t="shared" si="198"/>
        <v>-0.54800616843183914</v>
      </c>
      <c r="J586">
        <f t="shared" si="213"/>
        <v>8.86041014938397</v>
      </c>
      <c r="K586">
        <f t="shared" si="195"/>
        <v>8.1345268718911097</v>
      </c>
      <c r="L586">
        <f t="shared" si="195"/>
        <v>7.7512044564785985</v>
      </c>
      <c r="M586">
        <f t="shared" si="195"/>
        <v>8.0472827209006557</v>
      </c>
      <c r="N586">
        <f t="shared" si="199"/>
        <v>-0.17035102337038133</v>
      </c>
      <c r="O586">
        <f t="shared" si="214"/>
        <v>8.7318548683613848</v>
      </c>
      <c r="P586">
        <f t="shared" si="196"/>
        <v>8.1301518233321097</v>
      </c>
      <c r="Q586">
        <f t="shared" si="216"/>
        <v>8.6631359536701016</v>
      </c>
      <c r="R586">
        <f t="shared" si="197"/>
        <v>7.9027931900544273</v>
      </c>
      <c r="S586">
        <f t="shared" si="197"/>
        <v>8.0196420665331463</v>
      </c>
      <c r="T586">
        <f t="shared" si="200"/>
        <v>-0.19799167773789073</v>
      </c>
      <c r="U586">
        <f t="shared" si="201"/>
        <v>0.19799167773789073</v>
      </c>
      <c r="V586">
        <f t="shared" si="208"/>
        <v>8.1526036870178622</v>
      </c>
      <c r="W586">
        <f t="shared" si="202"/>
        <v>6.5030057253174789E-2</v>
      </c>
      <c r="X586">
        <f t="shared" si="209"/>
        <v>8.5449852747456294</v>
      </c>
      <c r="Y586">
        <f t="shared" si="203"/>
        <v>-0.32735153047459242</v>
      </c>
      <c r="Z586">
        <f t="shared" si="210"/>
        <v>8.7903220394792339</v>
      </c>
      <c r="AA586">
        <f t="shared" si="204"/>
        <v>-0.57268829520819686</v>
      </c>
      <c r="AB586">
        <f t="shared" si="205"/>
        <v>-0.5384062557289635</v>
      </c>
      <c r="AC586">
        <f t="shared" si="206"/>
        <v>8.4730898850051748</v>
      </c>
      <c r="AD586">
        <f t="shared" si="207"/>
        <v>-0.2554561407341378</v>
      </c>
    </row>
    <row r="587" spans="1:30">
      <c r="A587">
        <v>585</v>
      </c>
      <c r="B587">
        <v>9.3411410422642778</v>
      </c>
      <c r="C587">
        <f t="shared" si="211"/>
        <v>8.8166337968221704</v>
      </c>
      <c r="D587">
        <f t="shared" si="211"/>
        <v>9.1342054253431648</v>
      </c>
      <c r="E587">
        <f t="shared" si="212"/>
        <v>9.1203647932474521</v>
      </c>
      <c r="F587">
        <f t="shared" si="215"/>
        <v>8.6121201502370539</v>
      </c>
      <c r="G587">
        <f t="shared" si="215"/>
        <v>8.1722678355008664</v>
      </c>
      <c r="H587">
        <f t="shared" si="215"/>
        <v>7.6695772963887272</v>
      </c>
      <c r="I587">
        <f t="shared" si="198"/>
        <v>-1.6715637458755506</v>
      </c>
      <c r="J587">
        <f t="shared" si="213"/>
        <v>8.7566571648864198</v>
      </c>
      <c r="K587">
        <f t="shared" ref="K587:M650" si="217">AVERAGE(J583:J586)</f>
        <v>8.4482829921156117</v>
      </c>
      <c r="L587">
        <f t="shared" si="217"/>
        <v>7.8320443457612949</v>
      </c>
      <c r="M587">
        <f t="shared" si="217"/>
        <v>7.9272594774160545</v>
      </c>
      <c r="N587">
        <f t="shared" si="199"/>
        <v>-1.4138815648482232</v>
      </c>
      <c r="O587">
        <f t="shared" si="214"/>
        <v>8.8735539403619903</v>
      </c>
      <c r="P587">
        <f t="shared" si="196"/>
        <v>8.3701337955840209</v>
      </c>
      <c r="Q587">
        <f t="shared" si="216"/>
        <v>8.6725290114064375</v>
      </c>
      <c r="R587">
        <f t="shared" si="197"/>
        <v>8.0515564095383692</v>
      </c>
      <c r="S587">
        <f t="shared" si="197"/>
        <v>7.9870224835221757</v>
      </c>
      <c r="T587">
        <f t="shared" si="200"/>
        <v>-1.3541185587421021</v>
      </c>
      <c r="U587">
        <f t="shared" si="201"/>
        <v>1.3541185587421021</v>
      </c>
      <c r="V587">
        <f t="shared" si="208"/>
        <v>8.1591066927431797</v>
      </c>
      <c r="W587">
        <f t="shared" si="202"/>
        <v>1.1820343495210981</v>
      </c>
      <c r="X587">
        <f t="shared" si="209"/>
        <v>8.4795149686507116</v>
      </c>
      <c r="Y587">
        <f t="shared" si="203"/>
        <v>0.86162607361356613</v>
      </c>
      <c r="Z587">
        <f t="shared" si="210"/>
        <v>8.6185155509167757</v>
      </c>
      <c r="AA587">
        <f t="shared" si="204"/>
        <v>0.72262549134750209</v>
      </c>
      <c r="AB587">
        <f t="shared" si="205"/>
        <v>0.57954104226427816</v>
      </c>
      <c r="AC587">
        <f t="shared" si="206"/>
        <v>8.5241593472569779</v>
      </c>
      <c r="AD587">
        <f t="shared" si="207"/>
        <v>0.81698169500729989</v>
      </c>
    </row>
    <row r="588" spans="1:30">
      <c r="A588">
        <v>586</v>
      </c>
      <c r="B588">
        <v>7.4267008782272574</v>
      </c>
      <c r="C588">
        <f t="shared" si="211"/>
        <v>8.7793873932676583</v>
      </c>
      <c r="D588">
        <f t="shared" si="211"/>
        <v>9.1941820572789155</v>
      </c>
      <c r="E588">
        <f t="shared" si="212"/>
        <v>8.9914695453028717</v>
      </c>
      <c r="F588">
        <f t="shared" si="215"/>
        <v>8.9106773381310642</v>
      </c>
      <c r="G588">
        <f t="shared" si="215"/>
        <v>8.410513671255174</v>
      </c>
      <c r="H588">
        <f t="shared" si="215"/>
        <v>7.8717969339478486</v>
      </c>
      <c r="I588">
        <f t="shared" si="198"/>
        <v>0.44509605572059119</v>
      </c>
      <c r="J588">
        <f t="shared" si="213"/>
        <v>9.1755588555016576</v>
      </c>
      <c r="K588">
        <f t="shared" si="217"/>
        <v>8.6065956761515707</v>
      </c>
      <c r="L588">
        <f t="shared" si="217"/>
        <v>8.0275331025563013</v>
      </c>
      <c r="M588">
        <f t="shared" si="217"/>
        <v>7.8522708676341963</v>
      </c>
      <c r="N588">
        <f t="shared" si="199"/>
        <v>0.42556998940693891</v>
      </c>
      <c r="O588">
        <f t="shared" si="214"/>
        <v>8.825787260046777</v>
      </c>
      <c r="P588">
        <f t="shared" si="196"/>
        <v>8.5826770494082147</v>
      </c>
      <c r="Q588">
        <f t="shared" si="216"/>
        <v>8.8334025640118661</v>
      </c>
      <c r="R588">
        <f t="shared" si="197"/>
        <v>8.184835091859938</v>
      </c>
      <c r="S588">
        <f t="shared" si="197"/>
        <v>7.9846463855219065</v>
      </c>
      <c r="T588">
        <f t="shared" si="200"/>
        <v>0.55794550729464909</v>
      </c>
      <c r="U588">
        <f t="shared" si="201"/>
        <v>-0.55794550729464909</v>
      </c>
      <c r="V588">
        <f t="shared" si="208"/>
        <v>8.277310127695289</v>
      </c>
      <c r="W588">
        <f t="shared" si="202"/>
        <v>-0.85060924946803151</v>
      </c>
      <c r="X588">
        <f t="shared" si="209"/>
        <v>8.6518401833734249</v>
      </c>
      <c r="Y588">
        <f t="shared" si="203"/>
        <v>-1.2251393051461674</v>
      </c>
      <c r="Z588">
        <f t="shared" si="210"/>
        <v>8.8353031983210268</v>
      </c>
      <c r="AA588">
        <f t="shared" si="204"/>
        <v>-1.4086023200937694</v>
      </c>
      <c r="AB588">
        <f t="shared" si="205"/>
        <v>-1.3404591217727431</v>
      </c>
      <c r="AC588">
        <f t="shared" si="206"/>
        <v>8.5750131452379517</v>
      </c>
      <c r="AD588">
        <f t="shared" si="207"/>
        <v>-1.1483122670106942</v>
      </c>
    </row>
    <row r="589" spans="1:30">
      <c r="A589">
        <v>587</v>
      </c>
      <c r="B589">
        <v>9.4226454315537538</v>
      </c>
      <c r="C589">
        <f t="shared" si="211"/>
        <v>8.3839209602457672</v>
      </c>
      <c r="D589">
        <f t="shared" si="211"/>
        <v>8.7980105950449143</v>
      </c>
      <c r="E589">
        <f t="shared" si="212"/>
        <v>8.3284918882541916</v>
      </c>
      <c r="F589">
        <f t="shared" si="215"/>
        <v>9.0160553256584013</v>
      </c>
      <c r="G589">
        <f t="shared" si="215"/>
        <v>8.6509290607006637</v>
      </c>
      <c r="H589">
        <f t="shared" si="215"/>
        <v>8.1425382455355209</v>
      </c>
      <c r="I589">
        <f t="shared" si="198"/>
        <v>-1.2801071860182329</v>
      </c>
      <c r="J589">
        <f t="shared" si="213"/>
        <v>8.6002773785339688</v>
      </c>
      <c r="K589">
        <f t="shared" si="217"/>
        <v>8.8482756971176535</v>
      </c>
      <c r="L589">
        <f t="shared" si="217"/>
        <v>8.2510130847948986</v>
      </c>
      <c r="M589">
        <f t="shared" si="217"/>
        <v>7.8637057412347415</v>
      </c>
      <c r="N589">
        <f t="shared" si="199"/>
        <v>-1.5589396903190123</v>
      </c>
      <c r="O589">
        <f t="shared" si="214"/>
        <v>8.7647509891379265</v>
      </c>
      <c r="P589">
        <f t="shared" ref="P589:P652" si="218">AVERAGE(O584:O588)</f>
        <v>8.7414681016266265</v>
      </c>
      <c r="Q589">
        <f t="shared" si="216"/>
        <v>8.632411763339535</v>
      </c>
      <c r="R589">
        <f t="shared" si="197"/>
        <v>8.330930147477245</v>
      </c>
      <c r="S589">
        <f t="shared" si="197"/>
        <v>8.0076498955293047</v>
      </c>
      <c r="T589">
        <f t="shared" si="200"/>
        <v>-1.4149955360244491</v>
      </c>
      <c r="U589">
        <f t="shared" si="201"/>
        <v>1.4149955360244491</v>
      </c>
      <c r="V589">
        <f t="shared" si="208"/>
        <v>8.192249202748485</v>
      </c>
      <c r="W589">
        <f t="shared" si="202"/>
        <v>1.2303962288052688</v>
      </c>
      <c r="X589">
        <f t="shared" si="209"/>
        <v>8.4068123223441908</v>
      </c>
      <c r="Y589">
        <f t="shared" si="203"/>
        <v>1.0158331092095629</v>
      </c>
      <c r="Z589">
        <f t="shared" si="210"/>
        <v>8.4127225022928958</v>
      </c>
      <c r="AA589">
        <f t="shared" si="204"/>
        <v>1.009922929260858</v>
      </c>
      <c r="AB589">
        <f t="shared" si="205"/>
        <v>0.64992543155375415</v>
      </c>
      <c r="AC589">
        <f t="shared" si="206"/>
        <v>8.6256373615485984</v>
      </c>
      <c r="AD589">
        <f t="shared" si="207"/>
        <v>0.79700807000515539</v>
      </c>
    </row>
    <row r="590" spans="1:30">
      <c r="A590">
        <v>588</v>
      </c>
      <c r="B590">
        <v>9.1510991195326543</v>
      </c>
      <c r="C590">
        <f t="shared" si="211"/>
        <v>8.4246731548905061</v>
      </c>
      <c r="D590">
        <f t="shared" si="211"/>
        <v>8.5816541767567127</v>
      </c>
      <c r="E590">
        <f t="shared" si="212"/>
        <v>8.7301624506817621</v>
      </c>
      <c r="F590">
        <f t="shared" si="215"/>
        <v>8.8134420756015057</v>
      </c>
      <c r="G590">
        <f t="shared" si="215"/>
        <v>8.8462842713421725</v>
      </c>
      <c r="H590">
        <f t="shared" si="215"/>
        <v>8.4112368558189008</v>
      </c>
      <c r="I590">
        <f t="shared" si="198"/>
        <v>-0.73986226371375352</v>
      </c>
      <c r="J590">
        <f t="shared" si="213"/>
        <v>8.6020302740790822</v>
      </c>
      <c r="K590">
        <f t="shared" si="217"/>
        <v>8.848225887076504</v>
      </c>
      <c r="L590">
        <f t="shared" si="217"/>
        <v>8.5094203093189869</v>
      </c>
      <c r="M590">
        <f t="shared" si="217"/>
        <v>7.9654487473977733</v>
      </c>
      <c r="N590">
        <f t="shared" si="199"/>
        <v>-1.185650372134881</v>
      </c>
      <c r="O590">
        <f t="shared" si="214"/>
        <v>8.7118440431697959</v>
      </c>
      <c r="P590">
        <f t="shared" si="218"/>
        <v>8.7918910245483168</v>
      </c>
      <c r="Q590">
        <f t="shared" si="216"/>
        <v>8.9252636219646071</v>
      </c>
      <c r="R590">
        <f t="shared" si="197"/>
        <v>8.4837662547624362</v>
      </c>
      <c r="S590">
        <f t="shared" si="197"/>
        <v>8.052580878012348</v>
      </c>
      <c r="T590">
        <f t="shared" si="200"/>
        <v>-1.0985182415203063</v>
      </c>
      <c r="U590">
        <f t="shared" si="201"/>
        <v>1.0985182415203063</v>
      </c>
      <c r="V590">
        <f t="shared" si="208"/>
        <v>8.3152888256290112</v>
      </c>
      <c r="W590">
        <f t="shared" si="202"/>
        <v>0.83581029390364314</v>
      </c>
      <c r="X590">
        <f t="shared" si="209"/>
        <v>8.6099789441861034</v>
      </c>
      <c r="Y590">
        <f t="shared" si="203"/>
        <v>0.54112017534655088</v>
      </c>
      <c r="Z590">
        <f t="shared" si="210"/>
        <v>8.7156993810711541</v>
      </c>
      <c r="AA590">
        <f t="shared" si="204"/>
        <v>0.43539973846150026</v>
      </c>
      <c r="AB590">
        <f t="shared" si="205"/>
        <v>0.37281911953265379</v>
      </c>
      <c r="AC590">
        <f t="shared" si="206"/>
        <v>8.676018142560638</v>
      </c>
      <c r="AD590">
        <f t="shared" si="207"/>
        <v>0.47508097697201634</v>
      </c>
    </row>
    <row r="591" spans="1:30">
      <c r="A591">
        <v>589</v>
      </c>
      <c r="B591">
        <v>9.561737173515013</v>
      </c>
      <c r="C591">
        <f t="shared" si="211"/>
        <v>9.2868722755432032</v>
      </c>
      <c r="D591">
        <f t="shared" si="211"/>
        <v>8.4042970575681366</v>
      </c>
      <c r="E591">
        <f t="shared" si="212"/>
        <v>8.6668151431045555</v>
      </c>
      <c r="F591">
        <f t="shared" si="215"/>
        <v>8.6833746280796067</v>
      </c>
      <c r="G591">
        <f t="shared" si="215"/>
        <v>8.9133915797969916</v>
      </c>
      <c r="H591">
        <f t="shared" si="215"/>
        <v>8.6359090010993356</v>
      </c>
      <c r="I591">
        <f t="shared" si="198"/>
        <v>-0.92582817241567739</v>
      </c>
      <c r="J591">
        <f t="shared" si="213"/>
        <v>8.8353966178944852</v>
      </c>
      <c r="K591">
        <f t="shared" si="217"/>
        <v>8.7836309182502816</v>
      </c>
      <c r="L591">
        <f t="shared" si="217"/>
        <v>8.6878450631153346</v>
      </c>
      <c r="M591">
        <f t="shared" si="217"/>
        <v>8.1550027106078709</v>
      </c>
      <c r="N591">
        <f t="shared" si="199"/>
        <v>-1.4067344629071421</v>
      </c>
      <c r="O591">
        <f t="shared" si="214"/>
        <v>8.9806647290185904</v>
      </c>
      <c r="P591">
        <f t="shared" si="218"/>
        <v>8.781558220215576</v>
      </c>
      <c r="Q591">
        <f t="shared" si="216"/>
        <v>8.8291423442037136</v>
      </c>
      <c r="R591">
        <f t="shared" ref="R591:S654" si="219">AVERAGE(Q585:Q590)</f>
        <v>8.673540118534083</v>
      </c>
      <c r="S591">
        <f t="shared" si="219"/>
        <v>8.139042000594328</v>
      </c>
      <c r="T591">
        <f t="shared" si="200"/>
        <v>-1.4226951729206849</v>
      </c>
      <c r="U591">
        <f t="shared" si="201"/>
        <v>1.4226951729206849</v>
      </c>
      <c r="V591">
        <f t="shared" si="208"/>
        <v>8.3988698550193757</v>
      </c>
      <c r="W591">
        <f t="shared" si="202"/>
        <v>1.1628673184956373</v>
      </c>
      <c r="X591">
        <f t="shared" si="209"/>
        <v>8.7182029792554143</v>
      </c>
      <c r="Y591">
        <f t="shared" si="203"/>
        <v>0.84353419425959864</v>
      </c>
      <c r="Z591">
        <f t="shared" si="210"/>
        <v>8.8463193026096043</v>
      </c>
      <c r="AA591">
        <f t="shared" si="204"/>
        <v>0.71541787090540865</v>
      </c>
      <c r="AB591">
        <f t="shared" si="205"/>
        <v>0.77789717351501331</v>
      </c>
      <c r="AC591">
        <f t="shared" si="206"/>
        <v>8.7261417022651315</v>
      </c>
      <c r="AD591">
        <f t="shared" si="207"/>
        <v>0.83559547124988143</v>
      </c>
    </row>
    <row r="592" spans="1:30">
      <c r="A592">
        <v>590</v>
      </c>
      <c r="B592">
        <v>9.0799400886094634</v>
      </c>
      <c r="C592">
        <f t="shared" si="211"/>
        <v>9.3564181465238327</v>
      </c>
      <c r="D592">
        <f t="shared" si="211"/>
        <v>8.8557727152168546</v>
      </c>
      <c r="E592">
        <f t="shared" si="212"/>
        <v>9.3784939082004737</v>
      </c>
      <c r="F592">
        <f t="shared" si="215"/>
        <v>8.5751564940135037</v>
      </c>
      <c r="G592">
        <f t="shared" si="215"/>
        <v>8.8376240097798373</v>
      </c>
      <c r="H592">
        <f t="shared" si="215"/>
        <v>8.8035349706132759</v>
      </c>
      <c r="I592">
        <f t="shared" si="198"/>
        <v>-0.2764051179961875</v>
      </c>
      <c r="J592">
        <f t="shared" si="213"/>
        <v>8.8905456507071694</v>
      </c>
      <c r="K592">
        <f t="shared" si="217"/>
        <v>8.8033157815022989</v>
      </c>
      <c r="L592">
        <f t="shared" si="217"/>
        <v>8.7716820446490029</v>
      </c>
      <c r="M592">
        <f t="shared" si="217"/>
        <v>8.3689528899463799</v>
      </c>
      <c r="N592">
        <f t="shared" si="199"/>
        <v>-0.71098719866308357</v>
      </c>
      <c r="O592">
        <f t="shared" si="214"/>
        <v>8.9284245382876275</v>
      </c>
      <c r="P592">
        <f t="shared" si="218"/>
        <v>8.8313201923470164</v>
      </c>
      <c r="Q592">
        <f t="shared" si="216"/>
        <v>8.8534928982273318</v>
      </c>
      <c r="R592">
        <f t="shared" si="219"/>
        <v>8.7593142097660444</v>
      </c>
      <c r="S592">
        <f t="shared" si="219"/>
        <v>8.2712368687044169</v>
      </c>
      <c r="T592">
        <f t="shared" si="200"/>
        <v>-0.80870321990504657</v>
      </c>
      <c r="U592">
        <f t="shared" si="201"/>
        <v>0.80870321990504657</v>
      </c>
      <c r="V592">
        <f t="shared" si="208"/>
        <v>8.5151565868689403</v>
      </c>
      <c r="W592">
        <f t="shared" si="202"/>
        <v>0.56478350174052316</v>
      </c>
      <c r="X592">
        <f t="shared" si="209"/>
        <v>8.886909818107334</v>
      </c>
      <c r="Y592">
        <f t="shared" si="203"/>
        <v>0.1930302705021294</v>
      </c>
      <c r="Z592">
        <f t="shared" si="210"/>
        <v>9.0609446638812265</v>
      </c>
      <c r="AA592">
        <f t="shared" si="204"/>
        <v>1.8995424728236898E-2</v>
      </c>
      <c r="AB592">
        <f t="shared" si="205"/>
        <v>0.2905400886094629</v>
      </c>
      <c r="AC592">
        <f t="shared" si="206"/>
        <v>8.7759943261018627</v>
      </c>
      <c r="AD592">
        <f t="shared" si="207"/>
        <v>0.30394576250760075</v>
      </c>
    </row>
    <row r="593" spans="1:30">
      <c r="A593">
        <v>591</v>
      </c>
      <c r="B593">
        <v>11.006744017251904</v>
      </c>
      <c r="C593">
        <f t="shared" si="211"/>
        <v>9.3208386310622373</v>
      </c>
      <c r="D593">
        <f t="shared" si="211"/>
        <v>9.321645211033518</v>
      </c>
      <c r="E593">
        <f t="shared" si="212"/>
        <v>9.2642587938857091</v>
      </c>
      <c r="F593">
        <f t="shared" si="215"/>
        <v>8.9251571673289316</v>
      </c>
      <c r="G593">
        <f t="shared" si="215"/>
        <v>8.6906577325648726</v>
      </c>
      <c r="H593">
        <f t="shared" si="215"/>
        <v>8.8657666203063332</v>
      </c>
      <c r="I593">
        <f t="shared" si="198"/>
        <v>-2.140977396945571</v>
      </c>
      <c r="J593">
        <f t="shared" si="213"/>
        <v>9.3038554533027202</v>
      </c>
      <c r="K593">
        <f t="shared" si="217"/>
        <v>8.7320624803036768</v>
      </c>
      <c r="L593">
        <f t="shared" si="217"/>
        <v>8.820862070986685</v>
      </c>
      <c r="M593">
        <f t="shared" si="217"/>
        <v>8.5549901254695566</v>
      </c>
      <c r="N593">
        <f t="shared" si="199"/>
        <v>-2.4517538917823476</v>
      </c>
      <c r="O593">
        <f t="shared" si="214"/>
        <v>9.6444331660925577</v>
      </c>
      <c r="P593">
        <f t="shared" si="218"/>
        <v>8.8422943119321449</v>
      </c>
      <c r="Q593">
        <f t="shared" si="216"/>
        <v>8.9972106222837365</v>
      </c>
      <c r="R593">
        <f t="shared" si="219"/>
        <v>8.791040367192247</v>
      </c>
      <c r="S593">
        <f t="shared" si="219"/>
        <v>8.4139903719896871</v>
      </c>
      <c r="T593">
        <f t="shared" si="200"/>
        <v>-2.5927536452622171</v>
      </c>
      <c r="U593">
        <f t="shared" si="201"/>
        <v>2.5927536452622171</v>
      </c>
      <c r="V593">
        <f t="shared" si="208"/>
        <v>8.5716349370429921</v>
      </c>
      <c r="W593">
        <f t="shared" si="202"/>
        <v>2.4351090802089121</v>
      </c>
      <c r="X593">
        <f t="shared" si="209"/>
        <v>8.9255158722077592</v>
      </c>
      <c r="Y593">
        <f t="shared" si="203"/>
        <v>2.081228145044145</v>
      </c>
      <c r="Z593">
        <f t="shared" si="210"/>
        <v>9.0666432912996981</v>
      </c>
      <c r="AA593">
        <f t="shared" si="204"/>
        <v>1.9401007259522061</v>
      </c>
      <c r="AB593">
        <f t="shared" si="205"/>
        <v>2.2117840172519045</v>
      </c>
      <c r="AC593">
        <f t="shared" si="206"/>
        <v>8.8255623747688183</v>
      </c>
      <c r="AD593">
        <f t="shared" si="207"/>
        <v>2.1811816424830859</v>
      </c>
    </row>
    <row r="594" spans="1:30">
      <c r="A594">
        <v>592</v>
      </c>
      <c r="B594">
        <v>11.06735756997295</v>
      </c>
      <c r="C594">
        <f t="shared" si="211"/>
        <v>10.043342052930683</v>
      </c>
      <c r="D594">
        <f t="shared" si="211"/>
        <v>9.338628388793035</v>
      </c>
      <c r="E594">
        <f t="shared" si="212"/>
        <v>9.882807093125459</v>
      </c>
      <c r="F594">
        <f t="shared" si="215"/>
        <v>9.1031892817302467</v>
      </c>
      <c r="G594">
        <f t="shared" si="215"/>
        <v>8.727896096474014</v>
      </c>
      <c r="H594">
        <f t="shared" si="215"/>
        <v>8.8138911073805684</v>
      </c>
      <c r="I594">
        <f t="shared" si="198"/>
        <v>-2.2534664625923817</v>
      </c>
      <c r="J594">
        <f t="shared" si="213"/>
        <v>9.6998800997272578</v>
      </c>
      <c r="K594">
        <f t="shared" si="217"/>
        <v>8.9079569989958642</v>
      </c>
      <c r="L594">
        <f t="shared" si="217"/>
        <v>8.7918087667831895</v>
      </c>
      <c r="M594">
        <f t="shared" si="217"/>
        <v>8.6974523720175032</v>
      </c>
      <c r="N594">
        <f t="shared" si="199"/>
        <v>-2.3699051979554469</v>
      </c>
      <c r="O594">
        <f t="shared" si="214"/>
        <v>9.9733755937763959</v>
      </c>
      <c r="P594">
        <f t="shared" si="218"/>
        <v>9.0060234931412992</v>
      </c>
      <c r="Q594">
        <f t="shared" si="216"/>
        <v>9.2748111181150072</v>
      </c>
      <c r="R594">
        <f t="shared" si="219"/>
        <v>8.845153969005132</v>
      </c>
      <c r="S594">
        <f t="shared" si="219"/>
        <v>8.5372376982653329</v>
      </c>
      <c r="T594">
        <f t="shared" si="200"/>
        <v>-2.5301198717076172</v>
      </c>
      <c r="U594">
        <f t="shared" si="201"/>
        <v>2.5301198717076172</v>
      </c>
      <c r="V594">
        <f t="shared" si="208"/>
        <v>8.8151458450638831</v>
      </c>
      <c r="W594">
        <f t="shared" si="202"/>
        <v>2.252211724909067</v>
      </c>
      <c r="X594">
        <f t="shared" si="209"/>
        <v>9.3417615012165882</v>
      </c>
      <c r="Y594">
        <f t="shared" si="203"/>
        <v>1.7255960687563618</v>
      </c>
      <c r="Z594">
        <f t="shared" si="210"/>
        <v>9.6486735090853593</v>
      </c>
      <c r="AA594">
        <f t="shared" si="204"/>
        <v>1.4186840608875908</v>
      </c>
      <c r="AB594">
        <f t="shared" si="205"/>
        <v>2.2668375699729495</v>
      </c>
      <c r="AC594">
        <f t="shared" si="206"/>
        <v>8.8748322880108343</v>
      </c>
      <c r="AD594">
        <f t="shared" si="207"/>
        <v>2.1925252819621157</v>
      </c>
    </row>
    <row r="595" spans="1:30">
      <c r="A595">
        <v>593</v>
      </c>
      <c r="B595">
        <v>11.022840694814255</v>
      </c>
      <c r="C595">
        <f t="shared" si="211"/>
        <v>11.037050793612426</v>
      </c>
      <c r="D595">
        <f t="shared" si="211"/>
        <v>9.6820903419964601</v>
      </c>
      <c r="E595">
        <f t="shared" si="212"/>
        <v>10.384680558611437</v>
      </c>
      <c r="F595">
        <f t="shared" si="215"/>
        <v>9.5085199317372133</v>
      </c>
      <c r="G595">
        <f t="shared" si="215"/>
        <v>8.8678343143575606</v>
      </c>
      <c r="H595">
        <f t="shared" si="215"/>
        <v>8.7520592796062413</v>
      </c>
      <c r="I595">
        <f t="shared" si="198"/>
        <v>-2.2707814152080132</v>
      </c>
      <c r="J595">
        <f t="shared" si="213"/>
        <v>10.178944712337332</v>
      </c>
      <c r="K595">
        <f t="shared" si="217"/>
        <v>9.1824194554079082</v>
      </c>
      <c r="L595">
        <f t="shared" si="217"/>
        <v>8.8067415447630299</v>
      </c>
      <c r="M595">
        <f t="shared" si="217"/>
        <v>8.7680494863835534</v>
      </c>
      <c r="N595">
        <f t="shared" si="199"/>
        <v>-2.2547912084307011</v>
      </c>
      <c r="O595">
        <f t="shared" si="214"/>
        <v>10.347723908832716</v>
      </c>
      <c r="P595">
        <f t="shared" si="218"/>
        <v>9.2477484140689938</v>
      </c>
      <c r="Q595">
        <f t="shared" si="216"/>
        <v>9.8815872334059556</v>
      </c>
      <c r="R595">
        <f t="shared" si="219"/>
        <v>8.9187220613556573</v>
      </c>
      <c r="S595">
        <f t="shared" si="219"/>
        <v>8.6472908444561991</v>
      </c>
      <c r="T595">
        <f t="shared" si="200"/>
        <v>-2.3755498503580554</v>
      </c>
      <c r="U595">
        <f t="shared" si="201"/>
        <v>2.3755498503580554</v>
      </c>
      <c r="V595">
        <f t="shared" si="208"/>
        <v>9.0403670175547894</v>
      </c>
      <c r="W595">
        <f t="shared" si="202"/>
        <v>1.9824736772594651</v>
      </c>
      <c r="X595">
        <f t="shared" si="209"/>
        <v>9.6868807149678613</v>
      </c>
      <c r="Y595">
        <f t="shared" si="203"/>
        <v>1.3359599798463933</v>
      </c>
      <c r="Z595">
        <f t="shared" si="210"/>
        <v>10.074278727351636</v>
      </c>
      <c r="AA595">
        <f t="shared" si="204"/>
        <v>0.94856196746261823</v>
      </c>
      <c r="AB595">
        <f t="shared" si="205"/>
        <v>2.2167606948142549</v>
      </c>
      <c r="AC595">
        <f t="shared" si="206"/>
        <v>8.9237905883862005</v>
      </c>
      <c r="AD595">
        <f t="shared" si="207"/>
        <v>2.099050106428054</v>
      </c>
    </row>
    <row r="596" spans="1:30">
      <c r="A596">
        <v>594</v>
      </c>
      <c r="B596">
        <v>8.6263992019579323</v>
      </c>
      <c r="C596">
        <f t="shared" si="211"/>
        <v>11.045099132393602</v>
      </c>
      <c r="D596">
        <f t="shared" si="211"/>
        <v>10.540196423271555</v>
      </c>
      <c r="E596">
        <f t="shared" si="212"/>
        <v>11.032314094013037</v>
      </c>
      <c r="F596">
        <f t="shared" si="215"/>
        <v>9.8439154818742001</v>
      </c>
      <c r="G596">
        <f t="shared" si="215"/>
        <v>9.1789554602654633</v>
      </c>
      <c r="H596">
        <f t="shared" si="215"/>
        <v>8.7621293811321479</v>
      </c>
      <c r="I596">
        <f t="shared" si="198"/>
        <v>0.13573017917421559</v>
      </c>
      <c r="J596">
        <f t="shared" si="213"/>
        <v>10.544220592662143</v>
      </c>
      <c r="K596">
        <f t="shared" si="217"/>
        <v>9.5183064790186211</v>
      </c>
      <c r="L596">
        <f t="shared" si="217"/>
        <v>8.906438679052437</v>
      </c>
      <c r="M596">
        <f t="shared" si="217"/>
        <v>8.7977736067954773</v>
      </c>
      <c r="N596">
        <f t="shared" si="199"/>
        <v>0.17137440483754496</v>
      </c>
      <c r="O596">
        <f t="shared" si="214"/>
        <v>10.160656314521301</v>
      </c>
      <c r="P596">
        <f t="shared" si="218"/>
        <v>9.5749243872015768</v>
      </c>
      <c r="Q596">
        <f t="shared" si="216"/>
        <v>10.148286443949372</v>
      </c>
      <c r="R596">
        <f t="shared" si="219"/>
        <v>9.1269179730333914</v>
      </c>
      <c r="S596">
        <f t="shared" si="219"/>
        <v>8.7452561634359345</v>
      </c>
      <c r="T596">
        <f t="shared" si="200"/>
        <v>0.11885696147800218</v>
      </c>
      <c r="U596">
        <f t="shared" si="201"/>
        <v>-0.11885696147800218</v>
      </c>
      <c r="V596">
        <f t="shared" si="208"/>
        <v>9.2386143852807354</v>
      </c>
      <c r="W596">
        <f t="shared" si="202"/>
        <v>-0.61221518332280311</v>
      </c>
      <c r="X596">
        <f t="shared" si="209"/>
        <v>9.9540727109371403</v>
      </c>
      <c r="Y596">
        <f t="shared" si="203"/>
        <v>-1.327673508979208</v>
      </c>
      <c r="Z596">
        <f t="shared" si="210"/>
        <v>10.358847317590422</v>
      </c>
      <c r="AA596">
        <f t="shared" si="204"/>
        <v>-1.73244811563249</v>
      </c>
      <c r="AB596">
        <f t="shared" si="205"/>
        <v>-0.18524079804206828</v>
      </c>
      <c r="AC596">
        <f t="shared" si="206"/>
        <v>8.972423885010361</v>
      </c>
      <c r="AD596">
        <f t="shared" si="207"/>
        <v>-0.34602468305242873</v>
      </c>
    </row>
    <row r="597" spans="1:30">
      <c r="A597">
        <v>595</v>
      </c>
      <c r="B597">
        <v>11.153962998528536</v>
      </c>
      <c r="C597">
        <f t="shared" si="211"/>
        <v>9.8246199483860934</v>
      </c>
      <c r="D597">
        <f t="shared" si="211"/>
        <v>11.041074963003014</v>
      </c>
      <c r="E597">
        <f t="shared" si="212"/>
        <v>10.238865822248378</v>
      </c>
      <c r="F597">
        <f t="shared" si="215"/>
        <v>10.433267248583311</v>
      </c>
      <c r="G597">
        <f t="shared" si="215"/>
        <v>9.4852082317805539</v>
      </c>
      <c r="H597">
        <f t="shared" si="215"/>
        <v>8.9248952903656793</v>
      </c>
      <c r="I597">
        <f t="shared" si="198"/>
        <v>-2.2290677081628569</v>
      </c>
      <c r="J597">
        <f t="shared" si="213"/>
        <v>10.43083537099926</v>
      </c>
      <c r="K597">
        <f t="shared" si="217"/>
        <v>9.9317252145073631</v>
      </c>
      <c r="L597">
        <f t="shared" si="217"/>
        <v>9.0851863534315171</v>
      </c>
      <c r="M597">
        <f t="shared" si="217"/>
        <v>8.8314627653963349</v>
      </c>
      <c r="N597">
        <f t="shared" si="199"/>
        <v>-2.3225002331322013</v>
      </c>
      <c r="O597">
        <f t="shared" si="214"/>
        <v>10.575460896505115</v>
      </c>
      <c r="P597">
        <f t="shared" si="218"/>
        <v>9.8109227043021203</v>
      </c>
      <c r="Q597">
        <f t="shared" si="216"/>
        <v>10.06083645768692</v>
      </c>
      <c r="R597">
        <f t="shared" si="219"/>
        <v>9.3307551100308519</v>
      </c>
      <c r="S597">
        <f t="shared" si="219"/>
        <v>8.852448116481094</v>
      </c>
      <c r="T597">
        <f t="shared" si="200"/>
        <v>-2.3015148820474423</v>
      </c>
      <c r="U597">
        <f t="shared" si="201"/>
        <v>2.3015148820474423</v>
      </c>
      <c r="V597">
        <f t="shared" si="208"/>
        <v>9.1773928669484555</v>
      </c>
      <c r="W597">
        <f t="shared" si="202"/>
        <v>1.9765701315800808</v>
      </c>
      <c r="X597">
        <f t="shared" si="209"/>
        <v>9.6885380091412987</v>
      </c>
      <c r="Y597">
        <f t="shared" si="203"/>
        <v>1.4654249893872375</v>
      </c>
      <c r="Z597">
        <f t="shared" si="210"/>
        <v>9.8391128829006753</v>
      </c>
      <c r="AA597">
        <f t="shared" si="204"/>
        <v>1.3148501156278609</v>
      </c>
      <c r="AB597">
        <f t="shared" si="205"/>
        <v>2.3367629985285365</v>
      </c>
      <c r="AC597">
        <f t="shared" si="206"/>
        <v>9.0207188772754634</v>
      </c>
      <c r="AD597">
        <f t="shared" si="207"/>
        <v>2.1332441212530728</v>
      </c>
    </row>
    <row r="598" spans="1:30">
      <c r="A598">
        <v>596</v>
      </c>
      <c r="B598">
        <v>8.7812147714539108</v>
      </c>
      <c r="C598">
        <f t="shared" si="211"/>
        <v>9.8901811002432343</v>
      </c>
      <c r="D598">
        <f t="shared" si="211"/>
        <v>10.434859540389848</v>
      </c>
      <c r="E598">
        <f t="shared" si="212"/>
        <v>10.267734298433574</v>
      </c>
      <c r="F598">
        <f t="shared" si="215"/>
        <v>10.551953491624284</v>
      </c>
      <c r="G598">
        <f t="shared" si="215"/>
        <v>9.928567554064907</v>
      </c>
      <c r="H598">
        <f t="shared" si="215"/>
        <v>9.177332668801192</v>
      </c>
      <c r="I598">
        <f t="shared" si="198"/>
        <v>0.3961178973472812</v>
      </c>
      <c r="J598">
        <f t="shared" si="213"/>
        <v>10.467640116318417</v>
      </c>
      <c r="K598">
        <f t="shared" si="217"/>
        <v>10.213470193931498</v>
      </c>
      <c r="L598">
        <f t="shared" si="217"/>
        <v>9.3851020369824383</v>
      </c>
      <c r="M598">
        <f t="shared" si="217"/>
        <v>8.897543836007543</v>
      </c>
      <c r="N598">
        <f t="shared" si="199"/>
        <v>0.11632906455363212</v>
      </c>
      <c r="O598">
        <f t="shared" si="214"/>
        <v>10.130355047345516</v>
      </c>
      <c r="P598">
        <f t="shared" si="218"/>
        <v>10.140329975945617</v>
      </c>
      <c r="Q598">
        <f t="shared" si="216"/>
        <v>10.326207428522507</v>
      </c>
      <c r="R598">
        <f t="shared" si="219"/>
        <v>9.5360374622780544</v>
      </c>
      <c r="S598">
        <f t="shared" si="219"/>
        <v>8.9619839483972203</v>
      </c>
      <c r="T598">
        <f t="shared" si="200"/>
        <v>0.18076917694330952</v>
      </c>
      <c r="U598">
        <f t="shared" si="201"/>
        <v>-0.18076917694330952</v>
      </c>
      <c r="V598">
        <f t="shared" si="208"/>
        <v>9.375049880106463</v>
      </c>
      <c r="W598">
        <f t="shared" si="202"/>
        <v>-0.59383510865255218</v>
      </c>
      <c r="X598">
        <f t="shared" si="209"/>
        <v>9.9816230070187455</v>
      </c>
      <c r="Y598">
        <f t="shared" si="203"/>
        <v>-1.2004082355648347</v>
      </c>
      <c r="Z598">
        <f t="shared" si="210"/>
        <v>10.233567917589033</v>
      </c>
      <c r="AA598">
        <f t="shared" si="204"/>
        <v>-1.4523531461351222</v>
      </c>
      <c r="AB598">
        <f t="shared" si="205"/>
        <v>-4.1545228546089774E-2</v>
      </c>
      <c r="AC598">
        <f t="shared" si="206"/>
        <v>9.0686623585449357</v>
      </c>
      <c r="AD598">
        <f t="shared" si="207"/>
        <v>-0.28744758709102491</v>
      </c>
    </row>
    <row r="599" spans="1:30">
      <c r="A599">
        <v>597</v>
      </c>
      <c r="B599">
        <v>11.429522434608041</v>
      </c>
      <c r="C599">
        <f t="shared" si="211"/>
        <v>9.9675888849912226</v>
      </c>
      <c r="D599">
        <f t="shared" si="211"/>
        <v>9.857400524314663</v>
      </c>
      <c r="E599">
        <f t="shared" si="212"/>
        <v>9.5205256573134598</v>
      </c>
      <c r="F599">
        <f t="shared" si="215"/>
        <v>10.51297140489833</v>
      </c>
      <c r="G599">
        <f t="shared" si="215"/>
        <v>10.27637874069393</v>
      </c>
      <c r="H599">
        <f t="shared" si="215"/>
        <v>9.5309104153703075</v>
      </c>
      <c r="I599">
        <f t="shared" si="198"/>
        <v>-1.8986120192377332</v>
      </c>
      <c r="J599">
        <f t="shared" si="213"/>
        <v>9.896104416688658</v>
      </c>
      <c r="K599">
        <f t="shared" si="217"/>
        <v>10.405410198079288</v>
      </c>
      <c r="L599">
        <f t="shared" si="217"/>
        <v>9.7114803357163471</v>
      </c>
      <c r="M599">
        <f t="shared" si="217"/>
        <v>9.0458671535573565</v>
      </c>
      <c r="N599">
        <f t="shared" si="199"/>
        <v>-2.3836552810506841</v>
      </c>
      <c r="O599">
        <f t="shared" si="214"/>
        <v>10.202788020272534</v>
      </c>
      <c r="P599">
        <f t="shared" si="218"/>
        <v>10.237514352196209</v>
      </c>
      <c r="Q599">
        <f t="shared" si="216"/>
        <v>10.276419875663247</v>
      </c>
      <c r="R599">
        <f t="shared" si="219"/>
        <v>9.7814898839939151</v>
      </c>
      <c r="S599">
        <f t="shared" si="219"/>
        <v>9.0914378238158893</v>
      </c>
      <c r="T599">
        <f t="shared" si="200"/>
        <v>-2.3380846107921514</v>
      </c>
      <c r="U599">
        <f t="shared" si="201"/>
        <v>2.3380846107921514</v>
      </c>
      <c r="V599">
        <f t="shared" si="208"/>
        <v>9.3156663692412085</v>
      </c>
      <c r="W599">
        <f t="shared" si="202"/>
        <v>2.1138560653668321</v>
      </c>
      <c r="X599">
        <f t="shared" si="209"/>
        <v>9.7415413599057779</v>
      </c>
      <c r="Y599">
        <f t="shared" si="203"/>
        <v>1.6879810747022628</v>
      </c>
      <c r="Z599">
        <f t="shared" si="210"/>
        <v>9.7978619737484962</v>
      </c>
      <c r="AA599">
        <f t="shared" si="204"/>
        <v>1.6316604608595444</v>
      </c>
      <c r="AB599">
        <f t="shared" si="205"/>
        <v>2.6012024346080409</v>
      </c>
      <c r="AC599">
        <f t="shared" si="206"/>
        <v>9.1162412198218696</v>
      </c>
      <c r="AD599">
        <f t="shared" si="207"/>
        <v>2.313281214786171</v>
      </c>
    </row>
    <row r="600" spans="1:30">
      <c r="A600">
        <v>598</v>
      </c>
      <c r="B600">
        <v>11.616953652930126</v>
      </c>
      <c r="C600">
        <f t="shared" si="211"/>
        <v>10.105368603030975</v>
      </c>
      <c r="D600">
        <f t="shared" si="211"/>
        <v>9.9288849926172276</v>
      </c>
      <c r="E600">
        <f t="shared" si="212"/>
        <v>10.454900068196828</v>
      </c>
      <c r="F600">
        <f t="shared" si="215"/>
        <v>10.009041925998471</v>
      </c>
      <c r="G600">
        <f t="shared" si="215"/>
        <v>10.499397381701975</v>
      </c>
      <c r="H600">
        <f t="shared" si="215"/>
        <v>9.8967181755131293</v>
      </c>
      <c r="I600">
        <f t="shared" si="198"/>
        <v>-1.7202354774169972</v>
      </c>
      <c r="J600">
        <f t="shared" si="213"/>
        <v>9.9977748516371054</v>
      </c>
      <c r="K600">
        <f t="shared" si="217"/>
        <v>10.334700124167121</v>
      </c>
      <c r="L600">
        <f t="shared" si="217"/>
        <v>10.017228021384193</v>
      </c>
      <c r="M600">
        <f t="shared" si="217"/>
        <v>9.272051851295684</v>
      </c>
      <c r="N600">
        <f t="shared" si="199"/>
        <v>-2.3449018016344425</v>
      </c>
      <c r="O600">
        <f t="shared" si="214"/>
        <v>10.321610611895711</v>
      </c>
      <c r="P600">
        <f t="shared" si="218"/>
        <v>10.283396837495436</v>
      </c>
      <c r="Q600">
        <f t="shared" si="216"/>
        <v>10.346882945222603</v>
      </c>
      <c r="R600">
        <f t="shared" si="219"/>
        <v>9.9946914262238362</v>
      </c>
      <c r="S600">
        <f t="shared" si="219"/>
        <v>9.2565127432828334</v>
      </c>
      <c r="T600">
        <f t="shared" si="200"/>
        <v>-2.3604409096472931</v>
      </c>
      <c r="U600">
        <f t="shared" si="201"/>
        <v>2.3604409096472931</v>
      </c>
      <c r="V600">
        <f t="shared" si="208"/>
        <v>9.5270519757778924</v>
      </c>
      <c r="W600">
        <f t="shared" si="202"/>
        <v>2.0899016771522341</v>
      </c>
      <c r="X600">
        <f t="shared" si="209"/>
        <v>10.07913757484623</v>
      </c>
      <c r="Y600">
        <f t="shared" si="203"/>
        <v>1.5378160780838961</v>
      </c>
      <c r="Z600">
        <f t="shared" si="210"/>
        <v>10.287360112006359</v>
      </c>
      <c r="AA600">
        <f t="shared" si="204"/>
        <v>1.3295935409237671</v>
      </c>
      <c r="AB600">
        <f t="shared" si="205"/>
        <v>2.7830736529301259</v>
      </c>
      <c r="AC600">
        <f t="shared" si="206"/>
        <v>9.1634424533903616</v>
      </c>
      <c r="AD600">
        <f t="shared" si="207"/>
        <v>2.4535111995397649</v>
      </c>
    </row>
    <row r="601" spans="1:30">
      <c r="A601">
        <v>599</v>
      </c>
      <c r="B601">
        <v>8.7173606992029651</v>
      </c>
      <c r="C601">
        <f t="shared" si="211"/>
        <v>11.523238043769084</v>
      </c>
      <c r="D601">
        <f t="shared" si="211"/>
        <v>10.036478744011099</v>
      </c>
      <c r="E601">
        <f t="shared" si="212"/>
        <v>10.609230286330693</v>
      </c>
      <c r="F601">
        <f t="shared" si="215"/>
        <v>10.08105334131462</v>
      </c>
      <c r="G601">
        <f t="shared" si="215"/>
        <v>10.357988940840361</v>
      </c>
      <c r="H601">
        <f t="shared" si="215"/>
        <v>10.234781225486937</v>
      </c>
      <c r="I601">
        <f t="shared" si="198"/>
        <v>1.5174205262839724</v>
      </c>
      <c r="J601">
        <f t="shared" si="213"/>
        <v>10.745413464380153</v>
      </c>
      <c r="K601">
        <f t="shared" si="217"/>
        <v>10.198088688910859</v>
      </c>
      <c r="L601">
        <f t="shared" si="217"/>
        <v>10.221326432671317</v>
      </c>
      <c r="M601">
        <f t="shared" si="217"/>
        <v>9.5497491868786231</v>
      </c>
      <c r="N601">
        <f t="shared" si="199"/>
        <v>0.83238848767565798</v>
      </c>
      <c r="O601">
        <f t="shared" si="214"/>
        <v>10.339802911344716</v>
      </c>
      <c r="P601">
        <f t="shared" si="218"/>
        <v>10.278174178108037</v>
      </c>
      <c r="Q601">
        <f t="shared" si="216"/>
        <v>10.438482292382133</v>
      </c>
      <c r="R601">
        <f t="shared" si="219"/>
        <v>10.173370064075101</v>
      </c>
      <c r="S601">
        <f t="shared" si="219"/>
        <v>9.448102319485951</v>
      </c>
      <c r="T601">
        <f t="shared" si="200"/>
        <v>0.73074162028298595</v>
      </c>
      <c r="U601">
        <f t="shared" si="201"/>
        <v>-0.73074162028298595</v>
      </c>
      <c r="V601">
        <f t="shared" si="208"/>
        <v>9.7360421434931155</v>
      </c>
      <c r="W601">
        <f t="shared" si="202"/>
        <v>-1.0186814442901504</v>
      </c>
      <c r="X601">
        <f t="shared" si="209"/>
        <v>10.38670079046301</v>
      </c>
      <c r="Y601">
        <f t="shared" si="203"/>
        <v>-1.6693400912600449</v>
      </c>
      <c r="Z601">
        <f t="shared" si="210"/>
        <v>10.68623817428349</v>
      </c>
      <c r="AA601">
        <f t="shared" si="204"/>
        <v>-1.9688774750805251</v>
      </c>
      <c r="AB601">
        <f t="shared" si="205"/>
        <v>-0.12207930079703466</v>
      </c>
      <c r="AC601">
        <f t="shared" si="206"/>
        <v>9.2102531564286458</v>
      </c>
      <c r="AD601">
        <f t="shared" si="207"/>
        <v>-0.49289245722568076</v>
      </c>
    </row>
    <row r="602" spans="1:30">
      <c r="A602">
        <v>600</v>
      </c>
      <c r="B602">
        <v>8.0764748811735991</v>
      </c>
      <c r="C602">
        <f t="shared" si="211"/>
        <v>10.167157176066546</v>
      </c>
      <c r="D602">
        <f t="shared" si="211"/>
        <v>10.814303323400029</v>
      </c>
      <c r="E602">
        <f t="shared" si="212"/>
        <v>10.587945595580377</v>
      </c>
      <c r="F602">
        <f t="shared" si="215"/>
        <v>10.194885337280327</v>
      </c>
      <c r="G602">
        <f t="shared" si="215"/>
        <v>10.201022224070472</v>
      </c>
      <c r="H602">
        <f t="shared" si="215"/>
        <v>10.377921687745422</v>
      </c>
      <c r="I602">
        <f t="shared" si="198"/>
        <v>2.301446806571823</v>
      </c>
      <c r="J602">
        <f t="shared" si="213"/>
        <v>10.13626288954876</v>
      </c>
      <c r="K602">
        <f t="shared" si="217"/>
        <v>10.276733212256083</v>
      </c>
      <c r="L602">
        <f t="shared" si="217"/>
        <v>10.287917301272191</v>
      </c>
      <c r="M602">
        <f t="shared" si="217"/>
        <v>9.8337842066885734</v>
      </c>
      <c r="N602">
        <f t="shared" si="199"/>
        <v>1.7573093255149743</v>
      </c>
      <c r="O602">
        <f t="shared" si="214"/>
        <v>9.7243052878737277</v>
      </c>
      <c r="P602">
        <f t="shared" si="218"/>
        <v>10.31400349747272</v>
      </c>
      <c r="Q602">
        <f t="shared" si="216"/>
        <v>10.054235626446919</v>
      </c>
      <c r="R602">
        <f t="shared" si="219"/>
        <v>10.266185907237798</v>
      </c>
      <c r="S602">
        <f t="shared" si="219"/>
        <v>9.6572103199391908</v>
      </c>
      <c r="T602">
        <f t="shared" si="200"/>
        <v>1.5807354387655916</v>
      </c>
      <c r="U602">
        <f t="shared" si="201"/>
        <v>-1.5807354387655916</v>
      </c>
      <c r="V602">
        <f t="shared" si="208"/>
        <v>9.6341739990640995</v>
      </c>
      <c r="W602">
        <f t="shared" si="202"/>
        <v>-1.5576991178905004</v>
      </c>
      <c r="X602">
        <f t="shared" si="209"/>
        <v>10.052832772211001</v>
      </c>
      <c r="Y602">
        <f t="shared" si="203"/>
        <v>-1.9763578910374022</v>
      </c>
      <c r="Z602">
        <f t="shared" si="210"/>
        <v>10.095574931759332</v>
      </c>
      <c r="AA602">
        <f t="shared" si="204"/>
        <v>-2.0191000505857328</v>
      </c>
      <c r="AB602">
        <f t="shared" si="205"/>
        <v>-0.76852511882640151</v>
      </c>
      <c r="AC602">
        <f t="shared" si="206"/>
        <v>9.2566605345931698</v>
      </c>
      <c r="AD602">
        <f t="shared" si="207"/>
        <v>-1.1801856534195707</v>
      </c>
    </row>
    <row r="603" spans="1:30">
      <c r="A603">
        <v>601</v>
      </c>
      <c r="B603">
        <v>8.5920662540390929</v>
      </c>
      <c r="C603">
        <f t="shared" si="211"/>
        <v>8.396917790188283</v>
      </c>
      <c r="D603">
        <f t="shared" si="211"/>
        <v>10.845197609917815</v>
      </c>
      <c r="E603">
        <f t="shared" si="212"/>
        <v>9.4702630777688963</v>
      </c>
      <c r="F603">
        <f t="shared" si="215"/>
        <v>10.550691983369299</v>
      </c>
      <c r="G603">
        <f t="shared" si="215"/>
        <v>10.094993534864471</v>
      </c>
      <c r="H603">
        <f t="shared" si="215"/>
        <v>10.352802848870937</v>
      </c>
      <c r="I603">
        <f t="shared" si="198"/>
        <v>1.7607365948318439</v>
      </c>
      <c r="J603">
        <f t="shared" si="213"/>
        <v>9.9600779169786833</v>
      </c>
      <c r="K603">
        <f t="shared" si="217"/>
        <v>10.193888905563668</v>
      </c>
      <c r="L603">
        <f t="shared" si="217"/>
        <v>10.303733055853337</v>
      </c>
      <c r="M603">
        <f t="shared" si="217"/>
        <v>10.059488022761013</v>
      </c>
      <c r="N603">
        <f t="shared" si="199"/>
        <v>1.4674217687219198</v>
      </c>
      <c r="O603">
        <f t="shared" si="214"/>
        <v>9.6864755843907666</v>
      </c>
      <c r="P603">
        <f t="shared" si="218"/>
        <v>10.14377237574644</v>
      </c>
      <c r="Q603">
        <f t="shared" si="216"/>
        <v>9.9625815729828631</v>
      </c>
      <c r="R603">
        <f t="shared" si="219"/>
        <v>10.250510770987388</v>
      </c>
      <c r="S603">
        <f t="shared" si="219"/>
        <v>9.8470883089732606</v>
      </c>
      <c r="T603">
        <f t="shared" si="200"/>
        <v>1.2550220549341677</v>
      </c>
      <c r="U603">
        <f t="shared" si="201"/>
        <v>-1.2550220549341677</v>
      </c>
      <c r="V603">
        <f t="shared" si="208"/>
        <v>9.4784040872750488</v>
      </c>
      <c r="W603">
        <f t="shared" si="202"/>
        <v>-0.88633783323595594</v>
      </c>
      <c r="X603">
        <f t="shared" si="209"/>
        <v>9.6575611940035202</v>
      </c>
      <c r="Y603">
        <f t="shared" si="203"/>
        <v>-1.0654949399644273</v>
      </c>
      <c r="Z603">
        <f t="shared" si="210"/>
        <v>9.4898449165836123</v>
      </c>
      <c r="AA603">
        <f t="shared" si="204"/>
        <v>-0.89777866254451943</v>
      </c>
      <c r="AB603">
        <f t="shared" si="205"/>
        <v>-0.25849374596090691</v>
      </c>
      <c r="AC603">
        <f t="shared" si="206"/>
        <v>9.3026519055724588</v>
      </c>
      <c r="AD603">
        <f t="shared" si="207"/>
        <v>-0.71058565153336595</v>
      </c>
    </row>
    <row r="604" spans="1:30">
      <c r="A604">
        <v>602</v>
      </c>
      <c r="B604">
        <v>11.074450290099</v>
      </c>
      <c r="C604">
        <f t="shared" si="211"/>
        <v>8.334270567606346</v>
      </c>
      <c r="D604">
        <f t="shared" si="211"/>
        <v>9.2820374831274144</v>
      </c>
      <c r="E604">
        <f t="shared" si="212"/>
        <v>8.4619672781385535</v>
      </c>
      <c r="F604">
        <f t="shared" si="215"/>
        <v>10.222479653226657</v>
      </c>
      <c r="G604">
        <f t="shared" si="215"/>
        <v>10.275543553988081</v>
      </c>
      <c r="H604">
        <f t="shared" si="215"/>
        <v>10.218001566591768</v>
      </c>
      <c r="I604">
        <f t="shared" si="198"/>
        <v>-0.85644872350723134</v>
      </c>
      <c r="J604">
        <f t="shared" si="213"/>
        <v>9.2507138718364459</v>
      </c>
      <c r="K604">
        <f t="shared" si="217"/>
        <v>10.209882280636176</v>
      </c>
      <c r="L604">
        <f t="shared" si="217"/>
        <v>10.250852732724432</v>
      </c>
      <c r="M604">
        <f t="shared" si="217"/>
        <v>10.20755120279526</v>
      </c>
      <c r="N604">
        <f t="shared" si="199"/>
        <v>-0.86689908730373944</v>
      </c>
      <c r="O604">
        <f t="shared" si="214"/>
        <v>9.6154611554889566</v>
      </c>
      <c r="P604">
        <f t="shared" si="218"/>
        <v>10.054996483155492</v>
      </c>
      <c r="Q604">
        <f t="shared" si="216"/>
        <v>9.5355987822346222</v>
      </c>
      <c r="R604">
        <f t="shared" si="219"/>
        <v>10.234134956870045</v>
      </c>
      <c r="S604">
        <f t="shared" si="219"/>
        <v>10.000380919132683</v>
      </c>
      <c r="T604">
        <f t="shared" si="200"/>
        <v>-1.0740693709663169</v>
      </c>
      <c r="U604">
        <f t="shared" si="201"/>
        <v>1.0740693709663169</v>
      </c>
      <c r="V604">
        <f t="shared" si="208"/>
        <v>9.3897703039514528</v>
      </c>
      <c r="W604">
        <f t="shared" si="202"/>
        <v>1.6846799861475468</v>
      </c>
      <c r="X604">
        <f t="shared" si="209"/>
        <v>9.444462206010634</v>
      </c>
      <c r="Y604">
        <f t="shared" si="203"/>
        <v>1.6299880840883656</v>
      </c>
      <c r="Z604">
        <f t="shared" si="210"/>
        <v>9.2205113178202573</v>
      </c>
      <c r="AA604">
        <f t="shared" si="204"/>
        <v>1.8539389722787423</v>
      </c>
      <c r="AB604">
        <f t="shared" si="205"/>
        <v>2.218330290098999</v>
      </c>
      <c r="AC604">
        <f t="shared" si="206"/>
        <v>9.3482147026099138</v>
      </c>
      <c r="AD604">
        <f t="shared" si="207"/>
        <v>1.7262355874890858</v>
      </c>
    </row>
    <row r="605" spans="1:30">
      <c r="A605">
        <v>603</v>
      </c>
      <c r="B605">
        <v>9.4446098260876532</v>
      </c>
      <c r="C605">
        <f t="shared" si="211"/>
        <v>9.8332582720690453</v>
      </c>
      <c r="D605">
        <f t="shared" si="211"/>
        <v>8.3655941788973145</v>
      </c>
      <c r="E605">
        <f t="shared" si="212"/>
        <v>9.2476638084372311</v>
      </c>
      <c r="F605">
        <f t="shared" si="215"/>
        <v>9.5067253171626103</v>
      </c>
      <c r="G605">
        <f t="shared" si="215"/>
        <v>10.322685657958761</v>
      </c>
      <c r="H605">
        <f t="shared" si="215"/>
        <v>10.19051977097434</v>
      </c>
      <c r="I605">
        <f t="shared" si="198"/>
        <v>0.74590994488668727</v>
      </c>
      <c r="J605">
        <f t="shared" si="213"/>
        <v>9.1150880311286642</v>
      </c>
      <c r="K605">
        <f t="shared" si="217"/>
        <v>10.02311703568601</v>
      </c>
      <c r="L605">
        <f t="shared" si="217"/>
        <v>10.219648271841695</v>
      </c>
      <c r="M605">
        <f t="shared" si="217"/>
        <v>10.265957380630319</v>
      </c>
      <c r="N605">
        <f t="shared" si="199"/>
        <v>0.82134755454266539</v>
      </c>
      <c r="O605">
        <f t="shared" si="214"/>
        <v>9.180992390120462</v>
      </c>
      <c r="P605">
        <f t="shared" si="218"/>
        <v>9.9375311101987762</v>
      </c>
      <c r="Q605">
        <f t="shared" si="216"/>
        <v>9.9178047020088052</v>
      </c>
      <c r="R605">
        <f t="shared" si="219"/>
        <v>10.102366849155398</v>
      </c>
      <c r="S605">
        <f t="shared" si="219"/>
        <v>10.11673050156468</v>
      </c>
      <c r="T605">
        <f t="shared" si="200"/>
        <v>0.67212067547702681</v>
      </c>
      <c r="U605">
        <f t="shared" si="201"/>
        <v>-0.67212067547702681</v>
      </c>
      <c r="V605">
        <f t="shared" si="208"/>
        <v>9.5582383025662079</v>
      </c>
      <c r="W605">
        <f t="shared" si="202"/>
        <v>-0.11362847647855467</v>
      </c>
      <c r="X605">
        <f t="shared" si="209"/>
        <v>9.7704598228283075</v>
      </c>
      <c r="Y605">
        <f t="shared" si="203"/>
        <v>-0.32584999674065429</v>
      </c>
      <c r="Z605">
        <f t="shared" si="210"/>
        <v>9.7766930095038802</v>
      </c>
      <c r="AA605">
        <f t="shared" si="204"/>
        <v>-0.332083183416227</v>
      </c>
      <c r="AB605">
        <f t="shared" si="205"/>
        <v>0.58292982608765342</v>
      </c>
      <c r="AC605">
        <f t="shared" si="206"/>
        <v>9.3933364779945148</v>
      </c>
      <c r="AD605">
        <f t="shared" si="207"/>
        <v>5.1273348093138438E-2</v>
      </c>
    </row>
    <row r="606" spans="1:30">
      <c r="A606">
        <v>604</v>
      </c>
      <c r="B606">
        <v>9.5877642293374166</v>
      </c>
      <c r="C606">
        <f t="shared" si="211"/>
        <v>10.259530058093326</v>
      </c>
      <c r="D606">
        <f t="shared" si="211"/>
        <v>9.0837644198376957</v>
      </c>
      <c r="E606">
        <f t="shared" si="212"/>
        <v>9.7037087900752486</v>
      </c>
      <c r="F606">
        <f t="shared" si="215"/>
        <v>9.0599647214482264</v>
      </c>
      <c r="G606">
        <f t="shared" si="215"/>
        <v>10.093298984586189</v>
      </c>
      <c r="H606">
        <f t="shared" si="215"/>
        <v>10.231074248937103</v>
      </c>
      <c r="I606">
        <f t="shared" si="198"/>
        <v>0.64331001959968681</v>
      </c>
      <c r="J606">
        <f t="shared" si="213"/>
        <v>9.2969003128498358</v>
      </c>
      <c r="K606">
        <f t="shared" si="217"/>
        <v>9.6155356773731384</v>
      </c>
      <c r="L606">
        <f t="shared" si="217"/>
        <v>10.175905358535484</v>
      </c>
      <c r="M606">
        <f t="shared" si="217"/>
        <v>10.265537840422915</v>
      </c>
      <c r="N606">
        <f t="shared" si="199"/>
        <v>0.67777361108549883</v>
      </c>
      <c r="O606">
        <f t="shared" si="214"/>
        <v>9.3550730961473523</v>
      </c>
      <c r="P606">
        <f t="shared" si="218"/>
        <v>9.709407465843725</v>
      </c>
      <c r="Q606">
        <f t="shared" si="216"/>
        <v>9.5869859339220724</v>
      </c>
      <c r="R606">
        <f t="shared" si="219"/>
        <v>10.042597653546323</v>
      </c>
      <c r="S606">
        <f t="shared" si="219"/>
        <v>10.170209995758261</v>
      </c>
      <c r="T606">
        <f t="shared" si="200"/>
        <v>0.58244576642084489</v>
      </c>
      <c r="U606">
        <f t="shared" si="201"/>
        <v>-0.58244576642084489</v>
      </c>
      <c r="V606">
        <f t="shared" si="208"/>
        <v>9.5468754549183519</v>
      </c>
      <c r="W606">
        <f t="shared" si="202"/>
        <v>4.0888774419064688E-2</v>
      </c>
      <c r="X606">
        <f t="shared" si="209"/>
        <v>9.705289823480177</v>
      </c>
      <c r="Y606">
        <f t="shared" si="203"/>
        <v>-0.11752559414276043</v>
      </c>
      <c r="Z606">
        <f t="shared" si="210"/>
        <v>9.6770680544790117</v>
      </c>
      <c r="AA606">
        <f t="shared" si="204"/>
        <v>-8.9303825141595183E-2</v>
      </c>
      <c r="AB606">
        <f t="shared" si="205"/>
        <v>0.72052422933741589</v>
      </c>
      <c r="AC606">
        <f t="shared" si="206"/>
        <v>9.4380049065183993</v>
      </c>
      <c r="AD606">
        <f t="shared" si="207"/>
        <v>0.14975932281901727</v>
      </c>
    </row>
    <row r="607" spans="1:30">
      <c r="A607">
        <v>605</v>
      </c>
      <c r="B607">
        <v>11.159818744619262</v>
      </c>
      <c r="C607">
        <f t="shared" si="211"/>
        <v>9.5161870277125349</v>
      </c>
      <c r="D607">
        <f t="shared" si="211"/>
        <v>10.046394165081185</v>
      </c>
      <c r="E607">
        <f t="shared" si="212"/>
        <v>10.035608115174689</v>
      </c>
      <c r="F607">
        <f t="shared" si="215"/>
        <v>9.1377799588836766</v>
      </c>
      <c r="G607">
        <f t="shared" si="215"/>
        <v>9.596389897279165</v>
      </c>
      <c r="H607">
        <f t="shared" si="215"/>
        <v>10.230509398844346</v>
      </c>
      <c r="I607">
        <f t="shared" si="198"/>
        <v>-0.9293093457749162</v>
      </c>
      <c r="J607">
        <f t="shared" si="213"/>
        <v>9.6747226498907892</v>
      </c>
      <c r="K607">
        <f t="shared" si="217"/>
        <v>9.4056950331984073</v>
      </c>
      <c r="L607">
        <f t="shared" si="217"/>
        <v>10.010605974814748</v>
      </c>
      <c r="M607">
        <f t="shared" si="217"/>
        <v>10.237534854738737</v>
      </c>
      <c r="N607">
        <f t="shared" si="199"/>
        <v>-0.92228388988052501</v>
      </c>
      <c r="O607">
        <f t="shared" si="214"/>
        <v>9.9717418688364834</v>
      </c>
      <c r="P607">
        <f t="shared" si="218"/>
        <v>9.5124615028042534</v>
      </c>
      <c r="Q607">
        <f t="shared" si="216"/>
        <v>9.2487876966566223</v>
      </c>
      <c r="R607">
        <f t="shared" si="219"/>
        <v>9.9159481516629011</v>
      </c>
      <c r="S607">
        <f t="shared" si="219"/>
        <v>10.178194366978675</v>
      </c>
      <c r="T607">
        <f t="shared" si="200"/>
        <v>-0.9816243776405873</v>
      </c>
      <c r="U607">
        <f t="shared" si="201"/>
        <v>0.9816243776405873</v>
      </c>
      <c r="V607">
        <f t="shared" si="208"/>
        <v>9.5509643323602589</v>
      </c>
      <c r="W607">
        <f t="shared" si="202"/>
        <v>1.6088544122590029</v>
      </c>
      <c r="X607">
        <f t="shared" si="209"/>
        <v>9.6817847046516246</v>
      </c>
      <c r="Y607">
        <f t="shared" si="203"/>
        <v>1.4780340399676373</v>
      </c>
      <c r="Z607">
        <f t="shared" si="210"/>
        <v>9.6502769069365328</v>
      </c>
      <c r="AA607">
        <f t="shared" si="204"/>
        <v>1.509541837682729</v>
      </c>
      <c r="AB607">
        <f t="shared" si="205"/>
        <v>2.287018744619262</v>
      </c>
      <c r="AC607">
        <f t="shared" si="206"/>
        <v>9.4822077889004905</v>
      </c>
      <c r="AD607">
        <f t="shared" si="207"/>
        <v>1.6776109557187713</v>
      </c>
    </row>
    <row r="608" spans="1:30">
      <c r="A608">
        <v>606</v>
      </c>
      <c r="B608">
        <v>7.8157414770737015</v>
      </c>
      <c r="C608">
        <f t="shared" si="211"/>
        <v>10.373791486978339</v>
      </c>
      <c r="D608">
        <f t="shared" si="211"/>
        <v>9.8878585429029293</v>
      </c>
      <c r="E608">
        <f t="shared" si="212"/>
        <v>10.064064266681443</v>
      </c>
      <c r="F608">
        <f t="shared" si="215"/>
        <v>9.6623269045623896</v>
      </c>
      <c r="G608">
        <f t="shared" si="215"/>
        <v>9.2348233324981717</v>
      </c>
      <c r="H608">
        <f t="shared" si="215"/>
        <v>10.004124846608038</v>
      </c>
      <c r="I608">
        <f t="shared" si="198"/>
        <v>2.1883833695343364</v>
      </c>
      <c r="J608">
        <f t="shared" si="213"/>
        <v>10.316660772535833</v>
      </c>
      <c r="K608">
        <f t="shared" si="217"/>
        <v>9.3343562164264338</v>
      </c>
      <c r="L608">
        <f t="shared" si="217"/>
        <v>9.8135575067234324</v>
      </c>
      <c r="M608">
        <f t="shared" si="217"/>
        <v>10.164253084479089</v>
      </c>
      <c r="N608">
        <f t="shared" si="199"/>
        <v>2.3485116074053876</v>
      </c>
      <c r="O608">
        <f t="shared" si="214"/>
        <v>9.816476913443406</v>
      </c>
      <c r="P608">
        <f t="shared" si="218"/>
        <v>9.5619488189968038</v>
      </c>
      <c r="Q608">
        <f t="shared" si="216"/>
        <v>9.6558640375593381</v>
      </c>
      <c r="R608">
        <f t="shared" si="219"/>
        <v>9.7176657190419835</v>
      </c>
      <c r="S608">
        <f t="shared" si="219"/>
        <v>10.135290714909976</v>
      </c>
      <c r="T608">
        <f t="shared" si="200"/>
        <v>2.3195492378362745</v>
      </c>
      <c r="U608">
        <f t="shared" si="201"/>
        <v>-2.3195492378362745</v>
      </c>
      <c r="V608">
        <f t="shared" si="208"/>
        <v>9.7118497735861595</v>
      </c>
      <c r="W608">
        <f t="shared" si="202"/>
        <v>-1.896108296512458</v>
      </c>
      <c r="X608">
        <f t="shared" si="209"/>
        <v>9.977391512645152</v>
      </c>
      <c r="Y608">
        <f t="shared" si="203"/>
        <v>-2.1616500355714505</v>
      </c>
      <c r="Z608">
        <f t="shared" si="210"/>
        <v>10.103139458241351</v>
      </c>
      <c r="AA608">
        <f t="shared" si="204"/>
        <v>-2.2873979811676497</v>
      </c>
      <c r="AB608">
        <f t="shared" si="205"/>
        <v>-1.0626185229262992</v>
      </c>
      <c r="AC608">
        <f t="shared" si="206"/>
        <v>9.5259330551750772</v>
      </c>
      <c r="AD608">
        <f t="shared" si="207"/>
        <v>-1.7101915781013757</v>
      </c>
    </row>
    <row r="609" spans="1:30">
      <c r="A609">
        <v>607</v>
      </c>
      <c r="B609">
        <v>10.857440422161343</v>
      </c>
      <c r="C609">
        <f t="shared" si="211"/>
        <v>9.4877801108464812</v>
      </c>
      <c r="D609">
        <f t="shared" si="211"/>
        <v>9.944989257345437</v>
      </c>
      <c r="E609">
        <f t="shared" si="212"/>
        <v>9.5211081503434603</v>
      </c>
      <c r="F609">
        <f t="shared" si="215"/>
        <v>9.9344603906437925</v>
      </c>
      <c r="G609">
        <f t="shared" si="215"/>
        <v>9.2866905282980969</v>
      </c>
      <c r="H609">
        <f t="shared" si="215"/>
        <v>9.6415040714545075</v>
      </c>
      <c r="I609">
        <f t="shared" si="198"/>
        <v>-1.2159363507068353</v>
      </c>
      <c r="J609">
        <f t="shared" si="213"/>
        <v>9.501983569279508</v>
      </c>
      <c r="K609">
        <f t="shared" si="217"/>
        <v>9.6008429416012806</v>
      </c>
      <c r="L609">
        <f t="shared" si="217"/>
        <v>9.5946759906709982</v>
      </c>
      <c r="M609">
        <f t="shared" si="217"/>
        <v>10.05492927797884</v>
      </c>
      <c r="N609">
        <f t="shared" si="199"/>
        <v>-0.80251114418250324</v>
      </c>
      <c r="O609">
        <f t="shared" si="214"/>
        <v>9.7730749398558743</v>
      </c>
      <c r="P609">
        <f t="shared" si="218"/>
        <v>9.587949084807331</v>
      </c>
      <c r="Q609">
        <f t="shared" si="216"/>
        <v>9.6124084702093526</v>
      </c>
      <c r="R609">
        <f t="shared" si="219"/>
        <v>9.6512704542273866</v>
      </c>
      <c r="S609">
        <f t="shared" si="219"/>
        <v>10.043870683544005</v>
      </c>
      <c r="T609">
        <f t="shared" si="200"/>
        <v>-0.81356973861733728</v>
      </c>
      <c r="U609">
        <f t="shared" si="201"/>
        <v>0.81356973861733728</v>
      </c>
      <c r="V609">
        <f t="shared" si="208"/>
        <v>9.522238943934914</v>
      </c>
      <c r="W609">
        <f t="shared" si="202"/>
        <v>1.3352014782264288</v>
      </c>
      <c r="X609">
        <f t="shared" si="209"/>
        <v>9.5450615055308621</v>
      </c>
      <c r="Y609">
        <f t="shared" si="203"/>
        <v>1.3123789166304807</v>
      </c>
      <c r="Z609">
        <f t="shared" si="210"/>
        <v>9.4169200638910571</v>
      </c>
      <c r="AA609">
        <f t="shared" si="204"/>
        <v>1.4405203582702857</v>
      </c>
      <c r="AB609">
        <f t="shared" si="205"/>
        <v>1.9735204221613429</v>
      </c>
      <c r="AC609">
        <f t="shared" si="206"/>
        <v>9.5691687680445305</v>
      </c>
      <c r="AD609">
        <f t="shared" si="207"/>
        <v>1.2882716541168122</v>
      </c>
    </row>
    <row r="610" spans="1:30">
      <c r="A610">
        <v>608</v>
      </c>
      <c r="B610">
        <v>10.715542895146994</v>
      </c>
      <c r="C610">
        <f t="shared" si="211"/>
        <v>9.3365909496175217</v>
      </c>
      <c r="D610">
        <f t="shared" si="211"/>
        <v>9.9307857989124102</v>
      </c>
      <c r="E610">
        <f t="shared" si="212"/>
        <v>9.9443335479514356</v>
      </c>
      <c r="F610">
        <f t="shared" si="215"/>
        <v>9.8735935107331958</v>
      </c>
      <c r="G610">
        <f t="shared" si="215"/>
        <v>9.5781890846966196</v>
      </c>
      <c r="H610">
        <f t="shared" si="215"/>
        <v>9.3726345860251445</v>
      </c>
      <c r="I610">
        <f t="shared" si="198"/>
        <v>-1.3429083091218494</v>
      </c>
      <c r="J610">
        <f t="shared" si="213"/>
        <v>9.8551912182979304</v>
      </c>
      <c r="K610">
        <f t="shared" si="217"/>
        <v>9.697566826138992</v>
      </c>
      <c r="L610">
        <f t="shared" si="217"/>
        <v>9.4891074671498146</v>
      </c>
      <c r="M610">
        <f t="shared" si="217"/>
        <v>9.8986862076861666</v>
      </c>
      <c r="N610">
        <f t="shared" si="199"/>
        <v>-0.8168566874608274</v>
      </c>
      <c r="O610">
        <f t="shared" si="214"/>
        <v>10.027261553667744</v>
      </c>
      <c r="P610">
        <f t="shared" si="218"/>
        <v>9.6194718416807152</v>
      </c>
      <c r="Q610">
        <f t="shared" si="216"/>
        <v>9.9899708315630633</v>
      </c>
      <c r="R610">
        <f t="shared" si="219"/>
        <v>9.5929082704318027</v>
      </c>
      <c r="S610">
        <f t="shared" si="219"/>
        <v>9.9439972974173401</v>
      </c>
      <c r="T610">
        <f t="shared" si="200"/>
        <v>-0.77154559772965392</v>
      </c>
      <c r="U610">
        <f t="shared" si="201"/>
        <v>0.77154559772965392</v>
      </c>
      <c r="V610">
        <f t="shared" si="208"/>
        <v>9.655759091757556</v>
      </c>
      <c r="W610">
        <f t="shared" si="202"/>
        <v>1.059783803389438</v>
      </c>
      <c r="X610">
        <f t="shared" si="209"/>
        <v>9.8075372888569579</v>
      </c>
      <c r="Y610">
        <f t="shared" si="203"/>
        <v>0.90800560629003613</v>
      </c>
      <c r="Z610">
        <f t="shared" si="210"/>
        <v>9.8490761713721433</v>
      </c>
      <c r="AA610">
        <f t="shared" si="204"/>
        <v>0.86646672377485068</v>
      </c>
      <c r="AB610">
        <f t="shared" si="205"/>
        <v>1.8260628951469933</v>
      </c>
      <c r="AC610">
        <f t="shared" si="206"/>
        <v>9.6119031261951164</v>
      </c>
      <c r="AD610">
        <f t="shared" si="207"/>
        <v>1.1036397689518775</v>
      </c>
    </row>
    <row r="611" spans="1:30">
      <c r="A611">
        <v>609</v>
      </c>
      <c r="B611">
        <v>11.151199967333877</v>
      </c>
      <c r="C611">
        <f t="shared" si="211"/>
        <v>10.786491658654167</v>
      </c>
      <c r="D611">
        <f t="shared" si="211"/>
        <v>9.4121855302320014</v>
      </c>
      <c r="E611">
        <f t="shared" si="212"/>
        <v>9.7962415981273452</v>
      </c>
      <c r="F611">
        <f t="shared" si="215"/>
        <v>9.8431686549921125</v>
      </c>
      <c r="G611">
        <f t="shared" si="215"/>
        <v>9.8234602686464587</v>
      </c>
      <c r="H611">
        <f t="shared" si="215"/>
        <v>9.3665676484976288</v>
      </c>
      <c r="I611">
        <f t="shared" si="198"/>
        <v>-1.7846323188362483</v>
      </c>
      <c r="J611">
        <f t="shared" si="213"/>
        <v>10.137135884750325</v>
      </c>
      <c r="K611">
        <f t="shared" si="217"/>
        <v>9.8371395525010161</v>
      </c>
      <c r="L611">
        <f t="shared" si="217"/>
        <v>9.5096152543412771</v>
      </c>
      <c r="M611">
        <f t="shared" si="217"/>
        <v>9.7269867348397483</v>
      </c>
      <c r="N611">
        <f t="shared" si="199"/>
        <v>-1.4242132324941288</v>
      </c>
      <c r="O611">
        <f t="shared" si="214"/>
        <v>10.339948701267037</v>
      </c>
      <c r="P611">
        <f t="shared" si="218"/>
        <v>9.7887256743901716</v>
      </c>
      <c r="Q611">
        <f t="shared" si="216"/>
        <v>9.9301529324043951</v>
      </c>
      <c r="R611">
        <f t="shared" si="219"/>
        <v>9.6686369453198768</v>
      </c>
      <c r="S611">
        <f t="shared" si="219"/>
        <v>9.837126183010966</v>
      </c>
      <c r="T611">
        <f t="shared" si="200"/>
        <v>-1.3140737843229111</v>
      </c>
      <c r="U611">
        <f t="shared" si="201"/>
        <v>1.3140737843229111</v>
      </c>
      <c r="V611">
        <f t="shared" si="208"/>
        <v>9.7617374720964989</v>
      </c>
      <c r="W611">
        <f t="shared" si="202"/>
        <v>1.3894624952373782</v>
      </c>
      <c r="X611">
        <f t="shared" si="209"/>
        <v>9.9891384101149647</v>
      </c>
      <c r="Y611">
        <f t="shared" si="203"/>
        <v>1.1620615572189124</v>
      </c>
      <c r="Z611">
        <f t="shared" si="210"/>
        <v>10.109016188504599</v>
      </c>
      <c r="AA611">
        <f t="shared" si="204"/>
        <v>1.042183778829278</v>
      </c>
      <c r="AB611">
        <f t="shared" si="205"/>
        <v>2.2561599673338772</v>
      </c>
      <c r="AC611">
        <f t="shared" si="206"/>
        <v>9.6541244675750963</v>
      </c>
      <c r="AD611">
        <f t="shared" si="207"/>
        <v>1.4970754997587807</v>
      </c>
    </row>
    <row r="612" spans="1:30">
      <c r="A612">
        <v>610</v>
      </c>
      <c r="B612">
        <v>9.9193256552181506</v>
      </c>
      <c r="C612">
        <f t="shared" si="211"/>
        <v>10.933371431240435</v>
      </c>
      <c r="D612">
        <f t="shared" si="211"/>
        <v>10.061541304135844</v>
      </c>
      <c r="E612">
        <f t="shared" si="212"/>
        <v>10.908061094880736</v>
      </c>
      <c r="F612">
        <f t="shared" si="215"/>
        <v>9.753894432140747</v>
      </c>
      <c r="G612">
        <f t="shared" si="215"/>
        <v>9.883740852123033</v>
      </c>
      <c r="H612">
        <f t="shared" si="215"/>
        <v>9.5627799605470596</v>
      </c>
      <c r="I612">
        <f t="shared" si="198"/>
        <v>-0.35654569467109098</v>
      </c>
      <c r="J612">
        <f t="shared" si="213"/>
        <v>10.134981190428977</v>
      </c>
      <c r="K612">
        <f t="shared" si="217"/>
        <v>9.9527428612158992</v>
      </c>
      <c r="L612">
        <f t="shared" si="217"/>
        <v>9.6174763841669311</v>
      </c>
      <c r="M612">
        <f t="shared" si="217"/>
        <v>9.6017390547213815</v>
      </c>
      <c r="N612">
        <f t="shared" si="199"/>
        <v>-0.31758660049676912</v>
      </c>
      <c r="O612">
        <f t="shared" si="214"/>
        <v>10.091850083386813</v>
      </c>
      <c r="P612">
        <f t="shared" si="218"/>
        <v>9.9857007954141093</v>
      </c>
      <c r="Q612">
        <f t="shared" si="216"/>
        <v>10.214584622612099</v>
      </c>
      <c r="R612">
        <f t="shared" si="219"/>
        <v>9.6706949837191409</v>
      </c>
      <c r="S612">
        <f t="shared" si="219"/>
        <v>9.7648378657050454</v>
      </c>
      <c r="T612">
        <f t="shared" si="200"/>
        <v>-0.15448778951310516</v>
      </c>
      <c r="U612">
        <f t="shared" si="201"/>
        <v>0.15448778951310516</v>
      </c>
      <c r="V612">
        <f t="shared" si="208"/>
        <v>9.9006837216202364</v>
      </c>
      <c r="W612">
        <f t="shared" si="202"/>
        <v>1.8641933597914218E-2</v>
      </c>
      <c r="X612">
        <f t="shared" si="209"/>
        <v>10.221550721558748</v>
      </c>
      <c r="Y612">
        <f t="shared" si="203"/>
        <v>-0.30222506634059698</v>
      </c>
      <c r="Z612">
        <f t="shared" si="210"/>
        <v>10.421671322153383</v>
      </c>
      <c r="AA612">
        <f t="shared" si="204"/>
        <v>-0.50234566693523242</v>
      </c>
      <c r="AB612">
        <f t="shared" si="205"/>
        <v>1.0187256552181498</v>
      </c>
      <c r="AC612">
        <f t="shared" si="206"/>
        <v>9.6958212726340687</v>
      </c>
      <c r="AD612">
        <f t="shared" si="207"/>
        <v>0.2235043825840819</v>
      </c>
    </row>
    <row r="613" spans="1:30">
      <c r="A613">
        <v>611</v>
      </c>
      <c r="B613">
        <v>8.4910813467678956</v>
      </c>
      <c r="C613">
        <f t="shared" si="211"/>
        <v>10.535262811276013</v>
      </c>
      <c r="D613">
        <f t="shared" si="211"/>
        <v>10.859931544947301</v>
      </c>
      <c r="E613">
        <f t="shared" si="212"/>
        <v>10.595356172566341</v>
      </c>
      <c r="F613">
        <f t="shared" si="215"/>
        <v>10.21621208031984</v>
      </c>
      <c r="G613">
        <f t="shared" si="215"/>
        <v>9.8235521992886845</v>
      </c>
      <c r="H613">
        <f t="shared" si="215"/>
        <v>9.7617967351553698</v>
      </c>
      <c r="I613">
        <f t="shared" si="198"/>
        <v>1.2707153883874742</v>
      </c>
      <c r="J613">
        <f t="shared" si="213"/>
        <v>10.66087723496509</v>
      </c>
      <c r="K613">
        <f t="shared" si="217"/>
        <v>9.9073229656891861</v>
      </c>
      <c r="L613">
        <f t="shared" si="217"/>
        <v>9.7720730453642979</v>
      </c>
      <c r="M613">
        <f t="shared" si="217"/>
        <v>9.5527187740822548</v>
      </c>
      <c r="N613">
        <f t="shared" si="199"/>
        <v>1.0616374273143592</v>
      </c>
      <c r="O613">
        <f t="shared" si="214"/>
        <v>10.226918057325651</v>
      </c>
      <c r="P613">
        <f t="shared" si="218"/>
        <v>10.009722438324175</v>
      </c>
      <c r="Q613">
        <f t="shared" si="216"/>
        <v>10.269844860258889</v>
      </c>
      <c r="R613">
        <f t="shared" si="219"/>
        <v>9.7752947651674784</v>
      </c>
      <c r="S613">
        <f t="shared" si="219"/>
        <v>9.7028540874005156</v>
      </c>
      <c r="T613">
        <f t="shared" si="200"/>
        <v>1.21177274063262</v>
      </c>
      <c r="U613">
        <f t="shared" si="201"/>
        <v>-1.21177274063262</v>
      </c>
      <c r="V613">
        <f t="shared" si="208"/>
        <v>9.902547914980028</v>
      </c>
      <c r="W613">
        <f t="shared" si="202"/>
        <v>-1.4114665682121323</v>
      </c>
      <c r="X613">
        <f t="shared" si="209"/>
        <v>10.161105708290629</v>
      </c>
      <c r="Y613">
        <f t="shared" si="203"/>
        <v>-1.6700243615227333</v>
      </c>
      <c r="Z613">
        <f t="shared" si="210"/>
        <v>10.270967622072813</v>
      </c>
      <c r="AA613">
        <f t="shared" si="204"/>
        <v>-1.7798862753049178</v>
      </c>
      <c r="AB613">
        <f t="shared" si="205"/>
        <v>-0.41507865323210424</v>
      </c>
      <c r="AC613">
        <f t="shared" si="206"/>
        <v>9.7369821675228145</v>
      </c>
      <c r="AD613">
        <f t="shared" si="207"/>
        <v>-1.2459008207549189</v>
      </c>
    </row>
    <row r="614" spans="1:30">
      <c r="A614">
        <v>612</v>
      </c>
      <c r="B614">
        <v>8.3471780036629042</v>
      </c>
      <c r="C614">
        <f t="shared" si="211"/>
        <v>9.2052035009930222</v>
      </c>
      <c r="D614">
        <f t="shared" si="211"/>
        <v>10.734317121258224</v>
      </c>
      <c r="E614">
        <f t="shared" si="212"/>
        <v>9.8538689897733072</v>
      </c>
      <c r="F614">
        <f t="shared" si="215"/>
        <v>10.433219621858141</v>
      </c>
      <c r="G614">
        <f t="shared" si="215"/>
        <v>9.9377583891509005</v>
      </c>
      <c r="H614">
        <f t="shared" si="215"/>
        <v>9.8435844400193915</v>
      </c>
      <c r="I614">
        <f t="shared" si="198"/>
        <v>1.4964064363564873</v>
      </c>
      <c r="J614">
        <f t="shared" si="213"/>
        <v>10.06928746611673</v>
      </c>
      <c r="K614">
        <f t="shared" si="217"/>
        <v>10.19704638211058</v>
      </c>
      <c r="L614">
        <f t="shared" si="217"/>
        <v>9.8486930513862738</v>
      </c>
      <c r="M614">
        <f t="shared" si="217"/>
        <v>9.5970680377555801</v>
      </c>
      <c r="N614">
        <f t="shared" si="199"/>
        <v>1.249890034092676</v>
      </c>
      <c r="O614">
        <f t="shared" si="214"/>
        <v>9.7248655736259657</v>
      </c>
      <c r="P614">
        <f t="shared" si="218"/>
        <v>10.091810667100622</v>
      </c>
      <c r="Q614">
        <f t="shared" si="216"/>
        <v>9.8250552939503262</v>
      </c>
      <c r="R614">
        <f t="shared" si="219"/>
        <v>9.9454709591011916</v>
      </c>
      <c r="S614">
        <f t="shared" si="219"/>
        <v>9.6794118563179445</v>
      </c>
      <c r="T614">
        <f t="shared" si="200"/>
        <v>1.3322338526550404</v>
      </c>
      <c r="U614">
        <f t="shared" si="201"/>
        <v>-1.3322338526550404</v>
      </c>
      <c r="V614">
        <f t="shared" si="208"/>
        <v>9.7614012581588145</v>
      </c>
      <c r="W614">
        <f t="shared" si="202"/>
        <v>-1.4142232544959104</v>
      </c>
      <c r="X614">
        <f t="shared" si="209"/>
        <v>9.8271008359860819</v>
      </c>
      <c r="Y614">
        <f t="shared" si="203"/>
        <v>-1.4799228323231777</v>
      </c>
      <c r="Z614">
        <f t="shared" si="210"/>
        <v>9.7370017394813377</v>
      </c>
      <c r="AA614">
        <f t="shared" si="204"/>
        <v>-1.3898237358184335</v>
      </c>
      <c r="AB614">
        <f t="shared" si="205"/>
        <v>-0.56454199633709656</v>
      </c>
      <c r="AC614">
        <f t="shared" si="206"/>
        <v>9.7775959272525839</v>
      </c>
      <c r="AD614">
        <f t="shared" si="207"/>
        <v>-1.4304179235896797</v>
      </c>
    </row>
    <row r="615" spans="1:30">
      <c r="A615">
        <v>613</v>
      </c>
      <c r="B615">
        <v>11.396138486910786</v>
      </c>
      <c r="C615">
        <f t="shared" si="211"/>
        <v>8.4191296752153999</v>
      </c>
      <c r="D615">
        <f t="shared" si="211"/>
        <v>9.8702331561345176</v>
      </c>
      <c r="E615">
        <f t="shared" si="212"/>
        <v>8.9191950018829829</v>
      </c>
      <c r="F615">
        <f t="shared" si="215"/>
        <v>10.452428752406794</v>
      </c>
      <c r="G615">
        <f t="shared" si="215"/>
        <v>10.134442044772911</v>
      </c>
      <c r="H615">
        <f t="shared" si="215"/>
        <v>9.8816838135208727</v>
      </c>
      <c r="I615">
        <f t="shared" si="198"/>
        <v>-1.5144546733899134</v>
      </c>
      <c r="J615">
        <f t="shared" si="213"/>
        <v>9.4771962432457073</v>
      </c>
      <c r="K615">
        <f t="shared" si="217"/>
        <v>10.250570444065282</v>
      </c>
      <c r="L615">
        <f t="shared" si="217"/>
        <v>9.9735629403791712</v>
      </c>
      <c r="M615">
        <f t="shared" si="217"/>
        <v>9.6869644338146941</v>
      </c>
      <c r="N615">
        <f t="shared" si="199"/>
        <v>-1.7091740530960919</v>
      </c>
      <c r="O615">
        <f t="shared" si="214"/>
        <v>9.8609846919787234</v>
      </c>
      <c r="P615">
        <f t="shared" si="218"/>
        <v>10.082168793854644</v>
      </c>
      <c r="Q615">
        <f t="shared" si="216"/>
        <v>9.9136280483818595</v>
      </c>
      <c r="R615">
        <f t="shared" si="219"/>
        <v>9.9736695018330224</v>
      </c>
      <c r="S615">
        <f t="shared" si="219"/>
        <v>9.7173793963278143</v>
      </c>
      <c r="T615">
        <f t="shared" si="200"/>
        <v>-1.6787590905829717</v>
      </c>
      <c r="U615">
        <f t="shared" si="201"/>
        <v>1.6787590905829717</v>
      </c>
      <c r="V615">
        <f t="shared" si="208"/>
        <v>9.6199789327092233</v>
      </c>
      <c r="W615">
        <f t="shared" si="202"/>
        <v>1.7761595542015627</v>
      </c>
      <c r="X615">
        <f t="shared" si="209"/>
        <v>9.531116269521446</v>
      </c>
      <c r="Y615">
        <f t="shared" si="203"/>
        <v>1.86502221738934</v>
      </c>
      <c r="Z615">
        <f t="shared" si="210"/>
        <v>9.3200546187358082</v>
      </c>
      <c r="AA615">
        <f t="shared" si="204"/>
        <v>2.0760838681749778</v>
      </c>
      <c r="AB615">
        <f t="shared" si="205"/>
        <v>2.4788584869107861</v>
      </c>
      <c r="AC615">
        <f t="shared" si="206"/>
        <v>9.8176514788131222</v>
      </c>
      <c r="AD615">
        <f t="shared" si="207"/>
        <v>1.5784870080976638</v>
      </c>
    </row>
    <row r="616" spans="1:30">
      <c r="A616">
        <v>614</v>
      </c>
      <c r="B616">
        <v>10.616582104005339</v>
      </c>
      <c r="C616">
        <f t="shared" si="211"/>
        <v>9.8716582452868451</v>
      </c>
      <c r="D616">
        <f t="shared" si="211"/>
        <v>8.8121665881042119</v>
      </c>
      <c r="E616">
        <f t="shared" si="212"/>
        <v>9.4114659457805292</v>
      </c>
      <c r="F616">
        <f t="shared" si="215"/>
        <v>9.7894733880742102</v>
      </c>
      <c r="G616">
        <f t="shared" si="215"/>
        <v>10.367286818194925</v>
      </c>
      <c r="H616">
        <f t="shared" si="215"/>
        <v>9.965250877737498</v>
      </c>
      <c r="I616">
        <f t="shared" si="198"/>
        <v>-0.65133122626784079</v>
      </c>
      <c r="J616">
        <f t="shared" si="213"/>
        <v>9.5384308731399337</v>
      </c>
      <c r="K616">
        <f t="shared" si="217"/>
        <v>10.085585533689127</v>
      </c>
      <c r="L616">
        <f t="shared" si="217"/>
        <v>10.076920663270236</v>
      </c>
      <c r="M616">
        <f t="shared" si="217"/>
        <v>9.8029513553241685</v>
      </c>
      <c r="N616">
        <f t="shared" si="199"/>
        <v>-0.81363074868117025</v>
      </c>
      <c r="O616">
        <f t="shared" si="214"/>
        <v>9.7540611193130147</v>
      </c>
      <c r="P616">
        <f t="shared" si="218"/>
        <v>10.048913421516838</v>
      </c>
      <c r="Q616">
        <f t="shared" si="216"/>
        <v>10.003411059173436</v>
      </c>
      <c r="R616">
        <f t="shared" si="219"/>
        <v>10.023872764861773</v>
      </c>
      <c r="S616">
        <f t="shared" si="219"/>
        <v>9.7711125709287519</v>
      </c>
      <c r="T616">
        <f t="shared" si="200"/>
        <v>-0.8454695330765869</v>
      </c>
      <c r="U616">
        <f t="shared" si="201"/>
        <v>0.8454695330765869</v>
      </c>
      <c r="V616">
        <f t="shared" si="208"/>
        <v>9.79759488812938</v>
      </c>
      <c r="W616">
        <f t="shared" si="202"/>
        <v>0.8189872158759588</v>
      </c>
      <c r="X616">
        <f t="shared" si="209"/>
        <v>9.9041207129993136</v>
      </c>
      <c r="Y616">
        <f t="shared" si="203"/>
        <v>0.71246139100602512</v>
      </c>
      <c r="Z616">
        <f t="shared" si="210"/>
        <v>9.942879779188301</v>
      </c>
      <c r="AA616">
        <f t="shared" si="204"/>
        <v>0.67370232481703773</v>
      </c>
      <c r="AB616">
        <f t="shared" si="205"/>
        <v>1.693742104005338</v>
      </c>
      <c r="AC616">
        <f t="shared" si="206"/>
        <v>9.8571379042483827</v>
      </c>
      <c r="AD616">
        <f t="shared" si="207"/>
        <v>0.7594441997569561</v>
      </c>
    </row>
    <row r="617" spans="1:30">
      <c r="A617">
        <v>615</v>
      </c>
      <c r="B617">
        <v>12.246685190865247</v>
      </c>
      <c r="C617">
        <f t="shared" si="211"/>
        <v>11.006360295458062</v>
      </c>
      <c r="D617">
        <f t="shared" si="211"/>
        <v>9.1453939602511234</v>
      </c>
      <c r="E617">
        <f t="shared" si="212"/>
        <v>10.11996619819301</v>
      </c>
      <c r="F617">
        <f t="shared" si="215"/>
        <v>9.3948433124789403</v>
      </c>
      <c r="G617">
        <f t="shared" si="215"/>
        <v>10.225040587446381</v>
      </c>
      <c r="H617">
        <f t="shared" si="215"/>
        <v>10.146495750706245</v>
      </c>
      <c r="I617">
        <f t="shared" si="198"/>
        <v>-2.1001894401590011</v>
      </c>
      <c r="J617">
        <f t="shared" si="213"/>
        <v>9.7127449853367303</v>
      </c>
      <c r="K617">
        <f t="shared" si="217"/>
        <v>9.9364479543668658</v>
      </c>
      <c r="L617">
        <f t="shared" si="217"/>
        <v>10.110131331388544</v>
      </c>
      <c r="M617">
        <f t="shared" si="217"/>
        <v>9.9178124250999957</v>
      </c>
      <c r="N617">
        <f t="shared" si="199"/>
        <v>-2.3288727657652508</v>
      </c>
      <c r="O617">
        <f t="shared" si="214"/>
        <v>10.219533026442434</v>
      </c>
      <c r="P617">
        <f t="shared" si="218"/>
        <v>9.9317359051260343</v>
      </c>
      <c r="Q617">
        <f t="shared" si="216"/>
        <v>9.9869175939831596</v>
      </c>
      <c r="R617">
        <f t="shared" si="219"/>
        <v>10.026112802796835</v>
      </c>
      <c r="S617">
        <f t="shared" si="219"/>
        <v>9.8429399866670817</v>
      </c>
      <c r="T617">
        <f t="shared" si="200"/>
        <v>-2.4037452041981648</v>
      </c>
      <c r="U617">
        <f t="shared" si="201"/>
        <v>2.4037452041981648</v>
      </c>
      <c r="V617">
        <f t="shared" si="208"/>
        <v>9.8794936097169757</v>
      </c>
      <c r="W617">
        <f t="shared" si="202"/>
        <v>2.3671915811482709</v>
      </c>
      <c r="X617">
        <f t="shared" si="209"/>
        <v>10.046612991200519</v>
      </c>
      <c r="Y617">
        <f t="shared" si="203"/>
        <v>2.2000721996647279</v>
      </c>
      <c r="Z617">
        <f t="shared" si="210"/>
        <v>10.144990476633412</v>
      </c>
      <c r="AA617">
        <f t="shared" si="204"/>
        <v>2.1016947142318347</v>
      </c>
      <c r="AB617">
        <f t="shared" si="205"/>
        <v>3.3182851908652466</v>
      </c>
      <c r="AC617">
        <f t="shared" si="206"/>
        <v>9.8960444436892736</v>
      </c>
      <c r="AD617">
        <f t="shared" si="207"/>
        <v>2.3506407471759729</v>
      </c>
    </row>
    <row r="618" spans="1:30">
      <c r="A618">
        <v>616</v>
      </c>
      <c r="B618">
        <v>9.8208902133168401</v>
      </c>
      <c r="C618">
        <f t="shared" si="211"/>
        <v>11.431633647435293</v>
      </c>
      <c r="D618">
        <f t="shared" si="211"/>
        <v>10.439009270372454</v>
      </c>
      <c r="E618">
        <f t="shared" si="212"/>
        <v>11.419801927260457</v>
      </c>
      <c r="F618">
        <f t="shared" si="215"/>
        <v>9.4835423819521747</v>
      </c>
      <c r="G618">
        <f t="shared" si="215"/>
        <v>9.8789151509866482</v>
      </c>
      <c r="H618">
        <f t="shared" si="215"/>
        <v>10.242256483471406</v>
      </c>
      <c r="I618">
        <f t="shared" si="198"/>
        <v>0.42136627015456618</v>
      </c>
      <c r="J618">
        <f t="shared" si="213"/>
        <v>10.651645946361068</v>
      </c>
      <c r="K618">
        <f t="shared" si="217"/>
        <v>9.6994148919597762</v>
      </c>
      <c r="L618">
        <f t="shared" si="217"/>
        <v>10.117412578557964</v>
      </c>
      <c r="M618">
        <f t="shared" si="217"/>
        <v>10.002326996606056</v>
      </c>
      <c r="N618">
        <f t="shared" si="199"/>
        <v>0.18143678328921631</v>
      </c>
      <c r="O618">
        <f t="shared" si="214"/>
        <v>10.485494799752223</v>
      </c>
      <c r="P618">
        <f t="shared" si="218"/>
        <v>9.9572724937371575</v>
      </c>
      <c r="Q618">
        <f t="shared" si="216"/>
        <v>10.169498464571719</v>
      </c>
      <c r="R618">
        <f t="shared" si="219"/>
        <v>10.035573579726629</v>
      </c>
      <c r="S618">
        <f t="shared" si="219"/>
        <v>9.9025192962465738</v>
      </c>
      <c r="T618">
        <f t="shared" si="200"/>
        <v>8.1629082929733698E-2</v>
      </c>
      <c r="U618">
        <f t="shared" si="201"/>
        <v>-8.1629082929733698E-2</v>
      </c>
      <c r="V618">
        <f t="shared" si="208"/>
        <v>10.116212767831803</v>
      </c>
      <c r="W618">
        <f t="shared" si="202"/>
        <v>-0.29532255451496248</v>
      </c>
      <c r="X618">
        <f t="shared" si="209"/>
        <v>10.486627431133464</v>
      </c>
      <c r="Y618">
        <f t="shared" si="203"/>
        <v>-0.66573721781662343</v>
      </c>
      <c r="Z618">
        <f t="shared" si="210"/>
        <v>10.775498890902963</v>
      </c>
      <c r="AA618">
        <f t="shared" si="204"/>
        <v>-0.95460867758612267</v>
      </c>
      <c r="AB618">
        <f t="shared" si="205"/>
        <v>0.8869302133168393</v>
      </c>
      <c r="AC618">
        <f t="shared" si="206"/>
        <v>9.9343604983424054</v>
      </c>
      <c r="AD618">
        <f t="shared" si="207"/>
        <v>-0.11347028502556533</v>
      </c>
    </row>
    <row r="619" spans="1:30">
      <c r="A619">
        <v>617</v>
      </c>
      <c r="B619">
        <v>10.025379825683771</v>
      </c>
      <c r="C619">
        <f t="shared" si="211"/>
        <v>11.033787702091043</v>
      </c>
      <c r="D619">
        <f t="shared" si="211"/>
        <v>11.218996971446678</v>
      </c>
      <c r="E619">
        <f t="shared" si="212"/>
        <v>10.894719169395808</v>
      </c>
      <c r="F619">
        <f t="shared" si="215"/>
        <v>10.317078023744665</v>
      </c>
      <c r="G619">
        <f t="shared" si="215"/>
        <v>9.5559530275017739</v>
      </c>
      <c r="H619">
        <f t="shared" si="215"/>
        <v>10.157080852209319</v>
      </c>
      <c r="I619">
        <f t="shared" si="198"/>
        <v>0.1317010265255476</v>
      </c>
      <c r="J619">
        <f t="shared" si="213"/>
        <v>11.020073998774553</v>
      </c>
      <c r="K619">
        <f t="shared" si="217"/>
        <v>9.8450045120208607</v>
      </c>
      <c r="L619">
        <f t="shared" si="217"/>
        <v>9.9930047060202618</v>
      </c>
      <c r="M619">
        <f t="shared" si="217"/>
        <v>10.069506878398979</v>
      </c>
      <c r="N619">
        <f t="shared" si="199"/>
        <v>4.4127052715207782E-2</v>
      </c>
      <c r="O619">
        <f t="shared" si="214"/>
        <v>10.821135164156397</v>
      </c>
      <c r="P619">
        <f t="shared" si="218"/>
        <v>10.008987842222473</v>
      </c>
      <c r="Q619">
        <f t="shared" si="216"/>
        <v>10.153092557588169</v>
      </c>
      <c r="R619">
        <f t="shared" si="219"/>
        <v>10.028059220053231</v>
      </c>
      <c r="S619">
        <f t="shared" si="219"/>
        <v>9.9633323955811548</v>
      </c>
      <c r="T619">
        <f t="shared" si="200"/>
        <v>-6.2047430102616374E-2</v>
      </c>
      <c r="U619">
        <f t="shared" si="201"/>
        <v>6.2047430102616374E-2</v>
      </c>
      <c r="V619">
        <f t="shared" si="208"/>
        <v>10.086680512380306</v>
      </c>
      <c r="W619">
        <f t="shared" si="202"/>
        <v>-6.1300686696535323E-2</v>
      </c>
      <c r="X619">
        <f t="shared" si="209"/>
        <v>10.35347998757014</v>
      </c>
      <c r="Y619">
        <f t="shared" si="203"/>
        <v>-0.32810016188636837</v>
      </c>
      <c r="Z619">
        <f t="shared" si="210"/>
        <v>10.489116287627127</v>
      </c>
      <c r="AA619">
        <f t="shared" si="204"/>
        <v>-0.46373646194335549</v>
      </c>
      <c r="AB619">
        <f t="shared" si="205"/>
        <v>1.0858598256837713</v>
      </c>
      <c r="AC619">
        <f t="shared" si="206"/>
        <v>9.9720756334341374</v>
      </c>
      <c r="AD619">
        <f t="shared" si="207"/>
        <v>5.3304192249633786E-2</v>
      </c>
    </row>
    <row r="620" spans="1:30">
      <c r="A620">
        <v>618</v>
      </c>
      <c r="B620">
        <v>12.146516095480459</v>
      </c>
      <c r="C620">
        <f t="shared" si="211"/>
        <v>9.9231350195003056</v>
      </c>
      <c r="D620">
        <f t="shared" si="211"/>
        <v>11.232710674763169</v>
      </c>
      <c r="E620">
        <f t="shared" si="212"/>
        <v>10.697651743288619</v>
      </c>
      <c r="F620">
        <f t="shared" si="215"/>
        <v>10.811495764949759</v>
      </c>
      <c r="G620">
        <f t="shared" si="215"/>
        <v>9.7318212393919268</v>
      </c>
      <c r="H620">
        <f t="shared" si="215"/>
        <v>9.8866362553116005</v>
      </c>
      <c r="I620">
        <f t="shared" si="198"/>
        <v>-2.2598798401688587</v>
      </c>
      <c r="J620">
        <f t="shared" si="213"/>
        <v>10.677384333467799</v>
      </c>
      <c r="K620">
        <f t="shared" si="217"/>
        <v>10.230723950903071</v>
      </c>
      <c r="L620">
        <f t="shared" si="217"/>
        <v>9.8916132230091574</v>
      </c>
      <c r="M620">
        <f t="shared" si="217"/>
        <v>10.074367319809252</v>
      </c>
      <c r="N620">
        <f t="shared" si="199"/>
        <v>-2.0721487756712076</v>
      </c>
      <c r="O620">
        <f t="shared" si="214"/>
        <v>10.97121068587033</v>
      </c>
      <c r="P620">
        <f t="shared" si="218"/>
        <v>10.228241760328558</v>
      </c>
      <c r="Q620">
        <f t="shared" si="216"/>
        <v>10.408808970740814</v>
      </c>
      <c r="R620">
        <f t="shared" si="219"/>
        <v>10.008600502941444</v>
      </c>
      <c r="S620">
        <f t="shared" si="219"/>
        <v>10.005459804728781</v>
      </c>
      <c r="T620">
        <f t="shared" si="200"/>
        <v>-2.1410562907516777</v>
      </c>
      <c r="U620">
        <f t="shared" si="201"/>
        <v>2.1410562907516777</v>
      </c>
      <c r="V620">
        <f t="shared" si="208"/>
        <v>10.080550443710653</v>
      </c>
      <c r="W620">
        <f t="shared" si="202"/>
        <v>2.0659656517698064</v>
      </c>
      <c r="X620">
        <f t="shared" si="209"/>
        <v>10.287859955192866</v>
      </c>
      <c r="Y620">
        <f t="shared" si="203"/>
        <v>1.858656140287593</v>
      </c>
      <c r="Z620">
        <f t="shared" si="210"/>
        <v>10.34999534904412</v>
      </c>
      <c r="AA620">
        <f t="shared" si="204"/>
        <v>1.7965207464363395</v>
      </c>
      <c r="AB620">
        <f t="shared" si="205"/>
        <v>3.2014360954804584</v>
      </c>
      <c r="AC620">
        <f t="shared" si="206"/>
        <v>10.009179581109086</v>
      </c>
      <c r="AD620">
        <f t="shared" si="207"/>
        <v>2.1373365143713734</v>
      </c>
    </row>
    <row r="621" spans="1:30">
      <c r="A621">
        <v>619</v>
      </c>
      <c r="B621">
        <v>12.33925372324927</v>
      </c>
      <c r="C621">
        <f t="shared" si="211"/>
        <v>11.085947960582114</v>
      </c>
      <c r="D621">
        <f t="shared" si="211"/>
        <v>10.478461360795674</v>
      </c>
      <c r="E621">
        <f t="shared" si="212"/>
        <v>10.664262044827025</v>
      </c>
      <c r="F621">
        <f t="shared" si="215"/>
        <v>11.004057613314961</v>
      </c>
      <c r="G621">
        <f t="shared" si="215"/>
        <v>10.204038723548868</v>
      </c>
      <c r="H621">
        <f t="shared" si="215"/>
        <v>9.7222298059601169</v>
      </c>
      <c r="I621">
        <f t="shared" si="198"/>
        <v>-2.6170239172891527</v>
      </c>
      <c r="J621">
        <f t="shared" si="213"/>
        <v>11.059867831336579</v>
      </c>
      <c r="K621">
        <f t="shared" si="217"/>
        <v>10.515462315985037</v>
      </c>
      <c r="L621">
        <f t="shared" si="217"/>
        <v>9.927897827312643</v>
      </c>
      <c r="M621">
        <f t="shared" si="217"/>
        <v>10.028040459743982</v>
      </c>
      <c r="N621">
        <f t="shared" si="199"/>
        <v>-2.3112132635052873</v>
      </c>
      <c r="O621">
        <f t="shared" si="214"/>
        <v>11.315745009719118</v>
      </c>
      <c r="P621">
        <f t="shared" si="218"/>
        <v>10.450286959106879</v>
      </c>
      <c r="Q621">
        <f t="shared" si="216"/>
        <v>11.042031986043741</v>
      </c>
      <c r="R621">
        <f t="shared" si="219"/>
        <v>10.105892782406526</v>
      </c>
      <c r="S621">
        <f t="shared" si="219"/>
        <v>10.01598139536882</v>
      </c>
      <c r="T621">
        <f t="shared" si="200"/>
        <v>-2.3232723278804492</v>
      </c>
      <c r="U621">
        <f t="shared" si="201"/>
        <v>2.3232723278804492</v>
      </c>
      <c r="V621">
        <f t="shared" si="208"/>
        <v>10.287147008887633</v>
      </c>
      <c r="W621">
        <f t="shared" si="202"/>
        <v>2.0521067143616367</v>
      </c>
      <c r="X621">
        <f t="shared" si="209"/>
        <v>10.659591183250384</v>
      </c>
      <c r="Y621">
        <f t="shared" si="203"/>
        <v>1.6796625399988852</v>
      </c>
      <c r="Z621">
        <f t="shared" si="210"/>
        <v>10.888951572975021</v>
      </c>
      <c r="AA621">
        <f t="shared" si="204"/>
        <v>1.4503021502742488</v>
      </c>
      <c r="AB621">
        <f t="shared" si="205"/>
        <v>3.3886137232492697</v>
      </c>
      <c r="AC621">
        <f t="shared" si="206"/>
        <v>10.045662243282196</v>
      </c>
      <c r="AD621">
        <f t="shared" si="207"/>
        <v>2.2935914799670734</v>
      </c>
    </row>
    <row r="622" spans="1:30">
      <c r="A622">
        <v>620</v>
      </c>
      <c r="B622">
        <v>10.662761420727477</v>
      </c>
      <c r="C622">
        <f t="shared" si="211"/>
        <v>12.242884909364864</v>
      </c>
      <c r="D622">
        <f t="shared" si="211"/>
        <v>10.504541490041209</v>
      </c>
      <c r="E622">
        <f t="shared" si="212"/>
        <v>11.503716548137833</v>
      </c>
      <c r="F622">
        <f t="shared" si="215"/>
        <v>10.75221098583715</v>
      </c>
      <c r="G622">
        <f t="shared" si="215"/>
        <v>10.710877134003129</v>
      </c>
      <c r="H622">
        <f t="shared" si="215"/>
        <v>9.8306043301475228</v>
      </c>
      <c r="I622">
        <f t="shared" si="198"/>
        <v>-0.83215709057995468</v>
      </c>
      <c r="J622">
        <f t="shared" si="213"/>
        <v>11.083009964432586</v>
      </c>
      <c r="K622">
        <f t="shared" si="217"/>
        <v>10.852243027484999</v>
      </c>
      <c r="L622">
        <f t="shared" si="217"/>
        <v>10.072651417717186</v>
      </c>
      <c r="M622">
        <f t="shared" si="217"/>
        <v>9.9824820837250066</v>
      </c>
      <c r="N622">
        <f t="shared" si="199"/>
        <v>-0.6802793370024709</v>
      </c>
      <c r="O622">
        <f t="shared" si="214"/>
        <v>10.998960255691564</v>
      </c>
      <c r="P622">
        <f t="shared" si="218"/>
        <v>10.7626237371881</v>
      </c>
      <c r="Q622">
        <f t="shared" si="216"/>
        <v>11.19921785876682</v>
      </c>
      <c r="R622">
        <f t="shared" si="219"/>
        <v>10.293960105350171</v>
      </c>
      <c r="S622">
        <f t="shared" si="219"/>
        <v>10.03801860879774</v>
      </c>
      <c r="T622">
        <f t="shared" si="200"/>
        <v>-0.62474281192973713</v>
      </c>
      <c r="U622">
        <f t="shared" si="201"/>
        <v>0.62474281192973713</v>
      </c>
      <c r="V622">
        <f t="shared" si="208"/>
        <v>10.492357680323796</v>
      </c>
      <c r="W622">
        <f t="shared" si="202"/>
        <v>0.17040374040368178</v>
      </c>
      <c r="X622">
        <f t="shared" si="209"/>
        <v>10.995523691250161</v>
      </c>
      <c r="Y622">
        <f t="shared" si="203"/>
        <v>-0.33276227052268403</v>
      </c>
      <c r="Z622">
        <f t="shared" si="210"/>
        <v>11.324042218057295</v>
      </c>
      <c r="AA622">
        <f t="shared" si="204"/>
        <v>-0.66128079732981782</v>
      </c>
      <c r="AB622">
        <f t="shared" si="205"/>
        <v>1.7065614207274766</v>
      </c>
      <c r="AC622">
        <f t="shared" si="206"/>
        <v>10.081513694443746</v>
      </c>
      <c r="AD622">
        <f t="shared" si="207"/>
        <v>0.58124772628373123</v>
      </c>
    </row>
    <row r="623" spans="1:30">
      <c r="A623">
        <v>621</v>
      </c>
      <c r="B623">
        <v>12.336100867454265</v>
      </c>
      <c r="C623">
        <f t="shared" si="211"/>
        <v>11.501007571988374</v>
      </c>
      <c r="D623">
        <f t="shared" si="211"/>
        <v>11.664416434973489</v>
      </c>
      <c r="E623">
        <f t="shared" si="212"/>
        <v>11.716177079819069</v>
      </c>
      <c r="F623">
        <f t="shared" si="215"/>
        <v>10.955210112084492</v>
      </c>
      <c r="G623">
        <f t="shared" si="215"/>
        <v>10.855921454700622</v>
      </c>
      <c r="H623">
        <f t="shared" si="215"/>
        <v>10.215579032314642</v>
      </c>
      <c r="I623">
        <f t="shared" si="198"/>
        <v>-2.1205218351396233</v>
      </c>
      <c r="J623">
        <f t="shared" si="213"/>
        <v>11.293477766285244</v>
      </c>
      <c r="K623">
        <f t="shared" si="217"/>
        <v>10.960084032002879</v>
      </c>
      <c r="L623">
        <f t="shared" si="217"/>
        <v>10.360858451598492</v>
      </c>
      <c r="M623">
        <f t="shared" si="217"/>
        <v>9.971291793514812</v>
      </c>
      <c r="N623">
        <f t="shared" si="199"/>
        <v>-2.3648090739394529</v>
      </c>
      <c r="O623">
        <f t="shared" si="214"/>
        <v>11.502002386519049</v>
      </c>
      <c r="P623">
        <f t="shared" si="218"/>
        <v>10.918509183037926</v>
      </c>
      <c r="Q623">
        <f t="shared" si="216"/>
        <v>11.206914411553845</v>
      </c>
      <c r="R623">
        <f t="shared" si="219"/>
        <v>10.493261238615737</v>
      </c>
      <c r="S623">
        <f t="shared" si="219"/>
        <v>10.083033165545805</v>
      </c>
      <c r="T623">
        <f t="shared" si="200"/>
        <v>-2.25306770190846</v>
      </c>
      <c r="U623">
        <f t="shared" si="201"/>
        <v>2.25306770190846</v>
      </c>
      <c r="V623">
        <f t="shared" si="208"/>
        <v>10.509398054364164</v>
      </c>
      <c r="W623">
        <f t="shared" si="202"/>
        <v>1.8267028130901011</v>
      </c>
      <c r="X623">
        <f t="shared" si="209"/>
        <v>10.928971237145625</v>
      </c>
      <c r="Y623">
        <f t="shared" si="203"/>
        <v>1.4071296303086402</v>
      </c>
      <c r="Z623">
        <f t="shared" si="210"/>
        <v>11.125657978858349</v>
      </c>
      <c r="AA623">
        <f t="shared" si="204"/>
        <v>1.2104428885959155</v>
      </c>
      <c r="AB623">
        <f t="shared" si="205"/>
        <v>3.374340867454265</v>
      </c>
      <c r="AC623">
        <f t="shared" si="206"/>
        <v>10.116724184416327</v>
      </c>
      <c r="AD623">
        <f t="shared" si="207"/>
        <v>2.2193766830379378</v>
      </c>
    </row>
    <row r="624" spans="1:30">
      <c r="A624">
        <v>622</v>
      </c>
      <c r="B624">
        <v>9.9262376119780651</v>
      </c>
      <c r="C624">
        <f t="shared" si="211"/>
        <v>11.49943114409087</v>
      </c>
      <c r="D624">
        <f t="shared" si="211"/>
        <v>11.871946240676619</v>
      </c>
      <c r="E624">
        <f t="shared" si="212"/>
        <v>11.779372003810337</v>
      </c>
      <c r="F624">
        <f t="shared" si="215"/>
        <v>11.294718557594642</v>
      </c>
      <c r="G624">
        <f t="shared" si="215"/>
        <v>10.903826237078867</v>
      </c>
      <c r="H624">
        <f t="shared" si="215"/>
        <v>10.590279104084205</v>
      </c>
      <c r="I624">
        <f t="shared" si="198"/>
        <v>0.66404149210613994</v>
      </c>
      <c r="J624">
        <f t="shared" si="213"/>
        <v>11.871158026727867</v>
      </c>
      <c r="K624">
        <f t="shared" si="217"/>
        <v>11.028434973880552</v>
      </c>
      <c r="L624">
        <f t="shared" si="217"/>
        <v>10.639628331593997</v>
      </c>
      <c r="M624">
        <f t="shared" si="217"/>
        <v>10.06325522990937</v>
      </c>
      <c r="N624">
        <f t="shared" si="199"/>
        <v>0.13701761793130451</v>
      </c>
      <c r="O624">
        <f t="shared" si="214"/>
        <v>11.482173943777907</v>
      </c>
      <c r="P624">
        <f t="shared" si="218"/>
        <v>11.12181070039129</v>
      </c>
      <c r="Q624">
        <f t="shared" si="216"/>
        <v>11.221817024318682</v>
      </c>
      <c r="R624">
        <f t="shared" si="219"/>
        <v>10.696594041544186</v>
      </c>
      <c r="S624">
        <f t="shared" si="219"/>
        <v>10.160891238182289</v>
      </c>
      <c r="T624">
        <f t="shared" si="200"/>
        <v>0.23465362620422425</v>
      </c>
      <c r="U624">
        <f t="shared" si="201"/>
        <v>-0.23465362620422425</v>
      </c>
      <c r="V624">
        <f t="shared" si="208"/>
        <v>10.692068335673174</v>
      </c>
      <c r="W624">
        <f t="shared" si="202"/>
        <v>-0.76583072369510852</v>
      </c>
      <c r="X624">
        <f t="shared" si="209"/>
        <v>11.210397163207352</v>
      </c>
      <c r="Y624">
        <f t="shared" si="203"/>
        <v>-1.2841595512292869</v>
      </c>
      <c r="Z624">
        <f t="shared" si="210"/>
        <v>11.488790845437125</v>
      </c>
      <c r="AA624">
        <f t="shared" si="204"/>
        <v>-1.5625532334590595</v>
      </c>
      <c r="AB624">
        <f t="shared" si="205"/>
        <v>0.95891761197806424</v>
      </c>
      <c r="AC624">
        <f t="shared" si="206"/>
        <v>10.151284141063204</v>
      </c>
      <c r="AD624">
        <f t="shared" si="207"/>
        <v>-0.22504652908513911</v>
      </c>
    </row>
    <row r="625" spans="1:30">
      <c r="A625">
        <v>623</v>
      </c>
      <c r="B625">
        <v>12.186513369349843</v>
      </c>
      <c r="C625">
        <f t="shared" si="211"/>
        <v>11.131169239716165</v>
      </c>
      <c r="D625">
        <f t="shared" si="211"/>
        <v>11.500219358039622</v>
      </c>
      <c r="E625">
        <f t="shared" si="212"/>
        <v>10.975033300053269</v>
      </c>
      <c r="F625">
        <f t="shared" si="215"/>
        <v>11.666421877255745</v>
      </c>
      <c r="G625">
        <f t="shared" si="215"/>
        <v>11.00071321850543</v>
      </c>
      <c r="H625">
        <f t="shared" si="215"/>
        <v>10.823541608594207</v>
      </c>
      <c r="I625">
        <f t="shared" si="198"/>
        <v>-1.3629717607556362</v>
      </c>
      <c r="J625">
        <f t="shared" si="213"/>
        <v>11.31608840585227</v>
      </c>
      <c r="K625">
        <f t="shared" si="217"/>
        <v>11.32687839719557</v>
      </c>
      <c r="L625">
        <f t="shared" si="217"/>
        <v>10.839056087338367</v>
      </c>
      <c r="M625">
        <f t="shared" si="217"/>
        <v>10.250259007055579</v>
      </c>
      <c r="N625">
        <f t="shared" si="199"/>
        <v>-1.9362543622942638</v>
      </c>
      <c r="O625">
        <f t="shared" si="214"/>
        <v>11.490173398551784</v>
      </c>
      <c r="P625">
        <f t="shared" si="218"/>
        <v>11.254018456315595</v>
      </c>
      <c r="Q625">
        <f t="shared" si="216"/>
        <v>11.23937492409555</v>
      </c>
      <c r="R625">
        <f t="shared" si="219"/>
        <v>10.871980468168678</v>
      </c>
      <c r="S625">
        <f t="shared" si="219"/>
        <v>10.271061315151885</v>
      </c>
      <c r="T625">
        <f t="shared" si="200"/>
        <v>-1.9154520541979583</v>
      </c>
      <c r="U625">
        <f t="shared" si="201"/>
        <v>1.9154520541979583</v>
      </c>
      <c r="V625">
        <f t="shared" si="208"/>
        <v>10.615485263303663</v>
      </c>
      <c r="W625">
        <f t="shared" si="202"/>
        <v>1.5710281060461799</v>
      </c>
      <c r="X625">
        <f t="shared" si="209"/>
        <v>10.953565252961495</v>
      </c>
      <c r="Y625">
        <f t="shared" si="203"/>
        <v>1.2329481163883482</v>
      </c>
      <c r="Z625">
        <f t="shared" si="210"/>
        <v>11.020024875399407</v>
      </c>
      <c r="AA625">
        <f t="shared" si="204"/>
        <v>1.1664884939504354</v>
      </c>
      <c r="AB625">
        <f t="shared" si="205"/>
        <v>3.2136333693498429</v>
      </c>
      <c r="AC625">
        <f t="shared" si="206"/>
        <v>10.185184172947142</v>
      </c>
      <c r="AD625">
        <f t="shared" si="207"/>
        <v>2.0013291964027005</v>
      </c>
    </row>
    <row r="626" spans="1:30">
      <c r="A626">
        <v>624</v>
      </c>
      <c r="B626">
        <v>9.099413674201827</v>
      </c>
      <c r="C626">
        <f t="shared" si="211"/>
        <v>11.056375490663953</v>
      </c>
      <c r="D626">
        <f t="shared" si="211"/>
        <v>11.315300191903518</v>
      </c>
      <c r="E626">
        <f t="shared" si="212"/>
        <v>11.482950616260723</v>
      </c>
      <c r="F626">
        <f t="shared" si="215"/>
        <v>11.490194127894226</v>
      </c>
      <c r="G626">
        <f t="shared" si="215"/>
        <v>11.305450182311626</v>
      </c>
      <c r="H626">
        <f t="shared" si="215"/>
        <v>10.92015363676164</v>
      </c>
      <c r="I626">
        <f t="shared" si="198"/>
        <v>1.8207399625598129</v>
      </c>
      <c r="J626">
        <f t="shared" si="213"/>
        <v>11.277903317377412</v>
      </c>
      <c r="K626">
        <f t="shared" si="217"/>
        <v>11.390933540824491</v>
      </c>
      <c r="L626">
        <f t="shared" si="217"/>
        <v>11.041910107641</v>
      </c>
      <c r="M626">
        <f t="shared" si="217"/>
        <v>10.478048572062011</v>
      </c>
      <c r="N626">
        <f t="shared" si="199"/>
        <v>1.3786348978601843</v>
      </c>
      <c r="O626">
        <f t="shared" si="214"/>
        <v>10.842205388742295</v>
      </c>
      <c r="P626">
        <f t="shared" si="218"/>
        <v>11.357810998851885</v>
      </c>
      <c r="Q626">
        <f t="shared" si="216"/>
        <v>11.599563848039898</v>
      </c>
      <c r="R626">
        <f t="shared" si="219"/>
        <v>11.053027529253242</v>
      </c>
      <c r="S626">
        <f t="shared" si="219"/>
        <v>10.411714856504458</v>
      </c>
      <c r="T626">
        <f t="shared" si="200"/>
        <v>1.3123011823026314</v>
      </c>
      <c r="U626">
        <f t="shared" si="201"/>
        <v>-1.3123011823026314</v>
      </c>
      <c r="V626">
        <f t="shared" si="208"/>
        <v>10.772588073908281</v>
      </c>
      <c r="W626">
        <f t="shared" si="202"/>
        <v>-1.6731743997064541</v>
      </c>
      <c r="X626">
        <f t="shared" si="209"/>
        <v>11.200154876239164</v>
      </c>
      <c r="Y626">
        <f t="shared" si="203"/>
        <v>-2.1007412020373373</v>
      </c>
      <c r="Z626">
        <f t="shared" si="210"/>
        <v>11.369971423584538</v>
      </c>
      <c r="AA626">
        <f t="shared" si="204"/>
        <v>-2.2705577493827107</v>
      </c>
      <c r="AB626">
        <f t="shared" si="205"/>
        <v>0.12097367420182614</v>
      </c>
      <c r="AC626">
        <f t="shared" si="206"/>
        <v>10.218415071939111</v>
      </c>
      <c r="AD626">
        <f t="shared" si="207"/>
        <v>-1.1190013977372839</v>
      </c>
    </row>
    <row r="627" spans="1:30">
      <c r="A627">
        <v>625</v>
      </c>
      <c r="B627">
        <v>10.245885068919533</v>
      </c>
      <c r="C627">
        <f t="shared" si="211"/>
        <v>10.642963521775835</v>
      </c>
      <c r="D627">
        <f t="shared" si="211"/>
        <v>11.093772365190059</v>
      </c>
      <c r="E627">
        <f t="shared" si="212"/>
        <v>10.404054885176578</v>
      </c>
      <c r="F627">
        <f t="shared" si="215"/>
        <v>11.412451973374777</v>
      </c>
      <c r="G627">
        <f t="shared" si="215"/>
        <v>11.483778187581537</v>
      </c>
      <c r="H627">
        <f t="shared" si="215"/>
        <v>11.069996545965308</v>
      </c>
      <c r="I627">
        <f t="shared" si="198"/>
        <v>0.82411147704577559</v>
      </c>
      <c r="J627">
        <f t="shared" si="213"/>
        <v>10.887066380745999</v>
      </c>
      <c r="K627">
        <f t="shared" si="217"/>
        <v>11.439656879060699</v>
      </c>
      <c r="L627">
        <f t="shared" si="217"/>
        <v>11.176582735975874</v>
      </c>
      <c r="M627">
        <f t="shared" si="217"/>
        <v>10.720363244542964</v>
      </c>
      <c r="N627">
        <f t="shared" si="199"/>
        <v>0.47447817562343175</v>
      </c>
      <c r="O627">
        <f t="shared" si="214"/>
        <v>10.758830118380706</v>
      </c>
      <c r="P627">
        <f t="shared" si="218"/>
        <v>11.263103074656518</v>
      </c>
      <c r="Q627">
        <f t="shared" si="216"/>
        <v>11.091713444493458</v>
      </c>
      <c r="R627">
        <f t="shared" si="219"/>
        <v>11.251486675469756</v>
      </c>
      <c r="S627">
        <f t="shared" si="219"/>
        <v>10.585786027556424</v>
      </c>
      <c r="T627">
        <f t="shared" si="200"/>
        <v>0.33990095863689085</v>
      </c>
      <c r="U627">
        <f t="shared" si="201"/>
        <v>-0.33990095863689085</v>
      </c>
      <c r="V627">
        <f t="shared" si="208"/>
        <v>10.605270633937636</v>
      </c>
      <c r="W627">
        <f t="shared" si="202"/>
        <v>-0.35938556501810304</v>
      </c>
      <c r="X627">
        <f t="shared" si="209"/>
        <v>10.780006635831697</v>
      </c>
      <c r="Y627">
        <f t="shared" si="203"/>
        <v>-0.53412156691216417</v>
      </c>
      <c r="Z627">
        <f t="shared" si="210"/>
        <v>10.688804098769724</v>
      </c>
      <c r="AA627">
        <f t="shared" si="204"/>
        <v>-0.44291902985019149</v>
      </c>
      <c r="AB627">
        <f t="shared" si="205"/>
        <v>1.2618850689195327</v>
      </c>
      <c r="AC627">
        <f t="shared" si="206"/>
        <v>10.250967815776015</v>
      </c>
      <c r="AD627">
        <f t="shared" si="207"/>
        <v>-5.0827468564822453E-3</v>
      </c>
    </row>
    <row r="628" spans="1:30">
      <c r="A628">
        <v>626</v>
      </c>
      <c r="B628">
        <v>9.529732432373871</v>
      </c>
      <c r="C628">
        <f t="shared" si="211"/>
        <v>9.6726493715606807</v>
      </c>
      <c r="D628">
        <f t="shared" si="211"/>
        <v>10.849669506219893</v>
      </c>
      <c r="E628">
        <f t="shared" si="212"/>
        <v>10.510604037490401</v>
      </c>
      <c r="F628">
        <f t="shared" si="215"/>
        <v>10.954012933830191</v>
      </c>
      <c r="G628">
        <f t="shared" si="215"/>
        <v>11.52302265950825</v>
      </c>
      <c r="H628">
        <f t="shared" si="215"/>
        <v>11.26331386279953</v>
      </c>
      <c r="I628">
        <f t="shared" si="198"/>
        <v>1.7335814304256587</v>
      </c>
      <c r="J628">
        <f t="shared" si="213"/>
        <v>10.364512431112317</v>
      </c>
      <c r="K628">
        <f t="shared" si="217"/>
        <v>11.338054032675887</v>
      </c>
      <c r="L628">
        <f t="shared" si="217"/>
        <v>11.296475947740328</v>
      </c>
      <c r="M628">
        <f t="shared" si="217"/>
        <v>10.924294315637308</v>
      </c>
      <c r="N628">
        <f t="shared" si="199"/>
        <v>1.394561883263437</v>
      </c>
      <c r="O628">
        <f t="shared" si="214"/>
        <v>10.197556431364628</v>
      </c>
      <c r="P628">
        <f t="shared" si="218"/>
        <v>11.215077047194347</v>
      </c>
      <c r="Q628">
        <f t="shared" si="216"/>
        <v>10.742818668771834</v>
      </c>
      <c r="R628">
        <f t="shared" si="219"/>
        <v>11.259766918544708</v>
      </c>
      <c r="S628">
        <f t="shared" si="219"/>
        <v>10.776718343066962</v>
      </c>
      <c r="T628">
        <f t="shared" si="200"/>
        <v>1.2469859106930912</v>
      </c>
      <c r="U628">
        <f t="shared" si="201"/>
        <v>-1.2469859106930912</v>
      </c>
      <c r="V628">
        <f t="shared" si="208"/>
        <v>10.569332077435826</v>
      </c>
      <c r="W628">
        <f t="shared" si="202"/>
        <v>-1.0395996450619549</v>
      </c>
      <c r="X628">
        <f t="shared" si="209"/>
        <v>10.673182322449264</v>
      </c>
      <c r="Y628">
        <f t="shared" si="203"/>
        <v>-1.1434498900753933</v>
      </c>
      <c r="Z628">
        <f t="shared" si="210"/>
        <v>10.555928389814667</v>
      </c>
      <c r="AA628">
        <f t="shared" si="204"/>
        <v>-1.0261959574407964</v>
      </c>
      <c r="AB628">
        <f t="shared" si="205"/>
        <v>0.54017243237387014</v>
      </c>
      <c r="AC628">
        <f t="shared" si="206"/>
        <v>10.282833570566838</v>
      </c>
      <c r="AD628">
        <f t="shared" si="207"/>
        <v>-0.75310113819296731</v>
      </c>
    </row>
    <row r="629" spans="1:30">
      <c r="A629">
        <v>627</v>
      </c>
      <c r="B629">
        <v>8.567468114784317</v>
      </c>
      <c r="C629">
        <f t="shared" si="211"/>
        <v>9.8878087506467018</v>
      </c>
      <c r="D629">
        <f t="shared" si="211"/>
        <v>10.157806446668257</v>
      </c>
      <c r="E629">
        <f t="shared" si="212"/>
        <v>9.6250103918317436</v>
      </c>
      <c r="F629">
        <f t="shared" si="215"/>
        <v>10.799203179642568</v>
      </c>
      <c r="G629">
        <f t="shared" si="215"/>
        <v>11.285553011699731</v>
      </c>
      <c r="H629">
        <f t="shared" si="215"/>
        <v>11.43741700980047</v>
      </c>
      <c r="I629">
        <f t="shared" si="198"/>
        <v>2.8699488950161527</v>
      </c>
      <c r="J629">
        <f t="shared" si="213"/>
        <v>10.265386136211267</v>
      </c>
      <c r="K629">
        <f t="shared" si="217"/>
        <v>10.961392633772</v>
      </c>
      <c r="L629">
        <f t="shared" si="217"/>
        <v>11.373880712439162</v>
      </c>
      <c r="M629">
        <f t="shared" si="217"/>
        <v>11.08850621967389</v>
      </c>
      <c r="N629">
        <f t="shared" si="199"/>
        <v>2.5210381048895734</v>
      </c>
      <c r="O629">
        <f t="shared" si="214"/>
        <v>9.9258025319258785</v>
      </c>
      <c r="P629">
        <f t="shared" si="218"/>
        <v>10.954187856163463</v>
      </c>
      <c r="Q629">
        <f t="shared" si="216"/>
        <v>10.553980504046233</v>
      </c>
      <c r="R629">
        <f t="shared" si="219"/>
        <v>11.183700386878877</v>
      </c>
      <c r="S629">
        <f t="shared" si="219"/>
        <v>10.937686145266051</v>
      </c>
      <c r="T629">
        <f t="shared" si="200"/>
        <v>2.370218030481734</v>
      </c>
      <c r="U629">
        <f t="shared" si="201"/>
        <v>-2.370218030481734</v>
      </c>
      <c r="V629">
        <f t="shared" si="208"/>
        <v>10.46537211292963</v>
      </c>
      <c r="W629">
        <f t="shared" si="202"/>
        <v>-1.8979039981453134</v>
      </c>
      <c r="X629">
        <f t="shared" si="209"/>
        <v>10.444492344434186</v>
      </c>
      <c r="Y629">
        <f t="shared" si="203"/>
        <v>-1.8770242296498694</v>
      </c>
      <c r="Z629">
        <f t="shared" si="210"/>
        <v>10.248069602582429</v>
      </c>
      <c r="AA629">
        <f t="shared" si="204"/>
        <v>-1.6806014877981124</v>
      </c>
      <c r="AB629">
        <f t="shared" si="205"/>
        <v>-0.42765188521568298</v>
      </c>
      <c r="AC629">
        <f t="shared" si="206"/>
        <v>10.314003693246432</v>
      </c>
      <c r="AD629">
        <f t="shared" si="207"/>
        <v>-1.7465355784621153</v>
      </c>
    </row>
    <row r="630" spans="1:30">
      <c r="A630">
        <v>628</v>
      </c>
      <c r="B630">
        <v>11.004121517507171</v>
      </c>
      <c r="C630">
        <f t="shared" si="211"/>
        <v>9.048600273579094</v>
      </c>
      <c r="D630">
        <f t="shared" si="211"/>
        <v>9.7802290611036913</v>
      </c>
      <c r="E630">
        <f t="shared" si="212"/>
        <v>9.4476952053592402</v>
      </c>
      <c r="F630">
        <f t="shared" si="215"/>
        <v>10.179889771499575</v>
      </c>
      <c r="G630">
        <f t="shared" si="215"/>
        <v>11.055222695615845</v>
      </c>
      <c r="H630">
        <f t="shared" si="215"/>
        <v>11.430784619596507</v>
      </c>
      <c r="I630">
        <f t="shared" si="198"/>
        <v>0.42666310208933567</v>
      </c>
      <c r="J630">
        <f t="shared" si="213"/>
        <v>9.3606248225698874</v>
      </c>
      <c r="K630">
        <f t="shared" si="217"/>
        <v>10.69871706636175</v>
      </c>
      <c r="L630">
        <f t="shared" si="217"/>
        <v>11.282509271583269</v>
      </c>
      <c r="M630">
        <f t="shared" si="217"/>
        <v>11.222212375949089</v>
      </c>
      <c r="N630">
        <f t="shared" si="199"/>
        <v>0.21809085844191856</v>
      </c>
      <c r="O630">
        <f t="shared" si="214"/>
        <v>9.6893241615573444</v>
      </c>
      <c r="P630">
        <f t="shared" si="218"/>
        <v>10.642913573793058</v>
      </c>
      <c r="Q630">
        <f t="shared" si="216"/>
        <v>9.9258750452679099</v>
      </c>
      <c r="R630">
        <f t="shared" si="219"/>
        <v>11.074878068960942</v>
      </c>
      <c r="S630">
        <f t="shared" si="219"/>
        <v>11.052759336643241</v>
      </c>
      <c r="T630">
        <f t="shared" si="200"/>
        <v>4.8637819136070348E-2</v>
      </c>
      <c r="U630">
        <f t="shared" si="201"/>
        <v>-4.8637819136070348E-2</v>
      </c>
      <c r="V630">
        <f t="shared" si="208"/>
        <v>10.275581713115098</v>
      </c>
      <c r="W630">
        <f t="shared" si="202"/>
        <v>0.72853980439207255</v>
      </c>
      <c r="X630">
        <f t="shared" si="209"/>
        <v>10.069087498504212</v>
      </c>
      <c r="Y630">
        <f t="shared" si="203"/>
        <v>0.93503401900295913</v>
      </c>
      <c r="Z630">
        <f t="shared" si="210"/>
        <v>9.7438891562429966</v>
      </c>
      <c r="AA630">
        <f t="shared" si="204"/>
        <v>1.2602323612641744</v>
      </c>
      <c r="AB630">
        <f t="shared" si="205"/>
        <v>2.00344151750717</v>
      </c>
      <c r="AC630">
        <f t="shared" si="206"/>
        <v>10.344469733976325</v>
      </c>
      <c r="AD630">
        <f t="shared" si="207"/>
        <v>0.65965178353084575</v>
      </c>
    </row>
    <row r="631" spans="1:30">
      <c r="A631">
        <v>629</v>
      </c>
      <c r="B631">
        <v>11.766210300351641</v>
      </c>
      <c r="C631">
        <f t="shared" si="211"/>
        <v>9.785794816145744</v>
      </c>
      <c r="D631">
        <f t="shared" si="211"/>
        <v>9.4682045121128979</v>
      </c>
      <c r="E631">
        <f t="shared" si="212"/>
        <v>9.7004406882217875</v>
      </c>
      <c r="F631">
        <f t="shared" si="215"/>
        <v>9.8611032115604615</v>
      </c>
      <c r="G631">
        <f t="shared" si="215"/>
        <v>10.644368628324111</v>
      </c>
      <c r="H631">
        <f t="shared" si="215"/>
        <v>11.287932788941276</v>
      </c>
      <c r="I631">
        <f t="shared" si="198"/>
        <v>-0.47827751141036501</v>
      </c>
      <c r="J631">
        <f t="shared" si="213"/>
        <v>9.8368017833962238</v>
      </c>
      <c r="K631">
        <f t="shared" si="217"/>
        <v>10.219397442659869</v>
      </c>
      <c r="L631">
        <f t="shared" si="217"/>
        <v>11.109455152967584</v>
      </c>
      <c r="M631">
        <f t="shared" si="217"/>
        <v>11.282362166934657</v>
      </c>
      <c r="N631">
        <f t="shared" si="199"/>
        <v>-0.48384813341698418</v>
      </c>
      <c r="O631">
        <f t="shared" si="214"/>
        <v>10.222683486787307</v>
      </c>
      <c r="P631">
        <f t="shared" si="218"/>
        <v>10.28274372639417</v>
      </c>
      <c r="Q631">
        <f t="shared" si="216"/>
        <v>10.105522362856094</v>
      </c>
      <c r="R631">
        <f t="shared" si="219"/>
        <v>10.858887739119147</v>
      </c>
      <c r="S631">
        <f t="shared" si="219"/>
        <v>11.115806674546034</v>
      </c>
      <c r="T631">
        <f t="shared" si="200"/>
        <v>-0.65040362580560718</v>
      </c>
      <c r="U631">
        <f t="shared" si="201"/>
        <v>0.65040362580560718</v>
      </c>
      <c r="V631">
        <f t="shared" si="208"/>
        <v>10.348435693554306</v>
      </c>
      <c r="W631">
        <f t="shared" si="202"/>
        <v>1.4177746067973356</v>
      </c>
      <c r="X631">
        <f t="shared" si="209"/>
        <v>10.256094302304804</v>
      </c>
      <c r="Y631">
        <f t="shared" si="203"/>
        <v>1.510115998046837</v>
      </c>
      <c r="Z631">
        <f t="shared" si="210"/>
        <v>10.121958864622249</v>
      </c>
      <c r="AA631">
        <f t="shared" si="204"/>
        <v>1.6442514357293927</v>
      </c>
      <c r="AB631">
        <f t="shared" si="205"/>
        <v>2.7599703003516414</v>
      </c>
      <c r="AC631">
        <f t="shared" si="206"/>
        <v>10.374223438491827</v>
      </c>
      <c r="AD631">
        <f t="shared" si="207"/>
        <v>1.3919868618598148</v>
      </c>
    </row>
    <row r="632" spans="1:30">
      <c r="A632">
        <v>630</v>
      </c>
      <c r="B632">
        <v>12.070761736080504</v>
      </c>
      <c r="C632">
        <f t="shared" si="211"/>
        <v>11.385165908929405</v>
      </c>
      <c r="D632">
        <f t="shared" si="211"/>
        <v>9.4171975448624181</v>
      </c>
      <c r="E632">
        <f t="shared" si="212"/>
        <v>10.445933310881044</v>
      </c>
      <c r="F632">
        <f t="shared" si="215"/>
        <v>9.5910487618042577</v>
      </c>
      <c r="G632">
        <f t="shared" si="215"/>
        <v>10.280065387567534</v>
      </c>
      <c r="H632">
        <f t="shared" si="215"/>
        <v>10.995048111879896</v>
      </c>
      <c r="I632">
        <f t="shared" si="198"/>
        <v>-1.075713624200608</v>
      </c>
      <c r="J632">
        <f t="shared" si="213"/>
        <v>10.21688309125425</v>
      </c>
      <c r="K632">
        <f t="shared" si="217"/>
        <v>9.9568312933224252</v>
      </c>
      <c r="L632">
        <f t="shared" si="217"/>
        <v>10.804390293867376</v>
      </c>
      <c r="M632">
        <f t="shared" si="217"/>
        <v>11.265580271182586</v>
      </c>
      <c r="N632">
        <f t="shared" si="199"/>
        <v>-0.80518146489791853</v>
      </c>
      <c r="O632">
        <f t="shared" si="214"/>
        <v>10.587658820219501</v>
      </c>
      <c r="P632">
        <f t="shared" si="218"/>
        <v>10.158839346003171</v>
      </c>
      <c r="Q632">
        <f t="shared" si="216"/>
        <v>10.035471851356393</v>
      </c>
      <c r="R632">
        <f t="shared" si="219"/>
        <v>10.669912312245906</v>
      </c>
      <c r="S632">
        <f t="shared" si="219"/>
        <v>11.113624553037779</v>
      </c>
      <c r="T632">
        <f t="shared" si="200"/>
        <v>-0.95713718304272533</v>
      </c>
      <c r="U632">
        <f t="shared" si="201"/>
        <v>0.95713718304272533</v>
      </c>
      <c r="V632">
        <f t="shared" si="208"/>
        <v>10.49021315423404</v>
      </c>
      <c r="W632">
        <f t="shared" si="202"/>
        <v>1.5805485818464646</v>
      </c>
      <c r="X632">
        <f t="shared" si="209"/>
        <v>10.558117501914172</v>
      </c>
      <c r="Y632">
        <f t="shared" si="203"/>
        <v>1.5126442341663324</v>
      </c>
      <c r="Z632">
        <f t="shared" si="210"/>
        <v>10.615234295341066</v>
      </c>
      <c r="AA632">
        <f t="shared" si="204"/>
        <v>1.4555274407394378</v>
      </c>
      <c r="AB632">
        <f t="shared" si="205"/>
        <v>3.0589617360805033</v>
      </c>
      <c r="AC632">
        <f t="shared" si="206"/>
        <v>10.403256750394847</v>
      </c>
      <c r="AD632">
        <f t="shared" si="207"/>
        <v>1.6675049856856567</v>
      </c>
    </row>
    <row r="633" spans="1:30">
      <c r="A633">
        <v>631</v>
      </c>
      <c r="B633">
        <v>10.243882019860825</v>
      </c>
      <c r="C633">
        <f t="shared" si="211"/>
        <v>11.918486018216072</v>
      </c>
      <c r="D633">
        <f t="shared" si="211"/>
        <v>10.585480362537574</v>
      </c>
      <c r="E633">
        <f t="shared" si="212"/>
        <v>11.613697851313106</v>
      </c>
      <c r="F633">
        <f t="shared" si="215"/>
        <v>9.8646897348206917</v>
      </c>
      <c r="G633">
        <f t="shared" si="215"/>
        <v>9.877347248288098</v>
      </c>
      <c r="H633">
        <f t="shared" si="215"/>
        <v>10.659885570502496</v>
      </c>
      <c r="I633">
        <f t="shared" si="198"/>
        <v>0.41600355064167083</v>
      </c>
      <c r="J633">
        <f t="shared" si="213"/>
        <v>10.852140417180909</v>
      </c>
      <c r="K633">
        <f t="shared" si="217"/>
        <v>9.9199239583579057</v>
      </c>
      <c r="L633">
        <f t="shared" si="217"/>
        <v>10.459084609029011</v>
      </c>
      <c r="M633">
        <f t="shared" si="217"/>
        <v>11.142558857714349</v>
      </c>
      <c r="N633">
        <f t="shared" si="199"/>
        <v>0.89867683785352348</v>
      </c>
      <c r="O633">
        <f t="shared" si="214"/>
        <v>10.730488737716893</v>
      </c>
      <c r="P633">
        <f t="shared" si="218"/>
        <v>10.124605086370931</v>
      </c>
      <c r="Q633">
        <f t="shared" si="216"/>
        <v>10.530696528336174</v>
      </c>
      <c r="R633">
        <f t="shared" si="219"/>
        <v>10.409230312798652</v>
      </c>
      <c r="S633">
        <f t="shared" si="219"/>
        <v>11.049772016869889</v>
      </c>
      <c r="T633">
        <f t="shared" si="200"/>
        <v>0.80588999700906427</v>
      </c>
      <c r="U633">
        <f t="shared" si="201"/>
        <v>-0.80588999700906427</v>
      </c>
      <c r="V633">
        <f t="shared" si="208"/>
        <v>10.648268012418686</v>
      </c>
      <c r="W633">
        <f t="shared" si="202"/>
        <v>-0.40438599255786123</v>
      </c>
      <c r="X633">
        <f t="shared" si="209"/>
        <v>10.860646348747439</v>
      </c>
      <c r="Y633">
        <f t="shared" si="203"/>
        <v>-0.61676432888661381</v>
      </c>
      <c r="Z633">
        <f t="shared" si="210"/>
        <v>11.051892527562897</v>
      </c>
      <c r="AA633">
        <f t="shared" si="204"/>
        <v>-0.80801050770207183</v>
      </c>
      <c r="AB633">
        <f t="shared" si="205"/>
        <v>1.2265220198608251</v>
      </c>
      <c r="AC633">
        <f t="shared" si="206"/>
        <v>10.431561813391717</v>
      </c>
      <c r="AD633">
        <f t="shared" si="207"/>
        <v>-0.18767979353089181</v>
      </c>
    </row>
    <row r="634" spans="1:30">
      <c r="A634">
        <v>632</v>
      </c>
      <c r="B634">
        <v>8.4623365601376346</v>
      </c>
      <c r="C634">
        <f t="shared" si="211"/>
        <v>11.157321877970665</v>
      </c>
      <c r="D634">
        <f t="shared" si="211"/>
        <v>11.651825963572739</v>
      </c>
      <c r="E634">
        <f t="shared" si="212"/>
        <v>11.36028468543099</v>
      </c>
      <c r="F634">
        <f t="shared" si="215"/>
        <v>10.586690616805312</v>
      </c>
      <c r="G634">
        <f t="shared" si="215"/>
        <v>9.7722805693951376</v>
      </c>
      <c r="H634">
        <f t="shared" si="215"/>
        <v>10.267260421393248</v>
      </c>
      <c r="I634">
        <f t="shared" si="198"/>
        <v>1.8049238612556131</v>
      </c>
      <c r="J634">
        <f t="shared" si="213"/>
        <v>11.271243893450036</v>
      </c>
      <c r="K634">
        <f t="shared" si="217"/>
        <v>10.066612528600317</v>
      </c>
      <c r="L634">
        <f t="shared" si="217"/>
        <v>10.198717440175487</v>
      </c>
      <c r="M634">
        <f t="shared" si="217"/>
        <v>10.91385983186181</v>
      </c>
      <c r="N634">
        <f t="shared" si="199"/>
        <v>2.4515232717241755</v>
      </c>
      <c r="O634">
        <f t="shared" si="214"/>
        <v>10.709462426787557</v>
      </c>
      <c r="P634">
        <f t="shared" si="218"/>
        <v>10.231191547641384</v>
      </c>
      <c r="Q634">
        <f t="shared" si="216"/>
        <v>10.530362686826388</v>
      </c>
      <c r="R634">
        <f t="shared" si="219"/>
        <v>10.315727493439105</v>
      </c>
      <c r="S634">
        <f t="shared" si="219"/>
        <v>10.909395956424705</v>
      </c>
      <c r="T634">
        <f t="shared" si="200"/>
        <v>2.4470593962870701</v>
      </c>
      <c r="U634">
        <f t="shared" si="201"/>
        <v>-2.4470593962870701</v>
      </c>
      <c r="V634">
        <f t="shared" si="208"/>
        <v>10.6078294131629</v>
      </c>
      <c r="W634">
        <f t="shared" si="202"/>
        <v>-2.1454928530252655</v>
      </c>
      <c r="X634">
        <f t="shared" si="209"/>
        <v>10.737293482970117</v>
      </c>
      <c r="Y634">
        <f t="shared" si="203"/>
        <v>-2.274956922832482</v>
      </c>
      <c r="Z634">
        <f t="shared" si="210"/>
        <v>10.809489375252275</v>
      </c>
      <c r="AA634">
        <f t="shared" si="204"/>
        <v>-2.3471528151146401</v>
      </c>
      <c r="AB634">
        <f t="shared" si="205"/>
        <v>-0.56058343986236459</v>
      </c>
      <c r="AC634">
        <f t="shared" si="206"/>
        <v>10.459130973475446</v>
      </c>
      <c r="AD634">
        <f t="shared" si="207"/>
        <v>-1.9967944133378115</v>
      </c>
    </row>
    <row r="635" spans="1:30">
      <c r="A635">
        <v>633</v>
      </c>
      <c r="B635">
        <v>11.949544502104752</v>
      </c>
      <c r="C635">
        <f t="shared" si="211"/>
        <v>9.3531092899992299</v>
      </c>
      <c r="D635">
        <f t="shared" si="211"/>
        <v>11.537903948093369</v>
      </c>
      <c r="E635">
        <f t="shared" si="212"/>
        <v>10.258993438692988</v>
      </c>
      <c r="F635">
        <f t="shared" si="215"/>
        <v>11.13997194920838</v>
      </c>
      <c r="G635">
        <f t="shared" si="215"/>
        <v>10.014143037810086</v>
      </c>
      <c r="H635">
        <f t="shared" si="215"/>
        <v>9.9765644017502577</v>
      </c>
      <c r="I635">
        <f t="shared" si="198"/>
        <v>-1.9729801003544942</v>
      </c>
      <c r="J635">
        <f t="shared" si="213"/>
        <v>10.635797654107652</v>
      </c>
      <c r="K635">
        <f t="shared" si="217"/>
        <v>10.544267296320355</v>
      </c>
      <c r="L635">
        <f t="shared" si="217"/>
        <v>10.040691305735129</v>
      </c>
      <c r="M635">
        <f t="shared" si="217"/>
        <v>10.642911874009865</v>
      </c>
      <c r="N635">
        <f t="shared" si="199"/>
        <v>-1.3066326280948868</v>
      </c>
      <c r="O635">
        <f t="shared" si="214"/>
        <v>10.898547023707071</v>
      </c>
      <c r="P635">
        <f t="shared" si="218"/>
        <v>10.387923526613719</v>
      </c>
      <c r="Q635">
        <f t="shared" si="216"/>
        <v>10.352463374787016</v>
      </c>
      <c r="R635">
        <f t="shared" si="219"/>
        <v>10.280318163114865</v>
      </c>
      <c r="S635">
        <f t="shared" si="219"/>
        <v>10.752056052240439</v>
      </c>
      <c r="T635">
        <f t="shared" si="200"/>
        <v>-1.1974884498643128</v>
      </c>
      <c r="U635">
        <f t="shared" si="201"/>
        <v>1.1974884498643128</v>
      </c>
      <c r="V635">
        <f t="shared" si="208"/>
        <v>10.393280127860374</v>
      </c>
      <c r="W635">
        <f t="shared" si="202"/>
        <v>1.5562643742443782</v>
      </c>
      <c r="X635">
        <f t="shared" si="209"/>
        <v>10.282302098403621</v>
      </c>
      <c r="Y635">
        <f t="shared" si="203"/>
        <v>1.6672424037011311</v>
      </c>
      <c r="Z635">
        <f t="shared" si="210"/>
        <v>10.105343530717883</v>
      </c>
      <c r="AA635">
        <f t="shared" si="204"/>
        <v>1.8442009713868686</v>
      </c>
      <c r="AB635">
        <f t="shared" si="205"/>
        <v>2.9210645021047519</v>
      </c>
      <c r="AC635">
        <f t="shared" si="206"/>
        <v>10.485956781051796</v>
      </c>
      <c r="AD635">
        <f t="shared" si="207"/>
        <v>1.4635877210529564</v>
      </c>
    </row>
    <row r="636" spans="1:30">
      <c r="A636">
        <v>634</v>
      </c>
      <c r="B636">
        <v>10.438269827556379</v>
      </c>
      <c r="C636">
        <f t="shared" si="211"/>
        <v>10.205940531121193</v>
      </c>
      <c r="D636">
        <f t="shared" si="211"/>
        <v>10.255215583984947</v>
      </c>
      <c r="E636">
        <f t="shared" si="212"/>
        <v>10.218587694034404</v>
      </c>
      <c r="F636">
        <f t="shared" si="215"/>
        <v>11.077658658479029</v>
      </c>
      <c r="G636">
        <f t="shared" si="215"/>
        <v>10.530450766944794</v>
      </c>
      <c r="H636">
        <f t="shared" si="215"/>
        <v>9.8879236184977746</v>
      </c>
      <c r="I636">
        <f t="shared" si="198"/>
        <v>-0.55034620905860443</v>
      </c>
      <c r="J636">
        <f t="shared" si="213"/>
        <v>10.681631204545928</v>
      </c>
      <c r="K636">
        <f t="shared" si="217"/>
        <v>10.744016263998212</v>
      </c>
      <c r="L636">
        <f t="shared" si="217"/>
        <v>10.121908769150251</v>
      </c>
      <c r="M636">
        <f t="shared" si="217"/>
        <v>10.375720912201752</v>
      </c>
      <c r="N636">
        <f t="shared" si="199"/>
        <v>-6.2548915354627255E-2</v>
      </c>
      <c r="O636">
        <f t="shared" si="214"/>
        <v>10.632958929148018</v>
      </c>
      <c r="P636">
        <f t="shared" si="218"/>
        <v>10.629768099043664</v>
      </c>
      <c r="Q636">
        <f t="shared" si="216"/>
        <v>10.916142772673757</v>
      </c>
      <c r="R636">
        <f t="shared" si="219"/>
        <v>10.246731974904995</v>
      </c>
      <c r="S636">
        <f t="shared" si="219"/>
        <v>10.60149234827977</v>
      </c>
      <c r="T636">
        <f t="shared" si="200"/>
        <v>0.16322252072339083</v>
      </c>
      <c r="U636">
        <f t="shared" si="201"/>
        <v>-0.16322252072339083</v>
      </c>
      <c r="V636">
        <f t="shared" si="208"/>
        <v>10.548906565284812</v>
      </c>
      <c r="W636">
        <f t="shared" si="202"/>
        <v>-0.11063673772843252</v>
      </c>
      <c r="X636">
        <f t="shared" si="209"/>
        <v>10.615750579143848</v>
      </c>
      <c r="Y636">
        <f t="shared" si="203"/>
        <v>-0.17748075158746879</v>
      </c>
      <c r="Z636">
        <f t="shared" si="210"/>
        <v>10.658603822133944</v>
      </c>
      <c r="AA636">
        <f t="shared" si="204"/>
        <v>-0.22033399457756531</v>
      </c>
      <c r="AB636">
        <f t="shared" si="205"/>
        <v>1.404229827556378</v>
      </c>
      <c r="AC636">
        <f t="shared" si="206"/>
        <v>10.512031993008545</v>
      </c>
      <c r="AD636">
        <f t="shared" si="207"/>
        <v>-7.3762165452166073E-2</v>
      </c>
    </row>
    <row r="637" spans="1:30">
      <c r="A637">
        <v>635</v>
      </c>
      <c r="B637">
        <v>8.7775357638304321</v>
      </c>
      <c r="C637">
        <f t="shared" si="211"/>
        <v>11.193907164830566</v>
      </c>
      <c r="D637">
        <f t="shared" si="211"/>
        <v>9.7795249105602124</v>
      </c>
      <c r="E637">
        <f t="shared" si="212"/>
        <v>10.283383629932922</v>
      </c>
      <c r="F637">
        <f t="shared" si="215"/>
        <v>10.612621939386129</v>
      </c>
      <c r="G637">
        <f t="shared" si="215"/>
        <v>10.934773741497574</v>
      </c>
      <c r="H637">
        <f t="shared" si="215"/>
        <v>10.10562479138334</v>
      </c>
      <c r="I637">
        <f t="shared" si="198"/>
        <v>1.3280890275529078</v>
      </c>
      <c r="J637">
        <f t="shared" si="213"/>
        <v>10.273508227414897</v>
      </c>
      <c r="K637">
        <f t="shared" si="217"/>
        <v>10.860203292321133</v>
      </c>
      <c r="L637">
        <f t="shared" si="217"/>
        <v>10.318705011819198</v>
      </c>
      <c r="M637">
        <f t="shared" si="217"/>
        <v>10.20510053102247</v>
      </c>
      <c r="N637">
        <f t="shared" si="199"/>
        <v>1.4275647671920382</v>
      </c>
      <c r="O637">
        <f t="shared" si="214"/>
        <v>9.9743137346980042</v>
      </c>
      <c r="P637">
        <f t="shared" si="218"/>
        <v>10.711823187515808</v>
      </c>
      <c r="Q637">
        <f t="shared" si="216"/>
        <v>10.821834157681955</v>
      </c>
      <c r="R637">
        <f t="shared" si="219"/>
        <v>10.411776596139303</v>
      </c>
      <c r="S637">
        <f t="shared" si="219"/>
        <v>10.463467999270444</v>
      </c>
      <c r="T637">
        <f t="shared" si="200"/>
        <v>1.6859322354400117</v>
      </c>
      <c r="U637">
        <f t="shared" si="201"/>
        <v>-1.6859322354400117</v>
      </c>
      <c r="V637">
        <f t="shared" si="208"/>
        <v>10.537842891511968</v>
      </c>
      <c r="W637">
        <f t="shared" si="202"/>
        <v>-1.7603071276815356</v>
      </c>
      <c r="X637">
        <f t="shared" si="209"/>
        <v>10.580254428826354</v>
      </c>
      <c r="Y637">
        <f t="shared" si="203"/>
        <v>-1.8027186649959219</v>
      </c>
      <c r="Z637">
        <f t="shared" si="210"/>
        <v>10.592503623760674</v>
      </c>
      <c r="AA637">
        <f t="shared" si="204"/>
        <v>-1.8149678599302419</v>
      </c>
      <c r="AB637">
        <f t="shared" si="205"/>
        <v>-0.26206423616956798</v>
      </c>
      <c r="AC637">
        <f t="shared" si="206"/>
        <v>10.537349574727443</v>
      </c>
      <c r="AD637">
        <f t="shared" si="207"/>
        <v>-1.7598138108970112</v>
      </c>
    </row>
    <row r="638" spans="1:30">
      <c r="A638">
        <v>636</v>
      </c>
      <c r="B638">
        <v>9.6601323636163219</v>
      </c>
      <c r="C638">
        <f t="shared" si="211"/>
        <v>9.6079027956934056</v>
      </c>
      <c r="D638">
        <f t="shared" si="211"/>
        <v>10.69992384797588</v>
      </c>
      <c r="E638">
        <f t="shared" si="212"/>
        <v>10.388450031163854</v>
      </c>
      <c r="F638">
        <f t="shared" si="215"/>
        <v>10.253654920886772</v>
      </c>
      <c r="G638">
        <f t="shared" si="215"/>
        <v>10.943417515691181</v>
      </c>
      <c r="H638">
        <f t="shared" si="215"/>
        <v>10.493122515417484</v>
      </c>
      <c r="I638">
        <f t="shared" si="198"/>
        <v>0.83299015180116243</v>
      </c>
      <c r="J638">
        <f t="shared" si="213"/>
        <v>9.9069216634072994</v>
      </c>
      <c r="K638">
        <f t="shared" si="217"/>
        <v>10.715545244879628</v>
      </c>
      <c r="L638">
        <f t="shared" si="217"/>
        <v>10.553774845310004</v>
      </c>
      <c r="M638">
        <f t="shared" si="217"/>
        <v>10.170005631720016</v>
      </c>
      <c r="N638">
        <f t="shared" si="199"/>
        <v>0.5098732681036946</v>
      </c>
      <c r="O638">
        <f t="shared" si="214"/>
        <v>9.8575638034491035</v>
      </c>
      <c r="P638">
        <f t="shared" si="218"/>
        <v>10.589154170411508</v>
      </c>
      <c r="Q638">
        <f t="shared" si="216"/>
        <v>10.323721734928419</v>
      </c>
      <c r="R638">
        <f t="shared" si="219"/>
        <v>10.531161895276947</v>
      </c>
      <c r="S638">
        <f t="shared" si="219"/>
        <v>10.388949475440471</v>
      </c>
      <c r="T638">
        <f t="shared" si="200"/>
        <v>0.72881711182414932</v>
      </c>
      <c r="U638">
        <f t="shared" si="201"/>
        <v>-0.72881711182414932</v>
      </c>
      <c r="V638">
        <f t="shared" si="208"/>
        <v>10.361812178743815</v>
      </c>
      <c r="W638">
        <f t="shared" si="202"/>
        <v>-0.701679815127493</v>
      </c>
      <c r="X638">
        <f t="shared" si="209"/>
        <v>10.219710695827169</v>
      </c>
      <c r="Y638">
        <f t="shared" si="203"/>
        <v>-0.55957833221084741</v>
      </c>
      <c r="Z638">
        <f t="shared" si="210"/>
        <v>10.048013265781602</v>
      </c>
      <c r="AA638">
        <f t="shared" si="204"/>
        <v>-0.38788090216528026</v>
      </c>
      <c r="AB638">
        <f t="shared" si="205"/>
        <v>0.61497236361632268</v>
      </c>
      <c r="AC638">
        <f t="shared" si="206"/>
        <v>10.561902702038198</v>
      </c>
      <c r="AD638">
        <f t="shared" si="207"/>
        <v>-0.90177033842187626</v>
      </c>
    </row>
    <row r="639" spans="1:30">
      <c r="A639">
        <v>637</v>
      </c>
      <c r="B639">
        <v>11.590036204039917</v>
      </c>
      <c r="C639">
        <f t="shared" si="211"/>
        <v>9.2188340637233779</v>
      </c>
      <c r="D639">
        <f t="shared" si="211"/>
        <v>10.400904980261986</v>
      </c>
      <c r="E639">
        <f t="shared" si="212"/>
        <v>9.625312651667711</v>
      </c>
      <c r="F639">
        <f t="shared" si="215"/>
        <v>10.29680711837706</v>
      </c>
      <c r="G639">
        <f t="shared" si="215"/>
        <v>10.647978506250643</v>
      </c>
      <c r="H639">
        <f t="shared" si="215"/>
        <v>10.802880674711183</v>
      </c>
      <c r="I639">
        <f t="shared" si="198"/>
        <v>-0.787155529328734</v>
      </c>
      <c r="J639">
        <f t="shared" si="213"/>
        <v>10.206370614276972</v>
      </c>
      <c r="K639">
        <f t="shared" si="217"/>
        <v>10.374464687368944</v>
      </c>
      <c r="L639">
        <f t="shared" si="217"/>
        <v>10.716008024379832</v>
      </c>
      <c r="M639">
        <f t="shared" si="217"/>
        <v>10.258769983003646</v>
      </c>
      <c r="N639">
        <f t="shared" si="199"/>
        <v>-1.3312662210362713</v>
      </c>
      <c r="O639">
        <f t="shared" si="214"/>
        <v>10.483103732229562</v>
      </c>
      <c r="P639">
        <f t="shared" si="218"/>
        <v>10.414569183557951</v>
      </c>
      <c r="Q639">
        <f t="shared" si="216"/>
        <v>9.9219501728510568</v>
      </c>
      <c r="R639">
        <f t="shared" si="219"/>
        <v>10.579203542538952</v>
      </c>
      <c r="S639">
        <f t="shared" si="219"/>
        <v>10.365824405945645</v>
      </c>
      <c r="T639">
        <f t="shared" si="200"/>
        <v>-1.2242117980942719</v>
      </c>
      <c r="U639">
        <f t="shared" si="201"/>
        <v>1.2242117980942719</v>
      </c>
      <c r="V639">
        <f t="shared" si="208"/>
        <v>10.291644197231065</v>
      </c>
      <c r="W639">
        <f t="shared" si="202"/>
        <v>1.2983920068088519</v>
      </c>
      <c r="X639">
        <f t="shared" si="209"/>
        <v>10.107795029385001</v>
      </c>
      <c r="Y639">
        <f t="shared" si="203"/>
        <v>1.4822411746549164</v>
      </c>
      <c r="Z639">
        <f t="shared" si="210"/>
        <v>9.9316489951320186</v>
      </c>
      <c r="AA639">
        <f t="shared" si="204"/>
        <v>1.6583872089078984</v>
      </c>
      <c r="AB639">
        <f t="shared" si="205"/>
        <v>2.5393162040399169</v>
      </c>
      <c r="AC639">
        <f t="shared" si="206"/>
        <v>10.58568476311406</v>
      </c>
      <c r="AD639">
        <f t="shared" si="207"/>
        <v>1.0043514409258574</v>
      </c>
    </row>
    <row r="640" spans="1:30">
      <c r="A640">
        <v>638</v>
      </c>
      <c r="B640">
        <v>9.9610218324055566</v>
      </c>
      <c r="C640">
        <f t="shared" si="211"/>
        <v>10.625084283828119</v>
      </c>
      <c r="D640">
        <f t="shared" si="211"/>
        <v>9.4133684297083917</v>
      </c>
      <c r="E640">
        <f t="shared" si="212"/>
        <v>10.009234777162225</v>
      </c>
      <c r="F640">
        <f t="shared" si="215"/>
        <v>10.099048770921497</v>
      </c>
      <c r="G640">
        <f t="shared" si="215"/>
        <v>10.387694659549988</v>
      </c>
      <c r="H640">
        <f t="shared" si="215"/>
        <v>10.842056587813133</v>
      </c>
      <c r="I640">
        <f t="shared" si="198"/>
        <v>0.88103475540757614</v>
      </c>
      <c r="J640">
        <f t="shared" si="213"/>
        <v>10.116493539760762</v>
      </c>
      <c r="K640">
        <f t="shared" si="217"/>
        <v>10.267107927411274</v>
      </c>
      <c r="L640">
        <f t="shared" si="217"/>
        <v>10.673557372141978</v>
      </c>
      <c r="M640">
        <f t="shared" si="217"/>
        <v>10.427599162664821</v>
      </c>
      <c r="N640">
        <f t="shared" si="199"/>
        <v>0.4665773302592644</v>
      </c>
      <c r="O640">
        <f t="shared" si="214"/>
        <v>10.085399198289721</v>
      </c>
      <c r="P640">
        <f t="shared" si="218"/>
        <v>10.369297444646353</v>
      </c>
      <c r="Q640">
        <f t="shared" si="216"/>
        <v>10.146309203547572</v>
      </c>
      <c r="R640">
        <f t="shared" si="219"/>
        <v>10.477745816624765</v>
      </c>
      <c r="S640">
        <f t="shared" si="219"/>
        <v>10.394153277569027</v>
      </c>
      <c r="T640">
        <f t="shared" si="200"/>
        <v>0.43313144516347002</v>
      </c>
      <c r="U640">
        <f t="shared" si="201"/>
        <v>-0.43313144516347002</v>
      </c>
      <c r="V640">
        <f t="shared" si="208"/>
        <v>10.421483397911951</v>
      </c>
      <c r="W640">
        <f t="shared" si="202"/>
        <v>-0.46046156550639417</v>
      </c>
      <c r="X640">
        <f t="shared" si="209"/>
        <v>10.404243264315983</v>
      </c>
      <c r="Y640">
        <f t="shared" si="203"/>
        <v>-0.44322143191042684</v>
      </c>
      <c r="Z640">
        <f t="shared" si="210"/>
        <v>10.429165157804388</v>
      </c>
      <c r="AA640">
        <f t="shared" si="204"/>
        <v>-0.46814332539883097</v>
      </c>
      <c r="AB640">
        <f t="shared" si="205"/>
        <v>0.90474183240555561</v>
      </c>
      <c r="AC640">
        <f t="shared" si="206"/>
        <v>10.608689360308373</v>
      </c>
      <c r="AD640">
        <f t="shared" si="207"/>
        <v>-0.64766752790281679</v>
      </c>
    </row>
    <row r="641" spans="1:30">
      <c r="A641">
        <v>639</v>
      </c>
      <c r="B641">
        <v>8.8083449621703878</v>
      </c>
      <c r="C641">
        <f t="shared" si="211"/>
        <v>10.775529018222738</v>
      </c>
      <c r="D641">
        <f t="shared" si="211"/>
        <v>9.9219591737757487</v>
      </c>
      <c r="E641">
        <f t="shared" si="212"/>
        <v>10.403730133353932</v>
      </c>
      <c r="F641">
        <f t="shared" si="215"/>
        <v>10.00766581999793</v>
      </c>
      <c r="G641">
        <f t="shared" si="215"/>
        <v>10.216503603395111</v>
      </c>
      <c r="H641">
        <f t="shared" si="215"/>
        <v>10.659696893830604</v>
      </c>
      <c r="I641">
        <f t="shared" si="198"/>
        <v>1.8513519316602167</v>
      </c>
      <c r="J641">
        <f t="shared" si="213"/>
        <v>9.9971815409730578</v>
      </c>
      <c r="K641">
        <f t="shared" si="217"/>
        <v>10.125823511214982</v>
      </c>
      <c r="L641">
        <f t="shared" si="217"/>
        <v>10.554330287995244</v>
      </c>
      <c r="M641">
        <f t="shared" si="217"/>
        <v>10.565511313412753</v>
      </c>
      <c r="N641">
        <f t="shared" si="199"/>
        <v>1.7571663512423648</v>
      </c>
      <c r="O641">
        <f t="shared" si="214"/>
        <v>9.7594142252125238</v>
      </c>
      <c r="P641">
        <f t="shared" si="218"/>
        <v>10.206667879562882</v>
      </c>
      <c r="Q641">
        <f t="shared" si="216"/>
        <v>10.396090082258894</v>
      </c>
      <c r="R641">
        <f t="shared" si="219"/>
        <v>10.413736902744963</v>
      </c>
      <c r="S641">
        <f t="shared" si="219"/>
        <v>10.421156331433304</v>
      </c>
      <c r="T641">
        <f t="shared" si="200"/>
        <v>1.612811369262916</v>
      </c>
      <c r="U641">
        <f t="shared" si="201"/>
        <v>-1.612811369262916</v>
      </c>
      <c r="V641">
        <f t="shared" si="208"/>
        <v>10.375437241361311</v>
      </c>
      <c r="W641">
        <f t="shared" si="202"/>
        <v>-1.5670922791909234</v>
      </c>
      <c r="X641">
        <f t="shared" si="209"/>
        <v>10.315598977933899</v>
      </c>
      <c r="Y641">
        <f t="shared" si="203"/>
        <v>-1.507254015763511</v>
      </c>
      <c r="Z641">
        <f t="shared" si="210"/>
        <v>10.288722160184738</v>
      </c>
      <c r="AA641">
        <f t="shared" si="204"/>
        <v>-1.4803771980143505</v>
      </c>
      <c r="AB641">
        <f t="shared" si="205"/>
        <v>-0.25349503782961236</v>
      </c>
      <c r="AC641">
        <f t="shared" si="206"/>
        <v>10.630910311931689</v>
      </c>
      <c r="AD641">
        <f t="shared" si="207"/>
        <v>-1.8225653497613017</v>
      </c>
    </row>
    <row r="642" spans="1:30">
      <c r="A642">
        <v>640</v>
      </c>
      <c r="B642">
        <v>11.811119393206175</v>
      </c>
      <c r="C642">
        <f t="shared" si="211"/>
        <v>9.3846833972879722</v>
      </c>
      <c r="D642">
        <f t="shared" si="211"/>
        <v>10.700306651025429</v>
      </c>
      <c r="E642">
        <f t="shared" si="212"/>
        <v>10.11980099953862</v>
      </c>
      <c r="F642">
        <f t="shared" si="215"/>
        <v>10.012759187394623</v>
      </c>
      <c r="G642">
        <f t="shared" si="215"/>
        <v>10.134507236432164</v>
      </c>
      <c r="H642">
        <f t="shared" si="215"/>
        <v>10.41739225639858</v>
      </c>
      <c r="I642">
        <f t="shared" si="198"/>
        <v>-1.3937271368075947</v>
      </c>
      <c r="J642">
        <f t="shared" si="213"/>
        <v>10.004883840558046</v>
      </c>
      <c r="K642">
        <f t="shared" si="217"/>
        <v>10.056741839604523</v>
      </c>
      <c r="L642">
        <f t="shared" si="217"/>
        <v>10.370735342718707</v>
      </c>
      <c r="M642">
        <f t="shared" si="217"/>
        <v>10.624417632456764</v>
      </c>
      <c r="N642">
        <f t="shared" si="199"/>
        <v>-1.1867017607494112</v>
      </c>
      <c r="O642">
        <f t="shared" si="214"/>
        <v>10.366130951087673</v>
      </c>
      <c r="P642">
        <f t="shared" si="218"/>
        <v>10.031958938775784</v>
      </c>
      <c r="Q642">
        <f t="shared" si="216"/>
        <v>9.8725568256031657</v>
      </c>
      <c r="R642">
        <f t="shared" si="219"/>
        <v>10.421008020656943</v>
      </c>
      <c r="S642">
        <f t="shared" si="219"/>
        <v>10.44339278803832</v>
      </c>
      <c r="T642">
        <f t="shared" si="200"/>
        <v>-1.3677266051678547</v>
      </c>
      <c r="U642">
        <f t="shared" si="201"/>
        <v>1.3677266051678547</v>
      </c>
      <c r="V642">
        <f t="shared" si="208"/>
        <v>10.218728013442218</v>
      </c>
      <c r="W642">
        <f t="shared" si="202"/>
        <v>1.5923913797639564</v>
      </c>
      <c r="X642">
        <f t="shared" si="209"/>
        <v>10.014148174781196</v>
      </c>
      <c r="Y642">
        <f t="shared" si="203"/>
        <v>1.7969712184249786</v>
      </c>
      <c r="Z642">
        <f t="shared" si="210"/>
        <v>9.8446090007804337</v>
      </c>
      <c r="AA642">
        <f t="shared" si="204"/>
        <v>1.9665103924257412</v>
      </c>
      <c r="AB642">
        <f t="shared" si="205"/>
        <v>2.7437193932061756</v>
      </c>
      <c r="AC642">
        <f t="shared" si="206"/>
        <v>10.652341653968829</v>
      </c>
      <c r="AD642">
        <f t="shared" si="207"/>
        <v>1.1587777392373457</v>
      </c>
    </row>
    <row r="643" spans="1:30">
      <c r="A643">
        <v>641</v>
      </c>
      <c r="B643">
        <v>10.293498378853627</v>
      </c>
      <c r="C643">
        <f t="shared" si="211"/>
        <v>10.309732177688282</v>
      </c>
      <c r="D643">
        <f t="shared" si="211"/>
        <v>10.080106207755355</v>
      </c>
      <c r="E643">
        <f t="shared" si="212"/>
        <v>10.193495395927373</v>
      </c>
      <c r="F643">
        <f t="shared" si="215"/>
        <v>10.177588636684925</v>
      </c>
      <c r="G643">
        <f t="shared" si="215"/>
        <v>10.039824592771351</v>
      </c>
      <c r="H643">
        <f t="shared" si="215"/>
        <v>10.246235166459087</v>
      </c>
      <c r="I643">
        <f t="shared" ref="I643:I706" si="220">H643-B643</f>
        <v>-4.7263212394540233E-2</v>
      </c>
      <c r="J643">
        <f t="shared" si="213"/>
        <v>10.54263059795551</v>
      </c>
      <c r="K643">
        <f t="shared" si="217"/>
        <v>10.081232383892209</v>
      </c>
      <c r="L643">
        <f t="shared" si="217"/>
        <v>10.206034491399929</v>
      </c>
      <c r="M643">
        <f t="shared" si="217"/>
        <v>10.578657756808941</v>
      </c>
      <c r="N643">
        <f t="shared" ref="N643:N706" si="221">M643-B643</f>
        <v>0.28515937795531343</v>
      </c>
      <c r="O643">
        <f t="shared" si="214"/>
        <v>10.492804154135133</v>
      </c>
      <c r="P643">
        <f t="shared" si="218"/>
        <v>10.110322382053715</v>
      </c>
      <c r="Q643">
        <f t="shared" si="216"/>
        <v>10.101365086544799</v>
      </c>
      <c r="R643">
        <f t="shared" si="219"/>
        <v>10.247077029478511</v>
      </c>
      <c r="S643">
        <f t="shared" si="219"/>
        <v>10.472438795663646</v>
      </c>
      <c r="T643">
        <f t="shared" ref="T643:T706" si="222">S643-B643</f>
        <v>0.17894041681001838</v>
      </c>
      <c r="U643">
        <f t="shared" ref="U643:U706" si="223">B643-S643</f>
        <v>-0.17894041681001838</v>
      </c>
      <c r="V643">
        <f t="shared" si="208"/>
        <v>10.377967151418614</v>
      </c>
      <c r="W643">
        <f t="shared" ref="W643:W706" si="224">B643-V643</f>
        <v>-8.4468772564987304E-2</v>
      </c>
      <c r="X643">
        <f t="shared" si="209"/>
        <v>10.373542418466192</v>
      </c>
      <c r="Y643">
        <f t="shared" ref="Y643:Y706" si="225">B643-X643</f>
        <v>-8.0044039612564788E-2</v>
      </c>
      <c r="Z643">
        <f t="shared" si="210"/>
        <v>10.434562118508156</v>
      </c>
      <c r="AA643">
        <f t="shared" ref="AA643:AA706" si="226">B643-Z643</f>
        <v>-0.14106373965452867</v>
      </c>
      <c r="AB643">
        <f t="shared" ref="AB643:AB706" si="227">B643- ((0.00556 * A643)  +5.509)</f>
        <v>1.220538378853627</v>
      </c>
      <c r="AC643">
        <f t="shared" ref="AC643:AC706" si="228">0.00075*A643 + 5.509 + ($AI$6*SIN((A643/$AI$7)+ $AI$8))+ ($AI$6*COS((A643/$AI$7) + $AI$8))+ $AI$9</f>
        <v>10.67297764173555</v>
      </c>
      <c r="AD643">
        <f t="shared" ref="AD643:AD706" si="229">B643-AC643</f>
        <v>-0.37947926288192235</v>
      </c>
    </row>
    <row r="644" spans="1:30">
      <c r="A644">
        <v>642</v>
      </c>
      <c r="B644">
        <v>11.989871390524588</v>
      </c>
      <c r="C644">
        <f t="shared" si="211"/>
        <v>11.052308886029902</v>
      </c>
      <c r="D644">
        <f t="shared" si="211"/>
        <v>9.8472077874881272</v>
      </c>
      <c r="E644">
        <f t="shared" si="212"/>
        <v>10.304320911410064</v>
      </c>
      <c r="F644">
        <f t="shared" si="215"/>
        <v>10.239008842939974</v>
      </c>
      <c r="G644">
        <f t="shared" si="215"/>
        <v>10.066004548025825</v>
      </c>
      <c r="H644">
        <f t="shared" si="215"/>
        <v>10.130278477532876</v>
      </c>
      <c r="I644">
        <f t="shared" si="220"/>
        <v>-1.8595929129917117</v>
      </c>
      <c r="J644">
        <f t="shared" si="213"/>
        <v>10.218496141658937</v>
      </c>
      <c r="K644">
        <f t="shared" si="217"/>
        <v>10.165297379811843</v>
      </c>
      <c r="L644">
        <f t="shared" si="217"/>
        <v>10.132726415530747</v>
      </c>
      <c r="M644">
        <f t="shared" si="217"/>
        <v>10.451164373563964</v>
      </c>
      <c r="N644">
        <f t="shared" si="221"/>
        <v>-1.5387070169606236</v>
      </c>
      <c r="O644">
        <f t="shared" si="214"/>
        <v>10.572771191432068</v>
      </c>
      <c r="P644">
        <f t="shared" si="218"/>
        <v>10.237370452190921</v>
      </c>
      <c r="Q644">
        <f t="shared" si="216"/>
        <v>10.354025522381997</v>
      </c>
      <c r="R644">
        <f t="shared" si="219"/>
        <v>10.126998850955651</v>
      </c>
      <c r="S644">
        <f t="shared" si="219"/>
        <v>10.444988867886847</v>
      </c>
      <c r="T644">
        <f t="shared" si="222"/>
        <v>-1.5448825226377405</v>
      </c>
      <c r="U644">
        <f t="shared" si="223"/>
        <v>1.5448825226377405</v>
      </c>
      <c r="V644">
        <f t="shared" ref="V644:V707" si="230">V643+0.1*(B643-V643)</f>
        <v>10.369520274162117</v>
      </c>
      <c r="W644">
        <f t="shared" si="224"/>
        <v>1.6203511163624711</v>
      </c>
      <c r="X644">
        <f t="shared" ref="X644:X707" si="231">X643+0.2*(B643-X643)</f>
        <v>10.35753361054368</v>
      </c>
      <c r="Y644">
        <f t="shared" si="225"/>
        <v>1.632337779980908</v>
      </c>
      <c r="Z644">
        <f t="shared" ref="Z644:Z707" si="232">Z643+0.3*(B643-Z643)</f>
        <v>10.392242996611797</v>
      </c>
      <c r="AA644">
        <f t="shared" si="226"/>
        <v>1.5976283939127907</v>
      </c>
      <c r="AB644">
        <f t="shared" si="227"/>
        <v>2.9113513905245867</v>
      </c>
      <c r="AC644">
        <f t="shared" si="228"/>
        <v>10.692812751474218</v>
      </c>
      <c r="AD644">
        <f t="shared" si="229"/>
        <v>1.2970586390503698</v>
      </c>
    </row>
    <row r="645" spans="1:30">
      <c r="A645">
        <v>643</v>
      </c>
      <c r="B645">
        <v>9.3747293921600434</v>
      </c>
      <c r="C645">
        <f t="shared" ref="C645:D708" si="233">AVERAGE(B643:B644)</f>
        <v>11.141684884689107</v>
      </c>
      <c r="D645">
        <f t="shared" si="233"/>
        <v>10.681020531859092</v>
      </c>
      <c r="E645">
        <f t="shared" si="212"/>
        <v>11.364829720861465</v>
      </c>
      <c r="F645">
        <f t="shared" si="215"/>
        <v>10.205872435625352</v>
      </c>
      <c r="G645">
        <f t="shared" si="215"/>
        <v>10.143118889006507</v>
      </c>
      <c r="H645">
        <f t="shared" si="215"/>
        <v>10.080112125743113</v>
      </c>
      <c r="I645">
        <f t="shared" si="220"/>
        <v>0.70538273358307002</v>
      </c>
      <c r="J645">
        <f t="shared" si="213"/>
        <v>10.725708531188694</v>
      </c>
      <c r="K645">
        <f t="shared" si="217"/>
        <v>10.190798030286388</v>
      </c>
      <c r="L645">
        <f t="shared" si="217"/>
        <v>10.107273778630891</v>
      </c>
      <c r="M645">
        <f t="shared" si="217"/>
        <v>10.315956634411158</v>
      </c>
      <c r="N645">
        <f t="shared" si="221"/>
        <v>0.94122724225111476</v>
      </c>
      <c r="O645">
        <f t="shared" si="214"/>
        <v>10.455512703382963</v>
      </c>
      <c r="P645">
        <f t="shared" si="218"/>
        <v>10.255303944031423</v>
      </c>
      <c r="Q645">
        <f t="shared" si="216"/>
        <v>10.742315360200044</v>
      </c>
      <c r="R645">
        <f t="shared" si="219"/>
        <v>10.132049482197916</v>
      </c>
      <c r="S645">
        <f t="shared" si="219"/>
        <v>10.377628360499964</v>
      </c>
      <c r="T645">
        <f t="shared" si="222"/>
        <v>1.0028989683399203</v>
      </c>
      <c r="U645">
        <f t="shared" si="223"/>
        <v>-1.0028989683399203</v>
      </c>
      <c r="V645">
        <f t="shared" si="230"/>
        <v>10.531555385798363</v>
      </c>
      <c r="W645">
        <f t="shared" si="224"/>
        <v>-1.1568259936383196</v>
      </c>
      <c r="X645">
        <f t="shared" si="231"/>
        <v>10.684001166539861</v>
      </c>
      <c r="Y645">
        <f t="shared" si="225"/>
        <v>-1.3092717743798179</v>
      </c>
      <c r="Z645">
        <f t="shared" si="232"/>
        <v>10.871531514785634</v>
      </c>
      <c r="AA645">
        <f t="shared" si="226"/>
        <v>-1.4968021226255903</v>
      </c>
      <c r="AB645">
        <f t="shared" si="227"/>
        <v>0.29064939216004326</v>
      </c>
      <c r="AC645">
        <f t="shared" si="228"/>
        <v>10.711841681888187</v>
      </c>
      <c r="AD645">
        <f t="shared" si="229"/>
        <v>-1.3371122897281431</v>
      </c>
    </row>
    <row r="646" spans="1:30">
      <c r="A646">
        <v>644</v>
      </c>
      <c r="B646">
        <v>12.865126719907924</v>
      </c>
      <c r="C646">
        <f t="shared" si="233"/>
        <v>10.682300391342316</v>
      </c>
      <c r="D646">
        <f t="shared" si="233"/>
        <v>11.096996885359506</v>
      </c>
      <c r="E646">
        <f t="shared" ref="E646:E709" si="234">AVERAGE(B643:B645)</f>
        <v>10.552699720512754</v>
      </c>
      <c r="F646">
        <f t="shared" si="215"/>
        <v>10.620882009399635</v>
      </c>
      <c r="G646">
        <f t="shared" si="215"/>
        <v>10.207489971750084</v>
      </c>
      <c r="H646">
        <f t="shared" si="215"/>
        <v>10.082982676601228</v>
      </c>
      <c r="I646">
        <f t="shared" si="220"/>
        <v>-2.7821440433066957</v>
      </c>
      <c r="J646">
        <f t="shared" si="213"/>
        <v>10.867304638686109</v>
      </c>
      <c r="K646">
        <f t="shared" si="217"/>
        <v>10.372929777840296</v>
      </c>
      <c r="L646">
        <f t="shared" si="217"/>
        <v>10.12351740839874</v>
      </c>
      <c r="M646">
        <f t="shared" si="217"/>
        <v>10.204192507070069</v>
      </c>
      <c r="N646">
        <f t="shared" si="221"/>
        <v>-2.660934212837855</v>
      </c>
      <c r="O646">
        <f t="shared" si="214"/>
        <v>11.266869054930472</v>
      </c>
      <c r="P646">
        <f t="shared" si="218"/>
        <v>10.329326645050072</v>
      </c>
      <c r="Q646">
        <f t="shared" si="216"/>
        <v>10.373097558220064</v>
      </c>
      <c r="R646">
        <f t="shared" si="219"/>
        <v>10.268777013422746</v>
      </c>
      <c r="S646">
        <f t="shared" si="219"/>
        <v>10.303102683776457</v>
      </c>
      <c r="T646">
        <f t="shared" si="222"/>
        <v>-2.5620240361314668</v>
      </c>
      <c r="U646">
        <f t="shared" si="223"/>
        <v>2.5620240361314668</v>
      </c>
      <c r="V646">
        <f t="shared" si="230"/>
        <v>10.41587278643453</v>
      </c>
      <c r="W646">
        <f t="shared" si="224"/>
        <v>2.4492539334733934</v>
      </c>
      <c r="X646">
        <f t="shared" si="231"/>
        <v>10.422146811663898</v>
      </c>
      <c r="Y646">
        <f t="shared" si="225"/>
        <v>2.4429799082440251</v>
      </c>
      <c r="Z646">
        <f t="shared" si="232"/>
        <v>10.422490877997957</v>
      </c>
      <c r="AA646">
        <f t="shared" si="226"/>
        <v>2.4426358419099667</v>
      </c>
      <c r="AB646">
        <f t="shared" si="227"/>
        <v>3.7754867199079243</v>
      </c>
      <c r="AC646">
        <f t="shared" si="228"/>
        <v>10.730059355614314</v>
      </c>
      <c r="AD646">
        <f t="shared" si="229"/>
        <v>2.1350673642936098</v>
      </c>
    </row>
    <row r="647" spans="1:30">
      <c r="A647">
        <v>645</v>
      </c>
      <c r="B647">
        <v>11.989725371997221</v>
      </c>
      <c r="C647">
        <f t="shared" si="233"/>
        <v>11.119928056033984</v>
      </c>
      <c r="D647">
        <f t="shared" si="233"/>
        <v>10.911992638015711</v>
      </c>
      <c r="E647">
        <f t="shared" si="234"/>
        <v>11.40990916753085</v>
      </c>
      <c r="F647">
        <f t="shared" si="215"/>
        <v>10.740616784261428</v>
      </c>
      <c r="G647">
        <f t="shared" si="215"/>
        <v>10.355254429321654</v>
      </c>
      <c r="H647">
        <f t="shared" si="215"/>
        <v>10.138871136260805</v>
      </c>
      <c r="I647">
        <f t="shared" si="220"/>
        <v>-1.8508542357364153</v>
      </c>
      <c r="J647">
        <f t="shared" ref="J647:J710" si="235">AVERAGE(B643:B646)</f>
        <v>11.130806470361545</v>
      </c>
      <c r="K647">
        <f t="shared" si="217"/>
        <v>10.588534977372312</v>
      </c>
      <c r="L647">
        <f t="shared" si="217"/>
        <v>10.202564392957685</v>
      </c>
      <c r="M647">
        <f t="shared" si="217"/>
        <v>10.142388023490078</v>
      </c>
      <c r="N647">
        <f t="shared" si="221"/>
        <v>-1.8473373485071427</v>
      </c>
      <c r="O647">
        <f t="shared" ref="O647:O710" si="236">AVERAGE(B643:B647)</f>
        <v>11.302590250688681</v>
      </c>
      <c r="P647">
        <f t="shared" si="218"/>
        <v>10.630817610993663</v>
      </c>
      <c r="Q647">
        <f t="shared" si="216"/>
        <v>10.857115039470457</v>
      </c>
      <c r="R647">
        <f t="shared" si="219"/>
        <v>10.306575072534827</v>
      </c>
      <c r="S647">
        <f t="shared" si="219"/>
        <v>10.268274549909455</v>
      </c>
      <c r="T647">
        <f t="shared" si="222"/>
        <v>-1.7214508220877658</v>
      </c>
      <c r="U647">
        <f t="shared" si="223"/>
        <v>1.7214508220877658</v>
      </c>
      <c r="V647">
        <f t="shared" si="230"/>
        <v>10.660798179781869</v>
      </c>
      <c r="W647">
        <f t="shared" si="224"/>
        <v>1.3289271922153514</v>
      </c>
      <c r="X647">
        <f t="shared" si="231"/>
        <v>10.910742793312703</v>
      </c>
      <c r="Y647">
        <f t="shared" si="225"/>
        <v>1.0789825786845171</v>
      </c>
      <c r="Z647">
        <f t="shared" si="232"/>
        <v>11.155281630570947</v>
      </c>
      <c r="AA647">
        <f t="shared" si="226"/>
        <v>0.83444374142627353</v>
      </c>
      <c r="AB647">
        <f t="shared" si="227"/>
        <v>2.8945253719972204</v>
      </c>
      <c r="AC647">
        <f t="shared" si="228"/>
        <v>10.747460920633328</v>
      </c>
      <c r="AD647">
        <f t="shared" si="229"/>
        <v>1.2422644513638925</v>
      </c>
    </row>
    <row r="648" spans="1:30">
      <c r="A648">
        <v>646</v>
      </c>
      <c r="B648">
        <v>11.233204461789164</v>
      </c>
      <c r="C648">
        <f t="shared" si="233"/>
        <v>12.427426045952572</v>
      </c>
      <c r="D648">
        <f t="shared" si="233"/>
        <v>10.90111422368815</v>
      </c>
      <c r="E648">
        <f t="shared" si="234"/>
        <v>11.409860494688397</v>
      </c>
      <c r="F648">
        <f t="shared" si="215"/>
        <v>11.109146202968356</v>
      </c>
      <c r="G648">
        <f t="shared" si="215"/>
        <v>10.522457076428806</v>
      </c>
      <c r="H648">
        <f t="shared" si="215"/>
        <v>10.235287763359414</v>
      </c>
      <c r="I648">
        <f t="shared" si="220"/>
        <v>-0.99791669842974962</v>
      </c>
      <c r="J648">
        <f t="shared" si="235"/>
        <v>11.554863218647444</v>
      </c>
      <c r="K648">
        <f t="shared" si="217"/>
        <v>10.735578945473822</v>
      </c>
      <c r="L648">
        <f t="shared" si="217"/>
        <v>10.329390041327709</v>
      </c>
      <c r="M648">
        <f t="shared" si="217"/>
        <v>10.141520498879515</v>
      </c>
      <c r="N648">
        <f t="shared" si="221"/>
        <v>-1.0916839629096486</v>
      </c>
      <c r="O648">
        <f t="shared" si="236"/>
        <v>11.490531467275789</v>
      </c>
      <c r="P648">
        <f t="shared" si="218"/>
        <v>10.818109470913864</v>
      </c>
      <c r="Q648">
        <f t="shared" si="216"/>
        <v>11.387345107774932</v>
      </c>
      <c r="R648">
        <f t="shared" si="219"/>
        <v>10.38341256540342</v>
      </c>
      <c r="S648">
        <f t="shared" si="219"/>
        <v>10.250414244874433</v>
      </c>
      <c r="T648">
        <f t="shared" si="222"/>
        <v>-0.98279021691473112</v>
      </c>
      <c r="U648">
        <f t="shared" si="223"/>
        <v>0.98279021691473112</v>
      </c>
      <c r="V648">
        <f t="shared" si="230"/>
        <v>10.793690899003405</v>
      </c>
      <c r="W648">
        <f t="shared" si="224"/>
        <v>0.43951356278575915</v>
      </c>
      <c r="X648">
        <f t="shared" si="231"/>
        <v>11.126539309049607</v>
      </c>
      <c r="Y648">
        <f t="shared" si="225"/>
        <v>0.10666515273955746</v>
      </c>
      <c r="Z648">
        <f t="shared" si="232"/>
        <v>11.405614752998829</v>
      </c>
      <c r="AA648">
        <f t="shared" si="226"/>
        <v>-0.17241029120966544</v>
      </c>
      <c r="AB648">
        <f t="shared" si="227"/>
        <v>2.1324444617891629</v>
      </c>
      <c r="AC648">
        <f t="shared" si="228"/>
        <v>10.764041751617571</v>
      </c>
      <c r="AD648">
        <f t="shared" si="229"/>
        <v>0.46916271017159339</v>
      </c>
    </row>
    <row r="649" spans="1:30">
      <c r="A649">
        <v>647</v>
      </c>
      <c r="B649">
        <v>11.987653857988107</v>
      </c>
      <c r="C649">
        <f t="shared" si="233"/>
        <v>11.611464916893192</v>
      </c>
      <c r="D649">
        <f t="shared" si="233"/>
        <v>11.773677050993278</v>
      </c>
      <c r="E649">
        <f t="shared" si="234"/>
        <v>12.02935218456477</v>
      </c>
      <c r="F649">
        <f t="shared" ref="F649:H712" si="237">AVERAGE(E646:E648)</f>
        <v>11.124156460910667</v>
      </c>
      <c r="G649">
        <f t="shared" si="237"/>
        <v>10.823548332209805</v>
      </c>
      <c r="H649">
        <f t="shared" si="237"/>
        <v>10.361733825833516</v>
      </c>
      <c r="I649">
        <f t="shared" si="220"/>
        <v>-1.6259200321545908</v>
      </c>
      <c r="J649">
        <f t="shared" si="235"/>
        <v>11.365696486463589</v>
      </c>
      <c r="K649">
        <f t="shared" si="217"/>
        <v>11.069670714720946</v>
      </c>
      <c r="L649">
        <f t="shared" si="217"/>
        <v>10.471960432743206</v>
      </c>
      <c r="M649">
        <f t="shared" si="217"/>
        <v>10.190686405328755</v>
      </c>
      <c r="N649">
        <f t="shared" si="221"/>
        <v>-1.7969674526593522</v>
      </c>
      <c r="O649">
        <f t="shared" si="236"/>
        <v>11.490087960768493</v>
      </c>
      <c r="P649">
        <f t="shared" si="218"/>
        <v>11.017654933541994</v>
      </c>
      <c r="Q649">
        <f t="shared" ref="Q649:Q712" si="238">AVERAGE(B643:B648)</f>
        <v>11.29102595253876</v>
      </c>
      <c r="R649">
        <f t="shared" si="219"/>
        <v>10.635877279098716</v>
      </c>
      <c r="S649">
        <f t="shared" si="219"/>
        <v>10.244148335665512</v>
      </c>
      <c r="T649">
        <f t="shared" si="222"/>
        <v>-1.7435055223225948</v>
      </c>
      <c r="U649">
        <f t="shared" si="223"/>
        <v>1.7435055223225948</v>
      </c>
      <c r="V649">
        <f t="shared" si="230"/>
        <v>10.837642255281981</v>
      </c>
      <c r="W649">
        <f t="shared" si="224"/>
        <v>1.150011602706126</v>
      </c>
      <c r="X649">
        <f t="shared" si="231"/>
        <v>11.147872339597518</v>
      </c>
      <c r="Y649">
        <f t="shared" si="225"/>
        <v>0.83978151839058945</v>
      </c>
      <c r="Z649">
        <f t="shared" si="232"/>
        <v>11.353891665635929</v>
      </c>
      <c r="AA649">
        <f t="shared" si="226"/>
        <v>0.63376219235217768</v>
      </c>
      <c r="AB649">
        <f t="shared" si="227"/>
        <v>2.8813338579881069</v>
      </c>
      <c r="AC649">
        <f t="shared" si="228"/>
        <v>10.779797451215778</v>
      </c>
      <c r="AD649">
        <f t="shared" si="229"/>
        <v>1.2078564067723292</v>
      </c>
    </row>
    <row r="650" spans="1:30">
      <c r="A650">
        <v>648</v>
      </c>
      <c r="B650">
        <v>13.055955999587704</v>
      </c>
      <c r="C650">
        <f t="shared" si="233"/>
        <v>11.610429159888636</v>
      </c>
      <c r="D650">
        <f t="shared" si="233"/>
        <v>12.019445481422881</v>
      </c>
      <c r="E650">
        <f t="shared" si="234"/>
        <v>11.736861230591495</v>
      </c>
      <c r="F650">
        <f t="shared" si="237"/>
        <v>11.616373948928006</v>
      </c>
      <c r="G650">
        <f t="shared" si="237"/>
        <v>10.991306482713483</v>
      </c>
      <c r="H650">
        <f t="shared" si="237"/>
        <v>10.567086612653421</v>
      </c>
      <c r="I650">
        <f t="shared" si="220"/>
        <v>-2.4888693869342831</v>
      </c>
      <c r="J650">
        <f t="shared" si="235"/>
        <v>12.018927602920604</v>
      </c>
      <c r="K650">
        <f t="shared" si="217"/>
        <v>11.229667703539672</v>
      </c>
      <c r="L650">
        <f t="shared" si="217"/>
        <v>10.691678603851845</v>
      </c>
      <c r="M650">
        <f t="shared" si="217"/>
        <v>10.281858068856835</v>
      </c>
      <c r="N650">
        <f t="shared" si="221"/>
        <v>-2.7740979307308695</v>
      </c>
      <c r="O650">
        <f t="shared" si="236"/>
        <v>12.226333282254023</v>
      </c>
      <c r="P650">
        <f t="shared" si="218"/>
        <v>11.201118287409278</v>
      </c>
      <c r="Q650">
        <f t="shared" si="238"/>
        <v>11.573385199061173</v>
      </c>
      <c r="R650">
        <f t="shared" si="219"/>
        <v>10.83415409009771</v>
      </c>
      <c r="S650">
        <f t="shared" si="219"/>
        <v>10.308948377268878</v>
      </c>
      <c r="T650">
        <f t="shared" si="222"/>
        <v>-2.7470076223188258</v>
      </c>
      <c r="U650">
        <f t="shared" si="223"/>
        <v>2.7470076223188258</v>
      </c>
      <c r="V650">
        <f t="shared" si="230"/>
        <v>10.952643415552593</v>
      </c>
      <c r="W650">
        <f t="shared" si="224"/>
        <v>2.1033125840351108</v>
      </c>
      <c r="X650">
        <f t="shared" si="231"/>
        <v>11.315828643275635</v>
      </c>
      <c r="Y650">
        <f t="shared" si="225"/>
        <v>1.7401273563120689</v>
      </c>
      <c r="Z650">
        <f t="shared" si="232"/>
        <v>11.544020323341583</v>
      </c>
      <c r="AA650">
        <f t="shared" si="226"/>
        <v>1.5119356762461216</v>
      </c>
      <c r="AB650">
        <f t="shared" si="227"/>
        <v>3.9440759995877048</v>
      </c>
      <c r="AC650">
        <f t="shared" si="228"/>
        <v>10.794723851274556</v>
      </c>
      <c r="AD650">
        <f t="shared" si="229"/>
        <v>2.2612321483131481</v>
      </c>
    </row>
    <row r="651" spans="1:30">
      <c r="A651">
        <v>649</v>
      </c>
      <c r="B651">
        <v>13.381611697634204</v>
      </c>
      <c r="C651">
        <f t="shared" si="233"/>
        <v>12.521804928787905</v>
      </c>
      <c r="D651">
        <f t="shared" si="233"/>
        <v>11.610947038390915</v>
      </c>
      <c r="E651">
        <f t="shared" si="234"/>
        <v>12.092271439788325</v>
      </c>
      <c r="F651">
        <f t="shared" si="237"/>
        <v>11.72535796994822</v>
      </c>
      <c r="G651">
        <f t="shared" si="237"/>
        <v>11.283225537602343</v>
      </c>
      <c r="H651">
        <f t="shared" si="237"/>
        <v>10.779103963784031</v>
      </c>
      <c r="I651">
        <f t="shared" si="220"/>
        <v>-2.6025077338501728</v>
      </c>
      <c r="J651">
        <f t="shared" si="235"/>
        <v>12.066634922840548</v>
      </c>
      <c r="K651">
        <f t="shared" ref="K651:M714" si="239">AVERAGE(J647:J650)</f>
        <v>11.517573444598296</v>
      </c>
      <c r="L651">
        <f t="shared" si="239"/>
        <v>10.905863085276689</v>
      </c>
      <c r="M651">
        <f t="shared" si="239"/>
        <v>10.423898367720112</v>
      </c>
      <c r="N651">
        <f t="shared" si="221"/>
        <v>-2.9577133299140925</v>
      </c>
      <c r="O651">
        <f t="shared" si="236"/>
        <v>12.329630277799279</v>
      </c>
      <c r="P651">
        <f t="shared" si="218"/>
        <v>11.555282403183492</v>
      </c>
      <c r="Q651">
        <f t="shared" si="238"/>
        <v>11.751065967238361</v>
      </c>
      <c r="R651">
        <f t="shared" si="219"/>
        <v>11.037380702877572</v>
      </c>
      <c r="S651">
        <f t="shared" si="219"/>
        <v>10.426807583792556</v>
      </c>
      <c r="T651">
        <f t="shared" si="222"/>
        <v>-2.9548041138416483</v>
      </c>
      <c r="U651">
        <f t="shared" si="223"/>
        <v>2.9548041138416483</v>
      </c>
      <c r="V651">
        <f t="shared" si="230"/>
        <v>11.162974673956104</v>
      </c>
      <c r="W651">
        <f t="shared" si="224"/>
        <v>2.2186370236781006</v>
      </c>
      <c r="X651">
        <f t="shared" si="231"/>
        <v>11.663854114538049</v>
      </c>
      <c r="Y651">
        <f t="shared" si="225"/>
        <v>1.7177575830961551</v>
      </c>
      <c r="Z651">
        <f t="shared" si="232"/>
        <v>11.997601026215419</v>
      </c>
      <c r="AA651">
        <f t="shared" si="226"/>
        <v>1.3840106714187854</v>
      </c>
      <c r="AB651">
        <f t="shared" si="227"/>
        <v>4.2641716976342039</v>
      </c>
      <c r="AC651">
        <f t="shared" si="228"/>
        <v>10.808817013996146</v>
      </c>
      <c r="AD651">
        <f t="shared" si="229"/>
        <v>2.5727946836380582</v>
      </c>
    </row>
    <row r="652" spans="1:30">
      <c r="A652">
        <v>650</v>
      </c>
      <c r="B652">
        <v>9.6601464208659102</v>
      </c>
      <c r="C652">
        <f t="shared" si="233"/>
        <v>13.218783848610954</v>
      </c>
      <c r="D652">
        <f t="shared" si="233"/>
        <v>12.06611704433827</v>
      </c>
      <c r="E652">
        <f t="shared" si="234"/>
        <v>12.808407185070005</v>
      </c>
      <c r="F652">
        <f t="shared" si="237"/>
        <v>11.95282828498153</v>
      </c>
      <c r="G652">
        <f t="shared" si="237"/>
        <v>11.488629459928964</v>
      </c>
      <c r="H652">
        <f t="shared" si="237"/>
        <v>11.032693450841876</v>
      </c>
      <c r="I652">
        <f t="shared" si="220"/>
        <v>1.3725470299759657</v>
      </c>
      <c r="J652">
        <f t="shared" si="235"/>
        <v>12.414606504249795</v>
      </c>
      <c r="K652">
        <f t="shared" si="239"/>
        <v>11.751530557718047</v>
      </c>
      <c r="L652">
        <f t="shared" si="239"/>
        <v>11.138122702083184</v>
      </c>
      <c r="M652">
        <f t="shared" si="239"/>
        <v>10.599723040799862</v>
      </c>
      <c r="N652">
        <f t="shared" si="221"/>
        <v>0.93957661993395192</v>
      </c>
      <c r="O652">
        <f t="shared" si="236"/>
        <v>11.863714487573016</v>
      </c>
      <c r="P652">
        <f t="shared" si="218"/>
        <v>11.767834647757251</v>
      </c>
      <c r="Q652">
        <f t="shared" si="238"/>
        <v>12.418879684817385</v>
      </c>
      <c r="R652">
        <f t="shared" si="219"/>
        <v>11.205505804050624</v>
      </c>
      <c r="S652">
        <f t="shared" si="219"/>
        <v>10.577696120572499</v>
      </c>
      <c r="T652">
        <f t="shared" si="222"/>
        <v>0.91754969970658884</v>
      </c>
      <c r="U652">
        <f t="shared" si="223"/>
        <v>-0.91754969970658884</v>
      </c>
      <c r="V652">
        <f t="shared" si="230"/>
        <v>11.384838376323913</v>
      </c>
      <c r="W652">
        <f t="shared" si="224"/>
        <v>-1.7246919554580025</v>
      </c>
      <c r="X652">
        <f t="shared" si="231"/>
        <v>12.00740563115728</v>
      </c>
      <c r="Y652">
        <f t="shared" si="225"/>
        <v>-2.3472592102913694</v>
      </c>
      <c r="Z652">
        <f t="shared" si="232"/>
        <v>12.412804227641054</v>
      </c>
      <c r="AA652">
        <f t="shared" si="226"/>
        <v>-2.7526578067751437</v>
      </c>
      <c r="AB652">
        <f t="shared" si="227"/>
        <v>0.53714642086590914</v>
      </c>
      <c r="AC652">
        <f t="shared" si="228"/>
        <v>10.82207323303226</v>
      </c>
      <c r="AD652">
        <f t="shared" si="229"/>
        <v>-1.1619268121663495</v>
      </c>
    </row>
    <row r="653" spans="1:30">
      <c r="A653">
        <v>651</v>
      </c>
      <c r="B653">
        <v>10.205835946985072</v>
      </c>
      <c r="C653">
        <f t="shared" si="233"/>
        <v>11.520879059250056</v>
      </c>
      <c r="D653">
        <f t="shared" si="233"/>
        <v>12.870294388699429</v>
      </c>
      <c r="E653">
        <f t="shared" si="234"/>
        <v>12.032571372695941</v>
      </c>
      <c r="F653">
        <f t="shared" si="237"/>
        <v>12.212513285149941</v>
      </c>
      <c r="G653">
        <f t="shared" si="237"/>
        <v>11.764853401285919</v>
      </c>
      <c r="H653">
        <f t="shared" si="237"/>
        <v>11.254387160081597</v>
      </c>
      <c r="I653">
        <f t="shared" si="220"/>
        <v>1.0485512130965251</v>
      </c>
      <c r="J653">
        <f t="shared" si="235"/>
        <v>12.021341994018982</v>
      </c>
      <c r="K653">
        <f t="shared" si="239"/>
        <v>11.966466379118634</v>
      </c>
      <c r="L653">
        <f t="shared" si="239"/>
        <v>11.392110605144241</v>
      </c>
      <c r="M653">
        <f t="shared" si="239"/>
        <v>10.801906205988729</v>
      </c>
      <c r="N653">
        <f t="shared" si="221"/>
        <v>0.59607025900365684</v>
      </c>
      <c r="O653">
        <f t="shared" si="236"/>
        <v>11.6582407846122</v>
      </c>
      <c r="P653">
        <f t="shared" ref="P653:P716" si="240">AVERAGE(O648:O652)</f>
        <v>11.88005949513412</v>
      </c>
      <c r="Q653">
        <f t="shared" si="238"/>
        <v>11.884716301643719</v>
      </c>
      <c r="R653">
        <f t="shared" si="219"/>
        <v>11.546469491816845</v>
      </c>
      <c r="S653">
        <f t="shared" si="219"/>
        <v>10.733817585677144</v>
      </c>
      <c r="T653">
        <f t="shared" si="222"/>
        <v>0.52798163869207215</v>
      </c>
      <c r="U653">
        <f t="shared" si="223"/>
        <v>-0.52798163869207215</v>
      </c>
      <c r="V653">
        <f t="shared" si="230"/>
        <v>11.212369180778113</v>
      </c>
      <c r="W653">
        <f t="shared" si="224"/>
        <v>-1.006533233793041</v>
      </c>
      <c r="X653">
        <f t="shared" si="231"/>
        <v>11.537953789099006</v>
      </c>
      <c r="Y653">
        <f t="shared" si="225"/>
        <v>-1.3321178421139344</v>
      </c>
      <c r="Z653">
        <f t="shared" si="232"/>
        <v>11.587006885608512</v>
      </c>
      <c r="AA653">
        <f t="shared" si="226"/>
        <v>-1.3811709386234394</v>
      </c>
      <c r="AB653">
        <f t="shared" si="227"/>
        <v>1.0772759469850719</v>
      </c>
      <c r="AC653">
        <f t="shared" si="228"/>
        <v>10.834489034513577</v>
      </c>
      <c r="AD653">
        <f t="shared" si="229"/>
        <v>-0.62865308752850524</v>
      </c>
    </row>
    <row r="654" spans="1:30">
      <c r="A654">
        <v>652</v>
      </c>
      <c r="B654">
        <v>12.307931324232641</v>
      </c>
      <c r="C654">
        <f t="shared" si="233"/>
        <v>9.9329911839254912</v>
      </c>
      <c r="D654">
        <f t="shared" si="233"/>
        <v>12.369831453930505</v>
      </c>
      <c r="E654">
        <f t="shared" si="234"/>
        <v>11.082531355161729</v>
      </c>
      <c r="F654">
        <f t="shared" si="237"/>
        <v>12.31108333251809</v>
      </c>
      <c r="G654">
        <f t="shared" si="237"/>
        <v>11.963566513359895</v>
      </c>
      <c r="H654">
        <f t="shared" si="237"/>
        <v>11.512236132939075</v>
      </c>
      <c r="I654">
        <f t="shared" si="220"/>
        <v>-0.79569519129356614</v>
      </c>
      <c r="J654">
        <f t="shared" si="235"/>
        <v>11.575887516268224</v>
      </c>
      <c r="K654">
        <f t="shared" si="239"/>
        <v>12.130377756007482</v>
      </c>
      <c r="L654">
        <f t="shared" si="239"/>
        <v>11.616309521243663</v>
      </c>
      <c r="M654">
        <f t="shared" si="239"/>
        <v>11.031943749088988</v>
      </c>
      <c r="N654">
        <f t="shared" si="221"/>
        <v>-1.2759875751436525</v>
      </c>
      <c r="O654">
        <f t="shared" si="236"/>
        <v>11.722296277861108</v>
      </c>
      <c r="P654">
        <f t="shared" si="240"/>
        <v>11.913601358601403</v>
      </c>
      <c r="Q654">
        <f t="shared" si="238"/>
        <v>11.587401397475027</v>
      </c>
      <c r="R654">
        <f t="shared" si="219"/>
        <v>11.717736368845721</v>
      </c>
      <c r="S654">
        <f t="shared" si="219"/>
        <v>10.940466655557481</v>
      </c>
      <c r="T654">
        <f t="shared" si="222"/>
        <v>-1.3674646686751597</v>
      </c>
      <c r="U654">
        <f t="shared" si="223"/>
        <v>1.3674646686751597</v>
      </c>
      <c r="V654">
        <f t="shared" si="230"/>
        <v>11.11171585739881</v>
      </c>
      <c r="W654">
        <f t="shared" si="224"/>
        <v>1.1962154668338307</v>
      </c>
      <c r="X654">
        <f t="shared" si="231"/>
        <v>11.271530220676219</v>
      </c>
      <c r="Y654">
        <f t="shared" si="225"/>
        <v>1.0364011035564218</v>
      </c>
      <c r="Z654">
        <f t="shared" si="232"/>
        <v>11.172655604021479</v>
      </c>
      <c r="AA654">
        <f t="shared" si="226"/>
        <v>1.1352757202111619</v>
      </c>
      <c r="AB654">
        <f t="shared" si="227"/>
        <v>3.1738113242326413</v>
      </c>
      <c r="AC654">
        <f t="shared" si="228"/>
        <v>10.846061178014699</v>
      </c>
      <c r="AD654">
        <f t="shared" si="229"/>
        <v>1.461870146217942</v>
      </c>
    </row>
    <row r="655" spans="1:30">
      <c r="A655">
        <v>653</v>
      </c>
      <c r="B655">
        <v>9.1583648750288571</v>
      </c>
      <c r="C655">
        <f t="shared" si="233"/>
        <v>11.256883635608856</v>
      </c>
      <c r="D655">
        <f t="shared" si="233"/>
        <v>10.726935121587774</v>
      </c>
      <c r="E655">
        <f t="shared" si="234"/>
        <v>10.724637897361207</v>
      </c>
      <c r="F655">
        <f t="shared" si="237"/>
        <v>11.974503304309223</v>
      </c>
      <c r="G655">
        <f t="shared" si="237"/>
        <v>12.158808300883187</v>
      </c>
      <c r="H655">
        <f t="shared" si="237"/>
        <v>11.739016458191593</v>
      </c>
      <c r="I655">
        <f t="shared" si="220"/>
        <v>2.5806515831627355</v>
      </c>
      <c r="J655">
        <f t="shared" si="235"/>
        <v>11.388881347429457</v>
      </c>
      <c r="K655">
        <f t="shared" si="239"/>
        <v>12.019617734344386</v>
      </c>
      <c r="L655">
        <f t="shared" si="239"/>
        <v>11.841487034360615</v>
      </c>
      <c r="M655">
        <f t="shared" si="239"/>
        <v>11.263101478436944</v>
      </c>
      <c r="N655">
        <f t="shared" si="221"/>
        <v>2.104736603408087</v>
      </c>
      <c r="O655">
        <f t="shared" si="236"/>
        <v>10.942778052949338</v>
      </c>
      <c r="P655">
        <f t="shared" si="240"/>
        <v>11.960043022019926</v>
      </c>
      <c r="Q655">
        <f t="shared" si="238"/>
        <v>11.766522541215608</v>
      </c>
      <c r="R655">
        <f t="shared" ref="R655:S718" si="241">AVERAGE(Q649:Q654)</f>
        <v>11.751079083795737</v>
      </c>
      <c r="S655">
        <f t="shared" si="241"/>
        <v>11.162853956131196</v>
      </c>
      <c r="T655">
        <f t="shared" si="222"/>
        <v>2.0044890811023386</v>
      </c>
      <c r="U655">
        <f t="shared" si="223"/>
        <v>-2.0044890811023386</v>
      </c>
      <c r="V655">
        <f t="shared" si="230"/>
        <v>11.231337404082193</v>
      </c>
      <c r="W655">
        <f t="shared" si="224"/>
        <v>-2.0729725290533363</v>
      </c>
      <c r="X655">
        <f t="shared" si="231"/>
        <v>11.478810441387504</v>
      </c>
      <c r="Y655">
        <f t="shared" si="225"/>
        <v>-2.3204455663586465</v>
      </c>
      <c r="Z655">
        <f t="shared" si="232"/>
        <v>11.513238320084827</v>
      </c>
      <c r="AA655">
        <f t="shared" si="226"/>
        <v>-2.3548734450559703</v>
      </c>
      <c r="AB655">
        <f t="shared" si="227"/>
        <v>1.8684875028856851E-2</v>
      </c>
      <c r="AC655">
        <f t="shared" si="228"/>
        <v>10.856786657454238</v>
      </c>
      <c r="AD655">
        <f t="shared" si="229"/>
        <v>-1.6984217824253811</v>
      </c>
    </row>
    <row r="656" spans="1:30">
      <c r="A656">
        <v>654</v>
      </c>
      <c r="B656">
        <v>11.199362362959558</v>
      </c>
      <c r="C656">
        <f t="shared" si="233"/>
        <v>10.73314809963075</v>
      </c>
      <c r="D656">
        <f t="shared" si="233"/>
        <v>10.594937409767173</v>
      </c>
      <c r="E656">
        <f t="shared" si="234"/>
        <v>10.557377382082189</v>
      </c>
      <c r="F656">
        <f t="shared" si="237"/>
        <v>11.279913541739624</v>
      </c>
      <c r="G656">
        <f t="shared" si="237"/>
        <v>12.166033307325753</v>
      </c>
      <c r="H656">
        <f t="shared" si="237"/>
        <v>11.962409405176333</v>
      </c>
      <c r="I656">
        <f t="shared" si="220"/>
        <v>0.76304704221677433</v>
      </c>
      <c r="J656">
        <f t="shared" si="235"/>
        <v>10.33306964177812</v>
      </c>
      <c r="K656">
        <f t="shared" si="239"/>
        <v>11.850179340491614</v>
      </c>
      <c r="L656">
        <f t="shared" si="239"/>
        <v>11.966998106797137</v>
      </c>
      <c r="M656">
        <f t="shared" si="239"/>
        <v>11.497007465707927</v>
      </c>
      <c r="N656">
        <f t="shared" si="221"/>
        <v>0.29764510274836908</v>
      </c>
      <c r="O656">
        <f t="shared" si="236"/>
        <v>10.506328186014409</v>
      </c>
      <c r="P656">
        <f t="shared" si="240"/>
        <v>11.703331976158987</v>
      </c>
      <c r="Q656">
        <f t="shared" si="238"/>
        <v>11.294974377389066</v>
      </c>
      <c r="R656">
        <f t="shared" si="241"/>
        <v>11.830328515241879</v>
      </c>
      <c r="S656">
        <f t="shared" si="241"/>
        <v>11.3487209235807</v>
      </c>
      <c r="T656">
        <f t="shared" si="222"/>
        <v>0.14935856062114183</v>
      </c>
      <c r="U656">
        <f t="shared" si="223"/>
        <v>-0.14935856062114183</v>
      </c>
      <c r="V656">
        <f t="shared" si="230"/>
        <v>11.024040151176859</v>
      </c>
      <c r="W656">
        <f t="shared" si="224"/>
        <v>0.17532221178269936</v>
      </c>
      <c r="X656">
        <f t="shared" si="231"/>
        <v>11.014721328115774</v>
      </c>
      <c r="Y656">
        <f t="shared" si="225"/>
        <v>0.18464103484378391</v>
      </c>
      <c r="Z656">
        <f t="shared" si="232"/>
        <v>10.806776286568036</v>
      </c>
      <c r="AA656">
        <f t="shared" si="226"/>
        <v>0.3925860763915221</v>
      </c>
      <c r="AB656">
        <f t="shared" si="227"/>
        <v>2.0541223629595571</v>
      </c>
      <c r="AC656">
        <f t="shared" si="228"/>
        <v>10.866662701929826</v>
      </c>
      <c r="AD656">
        <f t="shared" si="229"/>
        <v>0.33269966102973214</v>
      </c>
    </row>
    <row r="657" spans="1:30">
      <c r="A657">
        <v>655</v>
      </c>
      <c r="B657">
        <v>9.6130625428232364</v>
      </c>
      <c r="C657">
        <f t="shared" si="233"/>
        <v>10.178863618994207</v>
      </c>
      <c r="D657">
        <f t="shared" si="233"/>
        <v>10.995015867619802</v>
      </c>
      <c r="E657">
        <f t="shared" si="234"/>
        <v>10.888552854073685</v>
      </c>
      <c r="F657">
        <f t="shared" si="237"/>
        <v>10.788182211535043</v>
      </c>
      <c r="G657">
        <f t="shared" si="237"/>
        <v>11.855166726188978</v>
      </c>
      <c r="H657">
        <f t="shared" si="237"/>
        <v>12.096136040522945</v>
      </c>
      <c r="I657">
        <f t="shared" si="220"/>
        <v>2.4830734976997082</v>
      </c>
      <c r="J657">
        <f t="shared" si="235"/>
        <v>10.717873627301532</v>
      </c>
      <c r="K657">
        <f t="shared" si="239"/>
        <v>11.329795124873698</v>
      </c>
      <c r="L657">
        <f t="shared" si="239"/>
        <v>11.991660302490528</v>
      </c>
      <c r="M657">
        <f t="shared" si="239"/>
        <v>11.704226316886412</v>
      </c>
      <c r="N657">
        <f t="shared" si="221"/>
        <v>2.0911637740631761</v>
      </c>
      <c r="O657">
        <f t="shared" si="236"/>
        <v>10.496911410405874</v>
      </c>
      <c r="P657">
        <f t="shared" si="240"/>
        <v>11.338671557802014</v>
      </c>
      <c r="Q657">
        <f t="shared" si="238"/>
        <v>10.985542104617707</v>
      </c>
      <c r="R657">
        <f t="shared" si="241"/>
        <v>11.78392671162986</v>
      </c>
      <c r="S657">
        <f t="shared" si="241"/>
        <v>11.514749994438063</v>
      </c>
      <c r="T657">
        <f t="shared" si="222"/>
        <v>1.9016874516148263</v>
      </c>
      <c r="U657">
        <f t="shared" si="223"/>
        <v>-1.9016874516148263</v>
      </c>
      <c r="V657">
        <f t="shared" si="230"/>
        <v>11.041572372355128</v>
      </c>
      <c r="W657">
        <f t="shared" si="224"/>
        <v>-1.4285098295318921</v>
      </c>
      <c r="X657">
        <f t="shared" si="231"/>
        <v>11.051649535084531</v>
      </c>
      <c r="Y657">
        <f t="shared" si="225"/>
        <v>-1.4385869922612944</v>
      </c>
      <c r="Z657">
        <f t="shared" si="232"/>
        <v>10.924552109485493</v>
      </c>
      <c r="AA657">
        <f t="shared" si="226"/>
        <v>-1.3114895666622566</v>
      </c>
      <c r="AB657">
        <f t="shared" si="227"/>
        <v>0.46226254282323609</v>
      </c>
      <c r="AC657">
        <f t="shared" si="228"/>
        <v>10.87568677648779</v>
      </c>
      <c r="AD657">
        <f t="shared" si="229"/>
        <v>-1.2626242336645532</v>
      </c>
    </row>
    <row r="658" spans="1:30">
      <c r="A658">
        <v>656</v>
      </c>
      <c r="B658">
        <v>9.1840023163347659</v>
      </c>
      <c r="C658">
        <f t="shared" si="233"/>
        <v>10.406212452891397</v>
      </c>
      <c r="D658">
        <f t="shared" si="233"/>
        <v>10.456005859312478</v>
      </c>
      <c r="E658">
        <f t="shared" si="234"/>
        <v>9.9902632602705506</v>
      </c>
      <c r="F658">
        <f t="shared" si="237"/>
        <v>10.723522711172359</v>
      </c>
      <c r="G658">
        <f t="shared" si="237"/>
        <v>11.34753301919463</v>
      </c>
      <c r="H658">
        <f t="shared" si="237"/>
        <v>12.06000277813264</v>
      </c>
      <c r="I658">
        <f t="shared" si="220"/>
        <v>2.8760004617978741</v>
      </c>
      <c r="J658">
        <f t="shared" si="235"/>
        <v>10.569680276261073</v>
      </c>
      <c r="K658">
        <f t="shared" si="239"/>
        <v>11.003928033194335</v>
      </c>
      <c r="L658">
        <f t="shared" si="239"/>
        <v>11.832492488929296</v>
      </c>
      <c r="M658">
        <f t="shared" si="239"/>
        <v>11.854113741222985</v>
      </c>
      <c r="N658">
        <f t="shared" si="221"/>
        <v>2.6701114248882192</v>
      </c>
      <c r="O658">
        <f t="shared" si="236"/>
        <v>10.292544684275811</v>
      </c>
      <c r="P658">
        <f t="shared" si="240"/>
        <v>11.065310942368585</v>
      </c>
      <c r="Q658">
        <f t="shared" si="238"/>
        <v>10.357450578815881</v>
      </c>
      <c r="R658">
        <f t="shared" si="241"/>
        <v>11.656339401193085</v>
      </c>
      <c r="S658">
        <f t="shared" si="241"/>
        <v>11.63917432923011</v>
      </c>
      <c r="T658">
        <f t="shared" si="222"/>
        <v>2.4551720128953445</v>
      </c>
      <c r="U658">
        <f t="shared" si="223"/>
        <v>-2.4551720128953445</v>
      </c>
      <c r="V658">
        <f t="shared" si="230"/>
        <v>10.898721389401938</v>
      </c>
      <c r="W658">
        <f t="shared" si="224"/>
        <v>-1.7147190730671724</v>
      </c>
      <c r="X658">
        <f t="shared" si="231"/>
        <v>10.763932136632272</v>
      </c>
      <c r="Y658">
        <f t="shared" si="225"/>
        <v>-1.5799298202975063</v>
      </c>
      <c r="Z658">
        <f t="shared" si="232"/>
        <v>10.531105239486816</v>
      </c>
      <c r="AA658">
        <f t="shared" si="226"/>
        <v>-1.3471029231520504</v>
      </c>
      <c r="AB658">
        <f t="shared" si="227"/>
        <v>2.7642316334766548E-2</v>
      </c>
      <c r="AC658">
        <f t="shared" si="228"/>
        <v>10.883856582827287</v>
      </c>
      <c r="AD658">
        <f t="shared" si="229"/>
        <v>-1.6998542664925207</v>
      </c>
    </row>
    <row r="659" spans="1:30">
      <c r="A659">
        <v>657</v>
      </c>
      <c r="B659">
        <v>10.900580025609493</v>
      </c>
      <c r="C659">
        <f t="shared" si="233"/>
        <v>9.3985324295790011</v>
      </c>
      <c r="D659">
        <f t="shared" si="233"/>
        <v>10.292538035942801</v>
      </c>
      <c r="E659">
        <f t="shared" si="234"/>
        <v>9.9988090740391868</v>
      </c>
      <c r="F659">
        <f t="shared" si="237"/>
        <v>10.478731165475475</v>
      </c>
      <c r="G659">
        <f t="shared" si="237"/>
        <v>10.930539488149009</v>
      </c>
      <c r="H659">
        <f t="shared" si="237"/>
        <v>11.789577684236454</v>
      </c>
      <c r="I659">
        <f t="shared" si="220"/>
        <v>0.88899765862696078</v>
      </c>
      <c r="J659">
        <f t="shared" si="235"/>
        <v>9.7886980242866031</v>
      </c>
      <c r="K659">
        <f t="shared" si="239"/>
        <v>10.752376223192547</v>
      </c>
      <c r="L659">
        <f t="shared" si="239"/>
        <v>11.550880058226008</v>
      </c>
      <c r="M659">
        <f t="shared" si="239"/>
        <v>11.908159483144395</v>
      </c>
      <c r="N659">
        <f t="shared" si="221"/>
        <v>1.0075794575349022</v>
      </c>
      <c r="O659">
        <f t="shared" si="236"/>
        <v>10.011074424551181</v>
      </c>
      <c r="P659">
        <f t="shared" si="240"/>
        <v>10.792171722301308</v>
      </c>
      <c r="Q659">
        <f t="shared" si="238"/>
        <v>10.278093228060689</v>
      </c>
      <c r="R659">
        <f t="shared" si="241"/>
        <v>11.312767883526169</v>
      </c>
      <c r="S659">
        <f t="shared" si="241"/>
        <v>11.714313262087188</v>
      </c>
      <c r="T659">
        <f t="shared" si="222"/>
        <v>0.81373323647769524</v>
      </c>
      <c r="U659">
        <f t="shared" si="223"/>
        <v>-0.81373323647769524</v>
      </c>
      <c r="V659">
        <f t="shared" si="230"/>
        <v>10.727249482095221</v>
      </c>
      <c r="W659">
        <f t="shared" si="224"/>
        <v>0.1733305435142718</v>
      </c>
      <c r="X659">
        <f t="shared" si="231"/>
        <v>10.44794617257277</v>
      </c>
      <c r="Y659">
        <f t="shared" si="225"/>
        <v>0.45263385303672266</v>
      </c>
      <c r="Z659">
        <f t="shared" si="232"/>
        <v>10.126974362541201</v>
      </c>
      <c r="AA659">
        <f t="shared" si="226"/>
        <v>0.7736056630682917</v>
      </c>
      <c r="AB659">
        <f t="shared" si="227"/>
        <v>1.7386600256094926</v>
      </c>
      <c r="AC659">
        <f t="shared" si="228"/>
        <v>10.891170059938709</v>
      </c>
      <c r="AD659">
        <f t="shared" si="229"/>
        <v>9.409965670784004E-3</v>
      </c>
    </row>
    <row r="660" spans="1:30">
      <c r="A660">
        <v>658</v>
      </c>
      <c r="B660">
        <v>9.6312195695354337</v>
      </c>
      <c r="C660">
        <f t="shared" si="233"/>
        <v>10.042291170972129</v>
      </c>
      <c r="D660">
        <f t="shared" si="233"/>
        <v>9.9023724412351992</v>
      </c>
      <c r="E660">
        <f t="shared" si="234"/>
        <v>9.8992149615891645</v>
      </c>
      <c r="F660">
        <f t="shared" si="237"/>
        <v>10.29254172946114</v>
      </c>
      <c r="G660">
        <f t="shared" si="237"/>
        <v>10.663478696060958</v>
      </c>
      <c r="H660">
        <f t="shared" si="237"/>
        <v>11.37774641117754</v>
      </c>
      <c r="I660">
        <f t="shared" si="220"/>
        <v>1.7465268416421065</v>
      </c>
      <c r="J660">
        <f t="shared" si="235"/>
        <v>10.224251811931763</v>
      </c>
      <c r="K660">
        <f t="shared" si="239"/>
        <v>10.352330392406833</v>
      </c>
      <c r="L660">
        <f t="shared" si="239"/>
        <v>11.234069680438049</v>
      </c>
      <c r="M660">
        <f t="shared" si="239"/>
        <v>11.835507739110742</v>
      </c>
      <c r="N660">
        <f t="shared" si="221"/>
        <v>2.2042881695753085</v>
      </c>
      <c r="O660">
        <f t="shared" si="236"/>
        <v>10.105645363452497</v>
      </c>
      <c r="P660">
        <f t="shared" si="240"/>
        <v>10.449927351639323</v>
      </c>
      <c r="Q660">
        <f t="shared" si="238"/>
        <v>10.393883907831425</v>
      </c>
      <c r="R660">
        <f t="shared" si="241"/>
        <v>11.044997371262328</v>
      </c>
      <c r="S660">
        <f t="shared" si="241"/>
        <v>11.675362994038743</v>
      </c>
      <c r="T660">
        <f t="shared" si="222"/>
        <v>2.044143424503309</v>
      </c>
      <c r="U660">
        <f t="shared" si="223"/>
        <v>-2.044143424503309</v>
      </c>
      <c r="V660">
        <f t="shared" si="230"/>
        <v>10.744582536446648</v>
      </c>
      <c r="W660">
        <f t="shared" si="224"/>
        <v>-1.1133629669112146</v>
      </c>
      <c r="X660">
        <f t="shared" si="231"/>
        <v>10.538472943180114</v>
      </c>
      <c r="Y660">
        <f t="shared" si="225"/>
        <v>-0.90725337364468039</v>
      </c>
      <c r="Z660">
        <f t="shared" si="232"/>
        <v>10.359056061461688</v>
      </c>
      <c r="AA660">
        <f t="shared" si="226"/>
        <v>-0.72783649192625433</v>
      </c>
      <c r="AB660">
        <f t="shared" si="227"/>
        <v>0.46373956953543249</v>
      </c>
      <c r="AC660">
        <f t="shared" si="228"/>
        <v>10.897625384676173</v>
      </c>
      <c r="AD660">
        <f t="shared" si="229"/>
        <v>-1.2664058151407396</v>
      </c>
    </row>
    <row r="661" spans="1:30">
      <c r="A661">
        <v>659</v>
      </c>
      <c r="B661">
        <v>9.7092461990028696</v>
      </c>
      <c r="C661">
        <f t="shared" si="233"/>
        <v>10.265899797572462</v>
      </c>
      <c r="D661">
        <f t="shared" si="233"/>
        <v>9.7204118002755653</v>
      </c>
      <c r="E661">
        <f t="shared" si="234"/>
        <v>9.9052673038265642</v>
      </c>
      <c r="F661">
        <f t="shared" si="237"/>
        <v>9.9627624319663024</v>
      </c>
      <c r="G661">
        <f t="shared" si="237"/>
        <v>10.498265202036324</v>
      </c>
      <c r="H661">
        <f t="shared" si="237"/>
        <v>10.98051706780153</v>
      </c>
      <c r="I661">
        <f t="shared" si="220"/>
        <v>1.2712708687986609</v>
      </c>
      <c r="J661">
        <f t="shared" si="235"/>
        <v>9.8322161135757327</v>
      </c>
      <c r="K661">
        <f t="shared" si="239"/>
        <v>10.325125934945243</v>
      </c>
      <c r="L661">
        <f t="shared" si="239"/>
        <v>10.859607443416854</v>
      </c>
      <c r="M661">
        <f t="shared" si="239"/>
        <v>11.65227563252097</v>
      </c>
      <c r="N661">
        <f t="shared" si="221"/>
        <v>1.9430294335181006</v>
      </c>
      <c r="O661">
        <f t="shared" si="236"/>
        <v>9.8076221306611604</v>
      </c>
      <c r="P661">
        <f t="shared" si="240"/>
        <v>10.282500813739954</v>
      </c>
      <c r="Q661">
        <f t="shared" si="238"/>
        <v>9.9477652820485556</v>
      </c>
      <c r="R661">
        <f t="shared" si="241"/>
        <v>10.846077789655062</v>
      </c>
      <c r="S661">
        <f t="shared" si="241"/>
        <v>11.563239827774844</v>
      </c>
      <c r="T661">
        <f t="shared" si="222"/>
        <v>1.853993628771974</v>
      </c>
      <c r="U661">
        <f t="shared" si="223"/>
        <v>-1.853993628771974</v>
      </c>
      <c r="V661">
        <f t="shared" si="230"/>
        <v>10.633246239755527</v>
      </c>
      <c r="W661">
        <f t="shared" si="224"/>
        <v>-0.92400004075265763</v>
      </c>
      <c r="X661">
        <f t="shared" si="231"/>
        <v>10.357022268451178</v>
      </c>
      <c r="Y661">
        <f t="shared" si="225"/>
        <v>-0.64777606944830879</v>
      </c>
      <c r="Z661">
        <f t="shared" si="232"/>
        <v>10.140705113883811</v>
      </c>
      <c r="AA661">
        <f t="shared" si="226"/>
        <v>-0.43145891488094179</v>
      </c>
      <c r="AB661">
        <f t="shared" si="227"/>
        <v>0.53620619900286925</v>
      </c>
      <c r="AC661">
        <f t="shared" si="228"/>
        <v>10.903220972263938</v>
      </c>
      <c r="AD661">
        <f t="shared" si="229"/>
        <v>-1.1939747732610684</v>
      </c>
    </row>
    <row r="662" spans="1:30">
      <c r="A662">
        <v>660</v>
      </c>
      <c r="B662">
        <v>11.464099106176745</v>
      </c>
      <c r="C662">
        <f t="shared" si="233"/>
        <v>9.6702328842691507</v>
      </c>
      <c r="D662">
        <f t="shared" si="233"/>
        <v>10.154095484272297</v>
      </c>
      <c r="E662">
        <f t="shared" si="234"/>
        <v>10.080348598049264</v>
      </c>
      <c r="F662">
        <f t="shared" si="237"/>
        <v>9.9344304464849724</v>
      </c>
      <c r="G662">
        <f t="shared" si="237"/>
        <v>10.244678442300973</v>
      </c>
      <c r="H662">
        <f t="shared" si="237"/>
        <v>10.697427795415429</v>
      </c>
      <c r="I662">
        <f t="shared" si="220"/>
        <v>-0.76667131076131589</v>
      </c>
      <c r="J662">
        <f t="shared" si="235"/>
        <v>9.856262027620641</v>
      </c>
      <c r="K662">
        <f t="shared" si="239"/>
        <v>10.103711556513794</v>
      </c>
      <c r="L662">
        <f t="shared" si="239"/>
        <v>10.60844014593474</v>
      </c>
      <c r="M662">
        <f t="shared" si="239"/>
        <v>11.369262417752552</v>
      </c>
      <c r="N662">
        <f t="shared" si="221"/>
        <v>-9.4836688424193127E-2</v>
      </c>
      <c r="O662">
        <f t="shared" si="236"/>
        <v>10.177829443331863</v>
      </c>
      <c r="P662">
        <f t="shared" si="240"/>
        <v>10.142759602669305</v>
      </c>
      <c r="Q662">
        <f t="shared" si="238"/>
        <v>10.039578836044226</v>
      </c>
      <c r="R662">
        <f t="shared" si="241"/>
        <v>10.542951579793888</v>
      </c>
      <c r="S662">
        <f t="shared" si="241"/>
        <v>11.412406278751398</v>
      </c>
      <c r="T662">
        <f t="shared" si="222"/>
        <v>-5.1692827425346977E-2</v>
      </c>
      <c r="U662">
        <f t="shared" si="223"/>
        <v>5.1692827425346977E-2</v>
      </c>
      <c r="V662">
        <f t="shared" si="230"/>
        <v>10.540846235680261</v>
      </c>
      <c r="W662">
        <f t="shared" si="224"/>
        <v>0.92325287049648352</v>
      </c>
      <c r="X662">
        <f t="shared" si="231"/>
        <v>10.227467054561517</v>
      </c>
      <c r="Y662">
        <f t="shared" si="225"/>
        <v>1.2366320516152278</v>
      </c>
      <c r="Z662">
        <f t="shared" si="232"/>
        <v>10.011267439419528</v>
      </c>
      <c r="AA662">
        <f t="shared" si="226"/>
        <v>1.4528316667572163</v>
      </c>
      <c r="AB662">
        <f t="shared" si="227"/>
        <v>2.2854991061767453</v>
      </c>
      <c r="AC662">
        <f t="shared" si="228"/>
        <v>10.907955476736607</v>
      </c>
      <c r="AD662">
        <f t="shared" si="229"/>
        <v>0.55614362944013784</v>
      </c>
    </row>
    <row r="663" spans="1:30">
      <c r="A663">
        <v>661</v>
      </c>
      <c r="B663">
        <v>9.155397869431356</v>
      </c>
      <c r="C663">
        <f t="shared" si="233"/>
        <v>10.586672652589808</v>
      </c>
      <c r="D663">
        <f t="shared" si="233"/>
        <v>9.9680663409208066</v>
      </c>
      <c r="E663">
        <f t="shared" si="234"/>
        <v>10.268188291571683</v>
      </c>
      <c r="F663">
        <f t="shared" si="237"/>
        <v>9.9616102878216637</v>
      </c>
      <c r="G663">
        <f t="shared" si="237"/>
        <v>10.063244869304137</v>
      </c>
      <c r="H663">
        <f t="shared" si="237"/>
        <v>10.468807446799419</v>
      </c>
      <c r="I663">
        <f t="shared" si="220"/>
        <v>1.3134095773680627</v>
      </c>
      <c r="J663">
        <f t="shared" si="235"/>
        <v>10.426286225081135</v>
      </c>
      <c r="K663">
        <f t="shared" si="239"/>
        <v>9.9253569943536846</v>
      </c>
      <c r="L663">
        <f t="shared" si="239"/>
        <v>10.383386026764605</v>
      </c>
      <c r="M663">
        <f t="shared" si="239"/>
        <v>11.063249332003913</v>
      </c>
      <c r="N663">
        <f t="shared" si="221"/>
        <v>1.9078514625725571</v>
      </c>
      <c r="O663">
        <f t="shared" si="236"/>
        <v>10.17210855395118</v>
      </c>
      <c r="P663">
        <f t="shared" si="240"/>
        <v>10.078943209254501</v>
      </c>
      <c r="Q663">
        <f t="shared" si="238"/>
        <v>10.083701626580424</v>
      </c>
      <c r="R663">
        <f t="shared" si="241"/>
        <v>10.333718989569748</v>
      </c>
      <c r="S663">
        <f t="shared" si="241"/>
        <v>11.197843456176733</v>
      </c>
      <c r="T663">
        <f t="shared" si="222"/>
        <v>2.0424455867453766</v>
      </c>
      <c r="U663">
        <f t="shared" si="223"/>
        <v>-2.0424455867453766</v>
      </c>
      <c r="V663">
        <f t="shared" si="230"/>
        <v>10.63317152272991</v>
      </c>
      <c r="W663">
        <f t="shared" si="224"/>
        <v>-1.4777736532985539</v>
      </c>
      <c r="X663">
        <f t="shared" si="231"/>
        <v>10.474793464884563</v>
      </c>
      <c r="Y663">
        <f t="shared" si="225"/>
        <v>-1.3193955954532068</v>
      </c>
      <c r="Z663">
        <f t="shared" si="232"/>
        <v>10.447116939446694</v>
      </c>
      <c r="AA663">
        <f t="shared" si="226"/>
        <v>-1.291719070015338</v>
      </c>
      <c r="AB663">
        <f t="shared" si="227"/>
        <v>-2.8762130568644295E-2</v>
      </c>
      <c r="AC663">
        <f t="shared" si="228"/>
        <v>10.911827791313005</v>
      </c>
      <c r="AD663">
        <f t="shared" si="229"/>
        <v>-1.756429921881649</v>
      </c>
    </row>
    <row r="664" spans="1:30">
      <c r="A664">
        <v>662</v>
      </c>
      <c r="B664">
        <v>10.141806165583253</v>
      </c>
      <c r="C664">
        <f t="shared" si="233"/>
        <v>10.30974848780405</v>
      </c>
      <c r="D664">
        <f t="shared" si="233"/>
        <v>10.128452768429479</v>
      </c>
      <c r="E664">
        <f t="shared" si="234"/>
        <v>10.109581058203657</v>
      </c>
      <c r="F664">
        <f t="shared" si="237"/>
        <v>10.084601397815836</v>
      </c>
      <c r="G664">
        <f t="shared" si="237"/>
        <v>9.9529343887576456</v>
      </c>
      <c r="H664">
        <f t="shared" si="237"/>
        <v>10.268729504547144</v>
      </c>
      <c r="I664">
        <f t="shared" si="220"/>
        <v>0.1269233389638913</v>
      </c>
      <c r="J664">
        <f t="shared" si="235"/>
        <v>9.9899906860366006</v>
      </c>
      <c r="K664">
        <f t="shared" si="239"/>
        <v>10.084754044552319</v>
      </c>
      <c r="L664">
        <f t="shared" si="239"/>
        <v>10.176631219554888</v>
      </c>
      <c r="M664">
        <f t="shared" si="239"/>
        <v>10.771375824138561</v>
      </c>
      <c r="N664">
        <f t="shared" si="221"/>
        <v>0.62956965855530811</v>
      </c>
      <c r="O664">
        <f t="shared" si="236"/>
        <v>10.020353781945932</v>
      </c>
      <c r="P664">
        <f t="shared" si="240"/>
        <v>10.054855983189574</v>
      </c>
      <c r="Q664">
        <f t="shared" si="238"/>
        <v>10.007424181015111</v>
      </c>
      <c r="R664">
        <f t="shared" si="241"/>
        <v>10.183412243230201</v>
      </c>
      <c r="S664">
        <f t="shared" si="241"/>
        <v>10.956142169166712</v>
      </c>
      <c r="T664">
        <f t="shared" si="222"/>
        <v>0.8143360035834597</v>
      </c>
      <c r="U664">
        <f t="shared" si="223"/>
        <v>-0.8143360035834597</v>
      </c>
      <c r="V664">
        <f t="shared" si="230"/>
        <v>10.485394157400055</v>
      </c>
      <c r="W664">
        <f t="shared" si="224"/>
        <v>-0.34358799181680233</v>
      </c>
      <c r="X664">
        <f t="shared" si="231"/>
        <v>10.210914345793922</v>
      </c>
      <c r="Y664">
        <f t="shared" si="225"/>
        <v>-6.9108180210669445E-2</v>
      </c>
      <c r="Z664">
        <f t="shared" si="232"/>
        <v>10.059601218442094</v>
      </c>
      <c r="AA664">
        <f t="shared" si="226"/>
        <v>8.2204947141159224E-2</v>
      </c>
      <c r="AB664">
        <f t="shared" si="227"/>
        <v>0.95208616558325154</v>
      </c>
      <c r="AC664">
        <f t="shared" si="228"/>
        <v>10.914837048703603</v>
      </c>
      <c r="AD664">
        <f t="shared" si="229"/>
        <v>-0.77303088312035051</v>
      </c>
    </row>
    <row r="665" spans="1:30">
      <c r="A665">
        <v>663</v>
      </c>
      <c r="B665">
        <v>10.404272164045015</v>
      </c>
      <c r="C665">
        <f t="shared" si="233"/>
        <v>9.6486020175073044</v>
      </c>
      <c r="D665">
        <f t="shared" si="233"/>
        <v>10.448210570196929</v>
      </c>
      <c r="E665">
        <f t="shared" si="234"/>
        <v>10.253767713730452</v>
      </c>
      <c r="F665">
        <f t="shared" si="237"/>
        <v>10.152705982608202</v>
      </c>
      <c r="G665">
        <f t="shared" si="237"/>
        <v>9.9935473773741581</v>
      </c>
      <c r="H665">
        <f t="shared" si="237"/>
        <v>10.086952566787586</v>
      </c>
      <c r="I665">
        <f t="shared" si="220"/>
        <v>-0.31731959725742875</v>
      </c>
      <c r="J665">
        <f t="shared" si="235"/>
        <v>10.117637335048556</v>
      </c>
      <c r="K665">
        <f t="shared" si="239"/>
        <v>10.026188763078528</v>
      </c>
      <c r="L665">
        <f t="shared" si="239"/>
        <v>10.10973713259126</v>
      </c>
      <c r="M665">
        <f t="shared" si="239"/>
        <v>10.507016208917772</v>
      </c>
      <c r="N665">
        <f t="shared" si="221"/>
        <v>0.10274404487275746</v>
      </c>
      <c r="O665">
        <f t="shared" si="236"/>
        <v>10.174964300847847</v>
      </c>
      <c r="P665">
        <f t="shared" si="240"/>
        <v>10.056711854668526</v>
      </c>
      <c r="Q665">
        <f t="shared" si="238"/>
        <v>10.167058155889858</v>
      </c>
      <c r="R665">
        <f t="shared" si="241"/>
        <v>10.125074510263405</v>
      </c>
      <c r="S665">
        <f t="shared" si="241"/>
        <v>10.710654309506232</v>
      </c>
      <c r="T665">
        <f t="shared" si="222"/>
        <v>0.30638214546121745</v>
      </c>
      <c r="U665">
        <f t="shared" si="223"/>
        <v>-0.30638214546121745</v>
      </c>
      <c r="V665">
        <f t="shared" si="230"/>
        <v>10.451035358218375</v>
      </c>
      <c r="W665">
        <f t="shared" si="224"/>
        <v>-4.676319417336039E-2</v>
      </c>
      <c r="X665">
        <f t="shared" si="231"/>
        <v>10.197092709751788</v>
      </c>
      <c r="Y665">
        <f t="shared" si="225"/>
        <v>0.20717945429322704</v>
      </c>
      <c r="Z665">
        <f t="shared" si="232"/>
        <v>10.084262702584441</v>
      </c>
      <c r="AA665">
        <f t="shared" si="226"/>
        <v>0.32000946146057352</v>
      </c>
      <c r="AB665">
        <f t="shared" si="227"/>
        <v>1.2089921640450143</v>
      </c>
      <c r="AC665">
        <f t="shared" si="228"/>
        <v>10.916982621351428</v>
      </c>
      <c r="AD665">
        <f t="shared" si="229"/>
        <v>-0.5127104573064134</v>
      </c>
    </row>
    <row r="666" spans="1:30">
      <c r="A666">
        <v>664</v>
      </c>
      <c r="B666">
        <v>12.169312503838267</v>
      </c>
      <c r="C666">
        <f t="shared" si="233"/>
        <v>10.273039164814133</v>
      </c>
      <c r="D666">
        <f t="shared" si="233"/>
        <v>9.9791752526556774</v>
      </c>
      <c r="E666">
        <f t="shared" si="234"/>
        <v>9.9004920663532072</v>
      </c>
      <c r="F666">
        <f t="shared" si="237"/>
        <v>10.210512354501931</v>
      </c>
      <c r="G666">
        <f t="shared" si="237"/>
        <v>10.066305889415235</v>
      </c>
      <c r="H666">
        <f t="shared" si="237"/>
        <v>10.00324221181198</v>
      </c>
      <c r="I666">
        <f t="shared" si="220"/>
        <v>-2.1660702920262871</v>
      </c>
      <c r="J666">
        <f t="shared" si="235"/>
        <v>10.291393826309093</v>
      </c>
      <c r="K666">
        <f t="shared" si="239"/>
        <v>10.097544068446734</v>
      </c>
      <c r="L666">
        <f t="shared" si="239"/>
        <v>10.035002839624582</v>
      </c>
      <c r="M666">
        <f t="shared" si="239"/>
        <v>10.319548631211372</v>
      </c>
      <c r="N666">
        <f t="shared" si="221"/>
        <v>-1.8497638726268946</v>
      </c>
      <c r="O666">
        <f t="shared" si="236"/>
        <v>10.666977561814928</v>
      </c>
      <c r="P666">
        <f t="shared" si="240"/>
        <v>10.070575642147597</v>
      </c>
      <c r="Q666">
        <f t="shared" si="238"/>
        <v>10.084340178962444</v>
      </c>
      <c r="R666">
        <f t="shared" si="241"/>
        <v>10.106568664901602</v>
      </c>
      <c r="S666">
        <f t="shared" si="241"/>
        <v>10.512705413962438</v>
      </c>
      <c r="T666">
        <f t="shared" si="222"/>
        <v>-1.6566070898758287</v>
      </c>
      <c r="U666">
        <f t="shared" si="223"/>
        <v>1.6566070898758287</v>
      </c>
      <c r="V666">
        <f t="shared" si="230"/>
        <v>10.446359038801038</v>
      </c>
      <c r="W666">
        <f t="shared" si="224"/>
        <v>1.7229534650372287</v>
      </c>
      <c r="X666">
        <f t="shared" si="231"/>
        <v>10.238528600610433</v>
      </c>
      <c r="Y666">
        <f t="shared" si="225"/>
        <v>1.9307839032278338</v>
      </c>
      <c r="Z666">
        <f t="shared" si="232"/>
        <v>10.180265541022614</v>
      </c>
      <c r="AA666">
        <f t="shared" si="226"/>
        <v>1.9890469628156531</v>
      </c>
      <c r="AB666">
        <f t="shared" si="227"/>
        <v>2.9684725038382673</v>
      </c>
      <c r="AC666">
        <f t="shared" si="228"/>
        <v>10.91826412160639</v>
      </c>
      <c r="AD666">
        <f t="shared" si="229"/>
        <v>1.2510483822318772</v>
      </c>
    </row>
    <row r="667" spans="1:30">
      <c r="A667">
        <v>665</v>
      </c>
      <c r="B667">
        <v>11.005215734166605</v>
      </c>
      <c r="C667">
        <f t="shared" si="233"/>
        <v>11.286792333941641</v>
      </c>
      <c r="D667">
        <f t="shared" si="233"/>
        <v>9.9608205911607186</v>
      </c>
      <c r="E667">
        <f t="shared" si="234"/>
        <v>10.905130277822176</v>
      </c>
      <c r="F667">
        <f t="shared" si="237"/>
        <v>10.087946946095771</v>
      </c>
      <c r="G667">
        <f t="shared" si="237"/>
        <v>10.149273244975324</v>
      </c>
      <c r="H667">
        <f t="shared" si="237"/>
        <v>10.004262551849012</v>
      </c>
      <c r="I667">
        <f t="shared" si="220"/>
        <v>-1.000953182317593</v>
      </c>
      <c r="J667">
        <f t="shared" si="235"/>
        <v>10.467697175724473</v>
      </c>
      <c r="K667">
        <f t="shared" si="239"/>
        <v>10.206327018118845</v>
      </c>
      <c r="L667">
        <f t="shared" si="239"/>
        <v>10.033460967607816</v>
      </c>
      <c r="M667">
        <f t="shared" si="239"/>
        <v>10.176189304633834</v>
      </c>
      <c r="N667">
        <f t="shared" si="221"/>
        <v>-0.82902642953277095</v>
      </c>
      <c r="O667">
        <f t="shared" si="236"/>
        <v>10.575200887412899</v>
      </c>
      <c r="P667">
        <f t="shared" si="240"/>
        <v>10.242446728378351</v>
      </c>
      <c r="Q667">
        <f t="shared" si="238"/>
        <v>10.507355668012918</v>
      </c>
      <c r="R667">
        <f t="shared" si="241"/>
        <v>10.054978043423436</v>
      </c>
      <c r="S667">
        <f t="shared" si="241"/>
        <v>10.356300629568983</v>
      </c>
      <c r="T667">
        <f t="shared" si="222"/>
        <v>-0.64891510459762181</v>
      </c>
      <c r="U667">
        <f t="shared" si="223"/>
        <v>0.64891510459762181</v>
      </c>
      <c r="V667">
        <f t="shared" si="230"/>
        <v>10.618654385304762</v>
      </c>
      <c r="W667">
        <f t="shared" si="224"/>
        <v>0.3865613488618429</v>
      </c>
      <c r="X667">
        <f t="shared" si="231"/>
        <v>10.624685381256</v>
      </c>
      <c r="Y667">
        <f t="shared" si="225"/>
        <v>0.38053035291060411</v>
      </c>
      <c r="Z667">
        <f t="shared" si="232"/>
        <v>10.776979629867309</v>
      </c>
      <c r="AA667">
        <f t="shared" si="226"/>
        <v>0.22823610429929531</v>
      </c>
      <c r="AB667">
        <f t="shared" si="227"/>
        <v>1.7988157341666042</v>
      </c>
      <c r="AC667">
        <f t="shared" si="228"/>
        <v>10.91868140183294</v>
      </c>
      <c r="AD667">
        <f t="shared" si="229"/>
        <v>8.6534332333664921E-2</v>
      </c>
    </row>
    <row r="668" spans="1:30">
      <c r="A668">
        <v>666</v>
      </c>
      <c r="B668">
        <v>10.169629998682295</v>
      </c>
      <c r="C668">
        <f t="shared" si="233"/>
        <v>11.587264119002436</v>
      </c>
      <c r="D668">
        <f t="shared" si="233"/>
        <v>10.779915749377887</v>
      </c>
      <c r="E668">
        <f t="shared" si="234"/>
        <v>11.192933467349961</v>
      </c>
      <c r="F668">
        <f t="shared" si="237"/>
        <v>10.353130019301945</v>
      </c>
      <c r="G668">
        <f t="shared" si="237"/>
        <v>10.150388427735301</v>
      </c>
      <c r="H668">
        <f t="shared" si="237"/>
        <v>10.069708837254906</v>
      </c>
      <c r="I668">
        <f t="shared" si="220"/>
        <v>-9.9921161427388938E-2</v>
      </c>
      <c r="J668">
        <f t="shared" si="235"/>
        <v>10.930151641908283</v>
      </c>
      <c r="K668">
        <f t="shared" si="239"/>
        <v>10.21667975577968</v>
      </c>
      <c r="L668">
        <f t="shared" si="239"/>
        <v>10.103703473549107</v>
      </c>
      <c r="M668">
        <f t="shared" si="239"/>
        <v>10.088708039844636</v>
      </c>
      <c r="N668">
        <f t="shared" si="221"/>
        <v>-8.0921958837658181E-2</v>
      </c>
      <c r="O668">
        <f t="shared" si="236"/>
        <v>10.778047313263086</v>
      </c>
      <c r="P668">
        <f t="shared" si="240"/>
        <v>10.321921017194557</v>
      </c>
      <c r="Q668">
        <f t="shared" si="238"/>
        <v>10.723350590540207</v>
      </c>
      <c r="R668">
        <f t="shared" si="241"/>
        <v>10.148243107750831</v>
      </c>
      <c r="S668">
        <f t="shared" si="241"/>
        <v>10.224450671863714</v>
      </c>
      <c r="T668">
        <f t="shared" si="222"/>
        <v>5.4820673181419366E-2</v>
      </c>
      <c r="U668">
        <f t="shared" si="223"/>
        <v>-5.4820673181419366E-2</v>
      </c>
      <c r="V668">
        <f t="shared" si="230"/>
        <v>10.657310520190945</v>
      </c>
      <c r="W668">
        <f t="shared" si="224"/>
        <v>-0.4876805215086506</v>
      </c>
      <c r="X668">
        <f t="shared" si="231"/>
        <v>10.700791451838121</v>
      </c>
      <c r="Y668">
        <f t="shared" si="225"/>
        <v>-0.53116145315582663</v>
      </c>
      <c r="Z668">
        <f t="shared" si="232"/>
        <v>10.845450461157098</v>
      </c>
      <c r="AA668">
        <f t="shared" si="226"/>
        <v>-0.67582046247480321</v>
      </c>
      <c r="AB668">
        <f t="shared" si="227"/>
        <v>0.95766999868229341</v>
      </c>
      <c r="AC668">
        <f t="shared" si="228"/>
        <v>10.918234554451104</v>
      </c>
      <c r="AD668">
        <f t="shared" si="229"/>
        <v>-0.74860455576880902</v>
      </c>
    </row>
    <row r="669" spans="1:30">
      <c r="A669">
        <v>667</v>
      </c>
      <c r="B669">
        <v>12.249971949032204</v>
      </c>
      <c r="C669">
        <f t="shared" si="233"/>
        <v>10.587422866424451</v>
      </c>
      <c r="D669">
        <f t="shared" si="233"/>
        <v>11.437028226472037</v>
      </c>
      <c r="E669">
        <f t="shared" si="234"/>
        <v>11.114719412229055</v>
      </c>
      <c r="F669">
        <f t="shared" si="237"/>
        <v>10.666185270508448</v>
      </c>
      <c r="G669">
        <f t="shared" si="237"/>
        <v>10.21719643996655</v>
      </c>
      <c r="H669">
        <f t="shared" si="237"/>
        <v>10.121989187375286</v>
      </c>
      <c r="I669">
        <f t="shared" si="220"/>
        <v>-2.1279827616569182</v>
      </c>
      <c r="J669">
        <f t="shared" si="235"/>
        <v>10.937107600183046</v>
      </c>
      <c r="K669">
        <f t="shared" si="239"/>
        <v>10.4517199947476</v>
      </c>
      <c r="L669">
        <f t="shared" si="239"/>
        <v>10.136684901355945</v>
      </c>
      <c r="M669">
        <f t="shared" si="239"/>
        <v>10.070476103343191</v>
      </c>
      <c r="N669">
        <f t="shared" si="221"/>
        <v>-2.1794958456890132</v>
      </c>
      <c r="O669">
        <f t="shared" si="236"/>
        <v>11.199680469952877</v>
      </c>
      <c r="P669">
        <f t="shared" si="240"/>
        <v>10.443108769056938</v>
      </c>
      <c r="Q669">
        <f t="shared" si="238"/>
        <v>10.507605739291131</v>
      </c>
      <c r="R669">
        <f t="shared" si="241"/>
        <v>10.262205066833493</v>
      </c>
      <c r="S669">
        <f t="shared" si="241"/>
        <v>10.158665926523204</v>
      </c>
      <c r="T669">
        <f t="shared" si="222"/>
        <v>-2.0913060225090003</v>
      </c>
      <c r="U669">
        <f t="shared" si="223"/>
        <v>2.0913060225090003</v>
      </c>
      <c r="V669">
        <f t="shared" si="230"/>
        <v>10.608542468040079</v>
      </c>
      <c r="W669">
        <f t="shared" si="224"/>
        <v>1.6414294809921248</v>
      </c>
      <c r="X669">
        <f t="shared" si="231"/>
        <v>10.594559161206956</v>
      </c>
      <c r="Y669">
        <f t="shared" si="225"/>
        <v>1.6554127878252487</v>
      </c>
      <c r="Z669">
        <f t="shared" si="232"/>
        <v>10.642704322414657</v>
      </c>
      <c r="AA669">
        <f t="shared" si="226"/>
        <v>1.6072676266175474</v>
      </c>
      <c r="AB669">
        <f t="shared" si="227"/>
        <v>3.0324519490322039</v>
      </c>
      <c r="AC669">
        <f t="shared" si="228"/>
        <v>10.916923911910787</v>
      </c>
      <c r="AD669">
        <f t="shared" si="229"/>
        <v>1.3330480371214168</v>
      </c>
    </row>
    <row r="670" spans="1:30">
      <c r="A670">
        <v>668</v>
      </c>
      <c r="B670">
        <v>10.207854163217059</v>
      </c>
      <c r="C670">
        <f t="shared" si="233"/>
        <v>11.209800973857249</v>
      </c>
      <c r="D670">
        <f t="shared" si="233"/>
        <v>11.087343492713444</v>
      </c>
      <c r="E670">
        <f t="shared" si="234"/>
        <v>11.141605893960369</v>
      </c>
      <c r="F670">
        <f t="shared" si="237"/>
        <v>11.07092771913373</v>
      </c>
      <c r="G670">
        <f t="shared" si="237"/>
        <v>10.369087411968721</v>
      </c>
      <c r="H670">
        <f t="shared" si="237"/>
        <v>10.17228603755906</v>
      </c>
      <c r="I670">
        <f t="shared" si="220"/>
        <v>-3.5568125657999161E-2</v>
      </c>
      <c r="J670">
        <f t="shared" si="235"/>
        <v>11.398532546429841</v>
      </c>
      <c r="K670">
        <f t="shared" si="239"/>
        <v>10.656587561031223</v>
      </c>
      <c r="L670">
        <f t="shared" si="239"/>
        <v>10.243067709273214</v>
      </c>
      <c r="M670">
        <f t="shared" si="239"/>
        <v>10.077213045534362</v>
      </c>
      <c r="N670">
        <f t="shared" si="221"/>
        <v>-0.13064111768269626</v>
      </c>
      <c r="O670">
        <f t="shared" si="236"/>
        <v>11.160396869787284</v>
      </c>
      <c r="P670">
        <f t="shared" si="240"/>
        <v>10.678974106658327</v>
      </c>
      <c r="Q670">
        <f t="shared" si="238"/>
        <v>11.023368085891272</v>
      </c>
      <c r="R670">
        <f t="shared" si="241"/>
        <v>10.332855752285278</v>
      </c>
      <c r="S670">
        <f t="shared" si="241"/>
        <v>10.146746939400495</v>
      </c>
      <c r="T670">
        <f t="shared" si="222"/>
        <v>-6.1107223816563305E-2</v>
      </c>
      <c r="U670">
        <f t="shared" si="223"/>
        <v>6.1107223816563305E-2</v>
      </c>
      <c r="V670">
        <f t="shared" si="230"/>
        <v>10.772685416139293</v>
      </c>
      <c r="W670">
        <f t="shared" si="224"/>
        <v>-0.56483125292223413</v>
      </c>
      <c r="X670">
        <f t="shared" si="231"/>
        <v>10.925641718772006</v>
      </c>
      <c r="Y670">
        <f t="shared" si="225"/>
        <v>-0.71778755555494733</v>
      </c>
      <c r="Z670">
        <f t="shared" si="232"/>
        <v>11.124884610399921</v>
      </c>
      <c r="AA670">
        <f t="shared" si="226"/>
        <v>-0.91703044718286186</v>
      </c>
      <c r="AB670">
        <f t="shared" si="227"/>
        <v>0.98477416321705924</v>
      </c>
      <c r="AC670">
        <f t="shared" si="228"/>
        <v>10.914750046599451</v>
      </c>
      <c r="AD670">
        <f t="shared" si="229"/>
        <v>-0.7068958833823924</v>
      </c>
    </row>
    <row r="671" spans="1:30">
      <c r="A671">
        <v>669</v>
      </c>
      <c r="B671">
        <v>12.023159786287417</v>
      </c>
      <c r="C671">
        <f t="shared" si="233"/>
        <v>11.228913056124632</v>
      </c>
      <c r="D671">
        <f t="shared" si="233"/>
        <v>10.89861192014085</v>
      </c>
      <c r="E671">
        <f t="shared" si="234"/>
        <v>10.875818703643851</v>
      </c>
      <c r="F671">
        <f t="shared" si="237"/>
        <v>11.149752924513129</v>
      </c>
      <c r="G671">
        <f t="shared" si="237"/>
        <v>10.69674766964804</v>
      </c>
      <c r="H671">
        <f t="shared" si="237"/>
        <v>10.245557426556857</v>
      </c>
      <c r="I671">
        <f t="shared" si="220"/>
        <v>-1.7776023597305599</v>
      </c>
      <c r="J671">
        <f t="shared" si="235"/>
        <v>10.908167961274541</v>
      </c>
      <c r="K671">
        <f t="shared" si="239"/>
        <v>10.933372241061411</v>
      </c>
      <c r="L671">
        <f t="shared" si="239"/>
        <v>10.382828582419338</v>
      </c>
      <c r="M671">
        <f t="shared" si="239"/>
        <v>10.12922926294652</v>
      </c>
      <c r="N671">
        <f t="shared" si="221"/>
        <v>-1.893930523340897</v>
      </c>
      <c r="O671">
        <f t="shared" si="236"/>
        <v>11.131166326277116</v>
      </c>
      <c r="P671">
        <f t="shared" si="240"/>
        <v>10.876060620446214</v>
      </c>
      <c r="Q671">
        <f t="shared" si="238"/>
        <v>11.034376085496909</v>
      </c>
      <c r="R671">
        <f t="shared" si="241"/>
        <v>10.502179736431305</v>
      </c>
      <c r="S671">
        <f t="shared" si="241"/>
        <v>10.171654190909674</v>
      </c>
      <c r="T671">
        <f t="shared" si="222"/>
        <v>-1.8515055953777431</v>
      </c>
      <c r="U671">
        <f t="shared" si="223"/>
        <v>1.8515055953777431</v>
      </c>
      <c r="V671">
        <f t="shared" si="230"/>
        <v>10.71620229084707</v>
      </c>
      <c r="W671">
        <f t="shared" si="224"/>
        <v>1.3069574954403471</v>
      </c>
      <c r="X671">
        <f t="shared" si="231"/>
        <v>10.782084207661017</v>
      </c>
      <c r="Y671">
        <f t="shared" si="225"/>
        <v>1.2410755786264005</v>
      </c>
      <c r="Z671">
        <f t="shared" si="232"/>
        <v>10.849775476245062</v>
      </c>
      <c r="AA671">
        <f t="shared" si="226"/>
        <v>1.1733843100423549</v>
      </c>
      <c r="AB671">
        <f t="shared" si="227"/>
        <v>2.7945197862874167</v>
      </c>
      <c r="AC671">
        <f t="shared" si="228"/>
        <v>10.911713770683098</v>
      </c>
      <c r="AD671">
        <f t="shared" si="229"/>
        <v>1.1114460156043187</v>
      </c>
    </row>
    <row r="672" spans="1:30">
      <c r="A672">
        <v>670</v>
      </c>
      <c r="B672">
        <v>10.389966389517584</v>
      </c>
      <c r="C672">
        <f t="shared" si="233"/>
        <v>11.115506974752238</v>
      </c>
      <c r="D672">
        <f t="shared" si="233"/>
        <v>11.219357014990941</v>
      </c>
      <c r="E672">
        <f t="shared" si="234"/>
        <v>11.493661966178893</v>
      </c>
      <c r="F672">
        <f t="shared" si="237"/>
        <v>11.044048003277759</v>
      </c>
      <c r="G672">
        <f t="shared" si="237"/>
        <v>10.962288638051769</v>
      </c>
      <c r="H672">
        <f t="shared" si="237"/>
        <v>10.427677173861104</v>
      </c>
      <c r="I672">
        <f t="shared" si="220"/>
        <v>3.7710784343520487E-2</v>
      </c>
      <c r="J672">
        <f t="shared" si="235"/>
        <v>11.162653974304742</v>
      </c>
      <c r="K672">
        <f t="shared" si="239"/>
        <v>11.043489937448928</v>
      </c>
      <c r="L672">
        <f t="shared" si="239"/>
        <v>10.564589888154979</v>
      </c>
      <c r="M672">
        <f t="shared" si="239"/>
        <v>10.2165711666494</v>
      </c>
      <c r="N672">
        <f t="shared" si="221"/>
        <v>-0.17339522286818365</v>
      </c>
      <c r="O672">
        <f t="shared" si="236"/>
        <v>11.00811645734731</v>
      </c>
      <c r="P672">
        <f t="shared" si="240"/>
        <v>10.968898373338652</v>
      </c>
      <c r="Q672">
        <f t="shared" si="238"/>
        <v>11.304190689203972</v>
      </c>
      <c r="R672">
        <f t="shared" si="241"/>
        <v>10.646732724699147</v>
      </c>
      <c r="S672">
        <f t="shared" si="241"/>
        <v>10.234505061937659</v>
      </c>
      <c r="T672">
        <f t="shared" si="222"/>
        <v>-0.15546132757992481</v>
      </c>
      <c r="U672">
        <f t="shared" si="223"/>
        <v>0.15546132757992481</v>
      </c>
      <c r="V672">
        <f t="shared" si="230"/>
        <v>10.846898040391105</v>
      </c>
      <c r="W672">
        <f t="shared" si="224"/>
        <v>-0.45693165087352128</v>
      </c>
      <c r="X672">
        <f t="shared" si="231"/>
        <v>11.030299323386297</v>
      </c>
      <c r="Y672">
        <f t="shared" si="225"/>
        <v>-0.64033293386871293</v>
      </c>
      <c r="Z672">
        <f t="shared" si="232"/>
        <v>11.201790769257769</v>
      </c>
      <c r="AA672">
        <f t="shared" si="226"/>
        <v>-0.81182437974018562</v>
      </c>
      <c r="AB672">
        <f t="shared" si="227"/>
        <v>1.1557663895175825</v>
      </c>
      <c r="AC672">
        <f t="shared" si="228"/>
        <v>10.907816135880697</v>
      </c>
      <c r="AD672">
        <f t="shared" si="229"/>
        <v>-0.51784974636311354</v>
      </c>
    </row>
    <row r="673" spans="1:30">
      <c r="A673">
        <v>671</v>
      </c>
      <c r="B673">
        <v>13.356315581516716</v>
      </c>
      <c r="C673">
        <f t="shared" si="233"/>
        <v>11.2065630879025</v>
      </c>
      <c r="D673">
        <f t="shared" si="233"/>
        <v>11.172210015438434</v>
      </c>
      <c r="E673">
        <f t="shared" si="234"/>
        <v>10.873660113007354</v>
      </c>
      <c r="F673">
        <f t="shared" si="237"/>
        <v>11.170362187927703</v>
      </c>
      <c r="G673">
        <f t="shared" si="237"/>
        <v>11.088242882308206</v>
      </c>
      <c r="H673">
        <f t="shared" si="237"/>
        <v>10.676041239889509</v>
      </c>
      <c r="I673">
        <f t="shared" si="220"/>
        <v>-2.6802743416272072</v>
      </c>
      <c r="J673">
        <f t="shared" si="235"/>
        <v>11.217738072013566</v>
      </c>
      <c r="K673">
        <f t="shared" si="239"/>
        <v>11.101615520548044</v>
      </c>
      <c r="L673">
        <f t="shared" si="239"/>
        <v>10.771292433572292</v>
      </c>
      <c r="M673">
        <f t="shared" si="239"/>
        <v>10.331792770300869</v>
      </c>
      <c r="N673">
        <f t="shared" si="221"/>
        <v>-3.0245228112158475</v>
      </c>
      <c r="O673">
        <f t="shared" si="236"/>
        <v>11.645453573914196</v>
      </c>
      <c r="P673">
        <f t="shared" si="240"/>
        <v>11.055481487325533</v>
      </c>
      <c r="Q673">
        <f t="shared" si="238"/>
        <v>11.007633003483861</v>
      </c>
      <c r="R673">
        <f t="shared" si="241"/>
        <v>10.850041143072735</v>
      </c>
      <c r="S673">
        <f t="shared" si="241"/>
        <v>10.32453240523725</v>
      </c>
      <c r="T673">
        <f t="shared" si="222"/>
        <v>-3.0317831762794665</v>
      </c>
      <c r="U673">
        <f t="shared" si="223"/>
        <v>3.0317831762794665</v>
      </c>
      <c r="V673">
        <f t="shared" si="230"/>
        <v>10.801204875303753</v>
      </c>
      <c r="W673">
        <f t="shared" si="224"/>
        <v>2.5551107062129628</v>
      </c>
      <c r="X673">
        <f t="shared" si="231"/>
        <v>10.902232736612554</v>
      </c>
      <c r="Y673">
        <f t="shared" si="225"/>
        <v>2.4540828449041623</v>
      </c>
      <c r="Z673">
        <f t="shared" si="232"/>
        <v>10.958243455335714</v>
      </c>
      <c r="AA673">
        <f t="shared" si="226"/>
        <v>2.3980721261810025</v>
      </c>
      <c r="AB673">
        <f t="shared" si="227"/>
        <v>4.1165555815167156</v>
      </c>
      <c r="AC673">
        <f t="shared" si="228"/>
        <v>10.903058433172028</v>
      </c>
      <c r="AD673">
        <f t="shared" si="229"/>
        <v>2.4532571483446883</v>
      </c>
    </row>
    <row r="674" spans="1:30">
      <c r="A674">
        <v>672</v>
      </c>
      <c r="B674">
        <v>13.069086603686308</v>
      </c>
      <c r="C674">
        <f t="shared" si="233"/>
        <v>11.87314098551715</v>
      </c>
      <c r="D674">
        <f t="shared" si="233"/>
        <v>11.161035031327369</v>
      </c>
      <c r="E674">
        <f t="shared" si="234"/>
        <v>11.923147252440572</v>
      </c>
      <c r="F674">
        <f t="shared" si="237"/>
        <v>11.081046927610032</v>
      </c>
      <c r="G674">
        <f t="shared" si="237"/>
        <v>11.121387705239529</v>
      </c>
      <c r="H674">
        <f t="shared" si="237"/>
        <v>10.915759730002671</v>
      </c>
      <c r="I674">
        <f t="shared" si="220"/>
        <v>-2.1533268736836373</v>
      </c>
      <c r="J674">
        <f t="shared" si="235"/>
        <v>11.494323980134695</v>
      </c>
      <c r="K674">
        <f t="shared" si="239"/>
        <v>11.171773138505673</v>
      </c>
      <c r="L674">
        <f t="shared" si="239"/>
        <v>10.933766315022401</v>
      </c>
      <c r="M674">
        <f t="shared" si="239"/>
        <v>10.490444653354956</v>
      </c>
      <c r="N674">
        <f t="shared" si="221"/>
        <v>-2.5786419503313525</v>
      </c>
      <c r="O674">
        <f t="shared" si="236"/>
        <v>11.809276504845018</v>
      </c>
      <c r="P674">
        <f t="shared" si="240"/>
        <v>11.228962739455756</v>
      </c>
      <c r="Q674">
        <f t="shared" si="238"/>
        <v>11.39948297804221</v>
      </c>
      <c r="R674">
        <f t="shared" si="241"/>
        <v>10.933420698984557</v>
      </c>
      <c r="S674">
        <f t="shared" si="241"/>
        <v>10.457042921845465</v>
      </c>
      <c r="T674">
        <f t="shared" si="222"/>
        <v>-2.6120436818408432</v>
      </c>
      <c r="U674">
        <f t="shared" si="223"/>
        <v>2.6120436818408432</v>
      </c>
      <c r="V674">
        <f t="shared" si="230"/>
        <v>11.056715945925049</v>
      </c>
      <c r="W674">
        <f t="shared" si="224"/>
        <v>2.0123706577612595</v>
      </c>
      <c r="X674">
        <f t="shared" si="231"/>
        <v>11.393049305593387</v>
      </c>
      <c r="Y674">
        <f t="shared" si="225"/>
        <v>1.6760372980929219</v>
      </c>
      <c r="Z674">
        <f t="shared" si="232"/>
        <v>11.677665093190015</v>
      </c>
      <c r="AA674">
        <f t="shared" si="226"/>
        <v>1.3914215104962935</v>
      </c>
      <c r="AB674">
        <f t="shared" si="227"/>
        <v>3.8237666036863089</v>
      </c>
      <c r="AC674">
        <f t="shared" si="228"/>
        <v>10.897442192439097</v>
      </c>
      <c r="AD674">
        <f t="shared" si="229"/>
        <v>2.1716444112472111</v>
      </c>
    </row>
    <row r="675" spans="1:30">
      <c r="A675">
        <v>673</v>
      </c>
      <c r="B675">
        <v>9.6913905049571838</v>
      </c>
      <c r="C675">
        <f t="shared" si="233"/>
        <v>13.212701092601513</v>
      </c>
      <c r="D675">
        <f t="shared" si="233"/>
        <v>11.539852036709824</v>
      </c>
      <c r="E675">
        <f t="shared" si="234"/>
        <v>12.27178952490687</v>
      </c>
      <c r="F675">
        <f t="shared" si="237"/>
        <v>11.430156443875605</v>
      </c>
      <c r="G675">
        <f t="shared" si="237"/>
        <v>11.098485706271831</v>
      </c>
      <c r="H675">
        <f t="shared" si="237"/>
        <v>11.057306408533167</v>
      </c>
      <c r="I675">
        <f t="shared" si="220"/>
        <v>1.3659159035759831</v>
      </c>
      <c r="J675">
        <f t="shared" si="235"/>
        <v>12.209632090252006</v>
      </c>
      <c r="K675">
        <f t="shared" si="239"/>
        <v>11.195720996931886</v>
      </c>
      <c r="L675">
        <f t="shared" si="239"/>
        <v>11.062562709391013</v>
      </c>
      <c r="M675">
        <f t="shared" si="239"/>
        <v>10.663119304792252</v>
      </c>
      <c r="N675">
        <f t="shared" si="221"/>
        <v>0.9717287998350681</v>
      </c>
      <c r="O675">
        <f t="shared" si="236"/>
        <v>11.705983773193042</v>
      </c>
      <c r="P675">
        <f t="shared" si="240"/>
        <v>11.350881946434185</v>
      </c>
      <c r="Q675">
        <f t="shared" si="238"/>
        <v>11.88272574554288</v>
      </c>
      <c r="R675">
        <f t="shared" si="241"/>
        <v>11.046109430234893</v>
      </c>
      <c r="S675">
        <f t="shared" si="241"/>
        <v>10.587905853717752</v>
      </c>
      <c r="T675">
        <f t="shared" si="222"/>
        <v>0.89651534876056793</v>
      </c>
      <c r="U675">
        <f t="shared" si="223"/>
        <v>-0.89651534876056793</v>
      </c>
      <c r="V675">
        <f t="shared" si="230"/>
        <v>11.257953011701176</v>
      </c>
      <c r="W675">
        <f t="shared" si="224"/>
        <v>-1.5665625067439919</v>
      </c>
      <c r="X675">
        <f t="shared" si="231"/>
        <v>11.72825676521197</v>
      </c>
      <c r="Y675">
        <f t="shared" si="225"/>
        <v>-2.0368662602547865</v>
      </c>
      <c r="Z675">
        <f t="shared" si="232"/>
        <v>12.095091546338903</v>
      </c>
      <c r="AA675">
        <f t="shared" si="226"/>
        <v>-2.4037010413817193</v>
      </c>
      <c r="AB675">
        <f t="shared" si="227"/>
        <v>0.44051050495718336</v>
      </c>
      <c r="AC675">
        <f t="shared" si="228"/>
        <v>10.890969182041175</v>
      </c>
      <c r="AD675">
        <f t="shared" si="229"/>
        <v>-1.1995786770839914</v>
      </c>
    </row>
    <row r="676" spans="1:30">
      <c r="A676">
        <v>674</v>
      </c>
      <c r="B676">
        <v>13.23857860603926</v>
      </c>
      <c r="C676">
        <f t="shared" si="233"/>
        <v>11.380238554321746</v>
      </c>
      <c r="D676">
        <f t="shared" si="233"/>
        <v>12.542921039059332</v>
      </c>
      <c r="E676">
        <f t="shared" si="234"/>
        <v>12.038930896720069</v>
      </c>
      <c r="F676">
        <f t="shared" si="237"/>
        <v>11.689532296784932</v>
      </c>
      <c r="G676">
        <f t="shared" si="237"/>
        <v>11.227188519804445</v>
      </c>
      <c r="H676">
        <f t="shared" si="237"/>
        <v>11.102705431273188</v>
      </c>
      <c r="I676">
        <f t="shared" si="220"/>
        <v>-2.135873174766072</v>
      </c>
      <c r="J676">
        <f t="shared" si="235"/>
        <v>11.626689769919448</v>
      </c>
      <c r="K676">
        <f t="shared" si="239"/>
        <v>11.521087029176252</v>
      </c>
      <c r="L676">
        <f t="shared" si="239"/>
        <v>11.128149898358632</v>
      </c>
      <c r="M676">
        <f t="shared" si="239"/>
        <v>10.83305283653517</v>
      </c>
      <c r="N676">
        <f t="shared" si="221"/>
        <v>-2.4055257695040897</v>
      </c>
      <c r="O676">
        <f t="shared" si="236"/>
        <v>11.94906753714341</v>
      </c>
      <c r="P676">
        <f t="shared" si="240"/>
        <v>11.459999327115336</v>
      </c>
      <c r="Q676">
        <f t="shared" si="238"/>
        <v>11.456295504863713</v>
      </c>
      <c r="R676">
        <f t="shared" si="241"/>
        <v>11.275296097943517</v>
      </c>
      <c r="S676">
        <f t="shared" si="241"/>
        <v>10.71855658095132</v>
      </c>
      <c r="T676">
        <f t="shared" si="222"/>
        <v>-2.5200220250879397</v>
      </c>
      <c r="U676">
        <f t="shared" si="223"/>
        <v>2.5200220250879397</v>
      </c>
      <c r="V676">
        <f t="shared" si="230"/>
        <v>11.101296761026777</v>
      </c>
      <c r="W676">
        <f t="shared" si="224"/>
        <v>2.1372818450124829</v>
      </c>
      <c r="X676">
        <f t="shared" si="231"/>
        <v>11.320883513161013</v>
      </c>
      <c r="Y676">
        <f t="shared" si="225"/>
        <v>1.9176950928782475</v>
      </c>
      <c r="Z676">
        <f t="shared" si="232"/>
        <v>11.373981233924388</v>
      </c>
      <c r="AA676">
        <f t="shared" si="226"/>
        <v>1.8645973721148721</v>
      </c>
      <c r="AB676">
        <f t="shared" si="227"/>
        <v>3.9821386060392587</v>
      </c>
      <c r="AC676">
        <f t="shared" si="228"/>
        <v>10.883641408323593</v>
      </c>
      <c r="AD676">
        <f t="shared" si="229"/>
        <v>2.3549371977156675</v>
      </c>
    </row>
    <row r="677" spans="1:30">
      <c r="A677">
        <v>675</v>
      </c>
      <c r="B677">
        <v>13.108379020480683</v>
      </c>
      <c r="C677">
        <f t="shared" si="233"/>
        <v>11.464984555498223</v>
      </c>
      <c r="D677">
        <f t="shared" si="233"/>
        <v>12.29646982346163</v>
      </c>
      <c r="E677">
        <f t="shared" si="234"/>
        <v>11.999685238227585</v>
      </c>
      <c r="F677">
        <f t="shared" si="237"/>
        <v>12.077955891355836</v>
      </c>
      <c r="G677">
        <f t="shared" si="237"/>
        <v>11.400245222756856</v>
      </c>
      <c r="H677">
        <f t="shared" si="237"/>
        <v>11.149020643771934</v>
      </c>
      <c r="I677">
        <f t="shared" si="220"/>
        <v>-1.9593583767087495</v>
      </c>
      <c r="J677">
        <f t="shared" si="235"/>
        <v>12.338842824049868</v>
      </c>
      <c r="K677">
        <f t="shared" si="239"/>
        <v>11.63709597807993</v>
      </c>
      <c r="L677">
        <f t="shared" si="239"/>
        <v>11.247549171290464</v>
      </c>
      <c r="M677">
        <f t="shared" si="239"/>
        <v>10.973942839086085</v>
      </c>
      <c r="N677">
        <f t="shared" si="221"/>
        <v>-2.134436181394598</v>
      </c>
      <c r="O677">
        <f t="shared" si="236"/>
        <v>12.492750063336031</v>
      </c>
      <c r="P677">
        <f t="shared" si="240"/>
        <v>11.623579569288594</v>
      </c>
      <c r="Q677">
        <f t="shared" si="238"/>
        <v>11.961416245334078</v>
      </c>
      <c r="R677">
        <f t="shared" si="241"/>
        <v>11.347450667772257</v>
      </c>
      <c r="S677">
        <f t="shared" si="241"/>
        <v>10.875629971894361</v>
      </c>
      <c r="T677">
        <f t="shared" si="222"/>
        <v>-2.2327490485863226</v>
      </c>
      <c r="U677">
        <f t="shared" si="223"/>
        <v>2.2327490485863226</v>
      </c>
      <c r="V677">
        <f t="shared" si="230"/>
        <v>11.315024945528025</v>
      </c>
      <c r="W677">
        <f t="shared" si="224"/>
        <v>1.7933540749526582</v>
      </c>
      <c r="X677">
        <f t="shared" si="231"/>
        <v>11.704422531736663</v>
      </c>
      <c r="Y677">
        <f t="shared" si="225"/>
        <v>1.4039564887440203</v>
      </c>
      <c r="Z677">
        <f t="shared" si="232"/>
        <v>11.933360445558849</v>
      </c>
      <c r="AA677">
        <f t="shared" si="226"/>
        <v>1.1750185749218343</v>
      </c>
      <c r="AB677">
        <f t="shared" si="227"/>
        <v>3.8463790204806827</v>
      </c>
      <c r="AC677">
        <f t="shared" si="228"/>
        <v>10.875461115060441</v>
      </c>
      <c r="AD677">
        <f t="shared" si="229"/>
        <v>2.2329179054202424</v>
      </c>
    </row>
    <row r="678" spans="1:30">
      <c r="A678">
        <v>676</v>
      </c>
      <c r="B678">
        <v>10.235972959437559</v>
      </c>
      <c r="C678">
        <f t="shared" si="233"/>
        <v>13.173478813259972</v>
      </c>
      <c r="D678">
        <f t="shared" si="233"/>
        <v>11.422611554909984</v>
      </c>
      <c r="E678">
        <f t="shared" si="234"/>
        <v>12.012782710492376</v>
      </c>
      <c r="F678">
        <f t="shared" si="237"/>
        <v>12.103468553284841</v>
      </c>
      <c r="G678">
        <f t="shared" si="237"/>
        <v>11.732548210672123</v>
      </c>
      <c r="H678">
        <f t="shared" si="237"/>
        <v>11.241973149611043</v>
      </c>
      <c r="I678">
        <f t="shared" si="220"/>
        <v>1.0060001901734843</v>
      </c>
      <c r="J678">
        <f t="shared" si="235"/>
        <v>12.276858683790859</v>
      </c>
      <c r="K678">
        <f t="shared" si="239"/>
        <v>11.917372166089004</v>
      </c>
      <c r="L678">
        <f t="shared" si="239"/>
        <v>11.381419285673434</v>
      </c>
      <c r="M678">
        <f t="shared" si="239"/>
        <v>11.093007023515627</v>
      </c>
      <c r="N678">
        <f t="shared" si="221"/>
        <v>0.85703406407806781</v>
      </c>
      <c r="O678">
        <f t="shared" si="236"/>
        <v>11.8686815389202</v>
      </c>
      <c r="P678">
        <f t="shared" si="240"/>
        <v>11.920506290486339</v>
      </c>
      <c r="Q678">
        <f t="shared" si="238"/>
        <v>12.142286117699621</v>
      </c>
      <c r="R678">
        <f t="shared" si="241"/>
        <v>11.501957361078452</v>
      </c>
      <c r="S678">
        <f t="shared" si="241"/>
        <v>11.016508460451185</v>
      </c>
      <c r="T678">
        <f t="shared" si="222"/>
        <v>0.78053550101362568</v>
      </c>
      <c r="U678">
        <f t="shared" si="223"/>
        <v>-0.78053550101362568</v>
      </c>
      <c r="V678">
        <f t="shared" si="230"/>
        <v>11.494360353023291</v>
      </c>
      <c r="W678">
        <f t="shared" si="224"/>
        <v>-1.2583873935857319</v>
      </c>
      <c r="X678">
        <f t="shared" si="231"/>
        <v>11.985213829485467</v>
      </c>
      <c r="Y678">
        <f t="shared" si="225"/>
        <v>-1.7492408700479078</v>
      </c>
      <c r="Z678">
        <f t="shared" si="232"/>
        <v>12.285866018035399</v>
      </c>
      <c r="AA678">
        <f t="shared" si="226"/>
        <v>-2.0498930585978403</v>
      </c>
      <c r="AB678">
        <f t="shared" si="227"/>
        <v>0.96841295943755945</v>
      </c>
      <c r="AC678">
        <f t="shared" si="228"/>
        <v>10.866430782831321</v>
      </c>
      <c r="AD678">
        <f t="shared" si="229"/>
        <v>-0.63045782339376188</v>
      </c>
    </row>
    <row r="679" spans="1:30">
      <c r="A679">
        <v>677</v>
      </c>
      <c r="B679">
        <v>10.126850942186582</v>
      </c>
      <c r="C679">
        <f t="shared" si="233"/>
        <v>11.672175989959122</v>
      </c>
      <c r="D679">
        <f t="shared" si="233"/>
        <v>12.319231684379098</v>
      </c>
      <c r="E679">
        <f t="shared" si="234"/>
        <v>12.194310195319169</v>
      </c>
      <c r="F679">
        <f t="shared" si="237"/>
        <v>12.017132948480009</v>
      </c>
      <c r="G679">
        <f t="shared" si="237"/>
        <v>11.956985580475203</v>
      </c>
      <c r="H679">
        <f t="shared" si="237"/>
        <v>11.453327317744474</v>
      </c>
      <c r="I679">
        <f t="shared" si="220"/>
        <v>1.3264763755578919</v>
      </c>
      <c r="J679">
        <f t="shared" si="235"/>
        <v>11.568580272728672</v>
      </c>
      <c r="K679">
        <f t="shared" si="239"/>
        <v>12.113005842003044</v>
      </c>
      <c r="L679">
        <f t="shared" si="239"/>
        <v>11.567819042569267</v>
      </c>
      <c r="M679">
        <f t="shared" si="239"/>
        <v>11.204920266178387</v>
      </c>
      <c r="N679">
        <f t="shared" si="221"/>
        <v>1.0780693239918051</v>
      </c>
      <c r="O679">
        <f t="shared" si="236"/>
        <v>11.280234406620256</v>
      </c>
      <c r="P679">
        <f t="shared" si="240"/>
        <v>11.96515188348754</v>
      </c>
      <c r="Q679">
        <f t="shared" si="238"/>
        <v>12.116620546019618</v>
      </c>
      <c r="R679">
        <f t="shared" si="241"/>
        <v>11.641639932494392</v>
      </c>
      <c r="S679">
        <f t="shared" si="241"/>
        <v>11.159045899847735</v>
      </c>
      <c r="T679">
        <f t="shared" si="222"/>
        <v>1.0321949576611527</v>
      </c>
      <c r="U679">
        <f t="shared" si="223"/>
        <v>-1.0321949576611527</v>
      </c>
      <c r="V679">
        <f t="shared" si="230"/>
        <v>11.368521613664718</v>
      </c>
      <c r="W679">
        <f t="shared" si="224"/>
        <v>-1.2416706714781363</v>
      </c>
      <c r="X679">
        <f t="shared" si="231"/>
        <v>11.635365655475885</v>
      </c>
      <c r="Y679">
        <f t="shared" si="225"/>
        <v>-1.5085147132893031</v>
      </c>
      <c r="Z679">
        <f t="shared" si="232"/>
        <v>11.670898100456046</v>
      </c>
      <c r="AA679">
        <f t="shared" si="226"/>
        <v>-1.5440471582694641</v>
      </c>
      <c r="AB679">
        <f t="shared" si="227"/>
        <v>0.85373094218658174</v>
      </c>
      <c r="AC679">
        <f t="shared" si="228"/>
        <v>10.856553128332294</v>
      </c>
      <c r="AD679">
        <f t="shared" si="229"/>
        <v>-0.72970218614571181</v>
      </c>
    </row>
    <row r="680" spans="1:30">
      <c r="A680">
        <v>678</v>
      </c>
      <c r="B680">
        <v>12.199967636049543</v>
      </c>
      <c r="C680">
        <f t="shared" si="233"/>
        <v>10.18141195081207</v>
      </c>
      <c r="D680">
        <f t="shared" si="233"/>
        <v>12.422827401609547</v>
      </c>
      <c r="E680">
        <f t="shared" si="234"/>
        <v>11.157067640701607</v>
      </c>
      <c r="F680">
        <f t="shared" si="237"/>
        <v>12.068926048013042</v>
      </c>
      <c r="G680">
        <f t="shared" si="237"/>
        <v>12.066185797706895</v>
      </c>
      <c r="H680">
        <f t="shared" si="237"/>
        <v>11.696593004634728</v>
      </c>
      <c r="I680">
        <f t="shared" si="220"/>
        <v>-0.50337463141481464</v>
      </c>
      <c r="J680">
        <f t="shared" si="235"/>
        <v>11.677445382036023</v>
      </c>
      <c r="K680">
        <f t="shared" si="239"/>
        <v>11.952742887622213</v>
      </c>
      <c r="L680">
        <f t="shared" si="239"/>
        <v>11.797140253837057</v>
      </c>
      <c r="M680">
        <f t="shared" si="239"/>
        <v>11.33123434947295</v>
      </c>
      <c r="N680">
        <f t="shared" si="221"/>
        <v>-0.86873328657659243</v>
      </c>
      <c r="O680">
        <f t="shared" si="236"/>
        <v>11.781949832838727</v>
      </c>
      <c r="P680">
        <f t="shared" si="240"/>
        <v>11.859343463842588</v>
      </c>
      <c r="Q680">
        <f t="shared" si="238"/>
        <v>11.578376439464597</v>
      </c>
      <c r="R680">
        <f t="shared" si="241"/>
        <v>11.826471189583685</v>
      </c>
      <c r="S680">
        <f t="shared" si="241"/>
        <v>11.290979031418011</v>
      </c>
      <c r="T680">
        <f t="shared" si="222"/>
        <v>-0.90898860463153142</v>
      </c>
      <c r="U680">
        <f t="shared" si="223"/>
        <v>0.90898860463153142</v>
      </c>
      <c r="V680">
        <f t="shared" si="230"/>
        <v>11.244354546516904</v>
      </c>
      <c r="W680">
        <f t="shared" si="224"/>
        <v>0.95561308953263868</v>
      </c>
      <c r="X680">
        <f t="shared" si="231"/>
        <v>11.333662712818025</v>
      </c>
      <c r="Y680">
        <f t="shared" si="225"/>
        <v>0.86630492323151742</v>
      </c>
      <c r="Z680">
        <f t="shared" si="232"/>
        <v>11.207683952975207</v>
      </c>
      <c r="AA680">
        <f t="shared" si="226"/>
        <v>0.99228368307433534</v>
      </c>
      <c r="AB680">
        <f t="shared" si="227"/>
        <v>2.9212876360495432</v>
      </c>
      <c r="AC680">
        <f t="shared" si="228"/>
        <v>10.845831103621274</v>
      </c>
      <c r="AD680">
        <f t="shared" si="229"/>
        <v>1.354136532428269</v>
      </c>
    </row>
    <row r="681" spans="1:30">
      <c r="A681">
        <v>679</v>
      </c>
      <c r="B681">
        <v>11.19576955277153</v>
      </c>
      <c r="C681">
        <f t="shared" si="233"/>
        <v>11.163409289118063</v>
      </c>
      <c r="D681">
        <f t="shared" si="233"/>
        <v>10.926793970385596</v>
      </c>
      <c r="E681">
        <f t="shared" si="234"/>
        <v>10.854263845891227</v>
      </c>
      <c r="F681">
        <f t="shared" si="237"/>
        <v>11.788053515504382</v>
      </c>
      <c r="G681">
        <f t="shared" si="237"/>
        <v>12.063175849925964</v>
      </c>
      <c r="H681">
        <f t="shared" si="237"/>
        <v>11.91857319628474</v>
      </c>
      <c r="I681">
        <f t="shared" si="220"/>
        <v>0.72280364351320969</v>
      </c>
      <c r="J681">
        <f t="shared" si="235"/>
        <v>11.417792639538591</v>
      </c>
      <c r="K681">
        <f t="shared" si="239"/>
        <v>11.965431790651355</v>
      </c>
      <c r="L681">
        <f t="shared" si="239"/>
        <v>11.90505421844855</v>
      </c>
      <c r="M681">
        <f t="shared" si="239"/>
        <v>11.498481938342556</v>
      </c>
      <c r="N681">
        <f t="shared" si="221"/>
        <v>0.30271238557102542</v>
      </c>
      <c r="O681">
        <f t="shared" si="236"/>
        <v>11.373388022185178</v>
      </c>
      <c r="P681">
        <f t="shared" si="240"/>
        <v>11.874536675771724</v>
      </c>
      <c r="Q681">
        <f t="shared" si="238"/>
        <v>11.433523278191805</v>
      </c>
      <c r="R681">
        <f t="shared" si="241"/>
        <v>11.856286766487417</v>
      </c>
      <c r="S681">
        <f t="shared" si="241"/>
        <v>11.439820779851198</v>
      </c>
      <c r="T681">
        <f t="shared" si="222"/>
        <v>0.24405122707966775</v>
      </c>
      <c r="U681">
        <f t="shared" si="223"/>
        <v>-0.24405122707966775</v>
      </c>
      <c r="V681">
        <f t="shared" si="230"/>
        <v>11.339915855470167</v>
      </c>
      <c r="W681">
        <f t="shared" si="224"/>
        <v>-0.14414630269863693</v>
      </c>
      <c r="X681">
        <f t="shared" si="231"/>
        <v>11.506923697464329</v>
      </c>
      <c r="Y681">
        <f t="shared" si="225"/>
        <v>-0.31115414469279834</v>
      </c>
      <c r="Z681">
        <f t="shared" si="232"/>
        <v>11.505369057897507</v>
      </c>
      <c r="AA681">
        <f t="shared" si="226"/>
        <v>-0.309599505125977</v>
      </c>
      <c r="AB681">
        <f t="shared" si="227"/>
        <v>1.9115295527715297</v>
      </c>
      <c r="AC681">
        <f t="shared" si="228"/>
        <v>10.83426789529803</v>
      </c>
      <c r="AD681">
        <f t="shared" si="229"/>
        <v>0.36150165747350016</v>
      </c>
    </row>
    <row r="682" spans="1:30">
      <c r="A682">
        <v>680</v>
      </c>
      <c r="B682">
        <v>8.92860603158414</v>
      </c>
      <c r="C682">
        <f t="shared" si="233"/>
        <v>11.697868594410537</v>
      </c>
      <c r="D682">
        <f t="shared" si="233"/>
        <v>10.672410619965067</v>
      </c>
      <c r="E682">
        <f t="shared" si="234"/>
        <v>11.174196043669218</v>
      </c>
      <c r="F682">
        <f t="shared" si="237"/>
        <v>11.401880560637332</v>
      </c>
      <c r="G682">
        <f t="shared" si="237"/>
        <v>11.958037503999144</v>
      </c>
      <c r="H682">
        <f t="shared" si="237"/>
        <v>12.028782409369354</v>
      </c>
      <c r="I682">
        <f t="shared" si="220"/>
        <v>3.100176377785214</v>
      </c>
      <c r="J682">
        <f t="shared" si="235"/>
        <v>10.939640272611303</v>
      </c>
      <c r="K682">
        <f t="shared" si="239"/>
        <v>11.735169244523536</v>
      </c>
      <c r="L682">
        <f t="shared" si="239"/>
        <v>11.987138171591404</v>
      </c>
      <c r="M682">
        <f t="shared" si="239"/>
        <v>11.662858200132076</v>
      </c>
      <c r="N682">
        <f t="shared" si="221"/>
        <v>2.7342521685479362</v>
      </c>
      <c r="O682">
        <f t="shared" si="236"/>
        <v>10.53743342440587</v>
      </c>
      <c r="P682">
        <f t="shared" si="240"/>
        <v>11.759400772780078</v>
      </c>
      <c r="Q682">
        <f t="shared" si="238"/>
        <v>11.684253119494194</v>
      </c>
      <c r="R682">
        <f t="shared" si="241"/>
        <v>11.781419688595571</v>
      </c>
      <c r="S682">
        <f t="shared" si="241"/>
        <v>11.574850335893288</v>
      </c>
      <c r="T682">
        <f t="shared" si="222"/>
        <v>2.6462443043091479</v>
      </c>
      <c r="U682">
        <f t="shared" si="223"/>
        <v>-2.6462443043091479</v>
      </c>
      <c r="V682">
        <f t="shared" si="230"/>
        <v>11.325501225200304</v>
      </c>
      <c r="W682">
        <f t="shared" si="224"/>
        <v>-2.3968951936161638</v>
      </c>
      <c r="X682">
        <f t="shared" si="231"/>
        <v>11.444692868525769</v>
      </c>
      <c r="Y682">
        <f t="shared" si="225"/>
        <v>-2.5160868369416285</v>
      </c>
      <c r="Z682">
        <f t="shared" si="232"/>
        <v>11.412489206359714</v>
      </c>
      <c r="AA682">
        <f t="shared" si="226"/>
        <v>-2.4838831747755741</v>
      </c>
      <c r="AB682">
        <f t="shared" si="227"/>
        <v>-0.3611939684158596</v>
      </c>
      <c r="AC682">
        <f t="shared" si="228"/>
        <v>10.82186692361903</v>
      </c>
      <c r="AD682">
        <f t="shared" si="229"/>
        <v>-1.8932608920348901</v>
      </c>
    </row>
    <row r="683" spans="1:30">
      <c r="A683">
        <v>681</v>
      </c>
      <c r="B683">
        <v>12.716852705194103</v>
      </c>
      <c r="C683">
        <f t="shared" si="233"/>
        <v>10.062187792177834</v>
      </c>
      <c r="D683">
        <f t="shared" si="233"/>
        <v>11.4306389417643</v>
      </c>
      <c r="E683">
        <f t="shared" si="234"/>
        <v>10.774781073468404</v>
      </c>
      <c r="F683">
        <f t="shared" si="237"/>
        <v>11.061842510087351</v>
      </c>
      <c r="G683">
        <f t="shared" si="237"/>
        <v>11.752953374718253</v>
      </c>
      <c r="H683">
        <f t="shared" si="237"/>
        <v>12.029133050543999</v>
      </c>
      <c r="I683">
        <f t="shared" si="220"/>
        <v>-0.68771965465010432</v>
      </c>
      <c r="J683">
        <f t="shared" si="235"/>
        <v>10.612798540647947</v>
      </c>
      <c r="K683">
        <f t="shared" si="239"/>
        <v>11.400864641728646</v>
      </c>
      <c r="L683">
        <f t="shared" si="239"/>
        <v>11.941587441200035</v>
      </c>
      <c r="M683">
        <f t="shared" si="239"/>
        <v>11.814287921611569</v>
      </c>
      <c r="N683">
        <f t="shared" si="221"/>
        <v>-0.90256478358253389</v>
      </c>
      <c r="O683">
        <f t="shared" si="236"/>
        <v>11.033609373557178</v>
      </c>
      <c r="P683">
        <f t="shared" si="240"/>
        <v>11.368337444994047</v>
      </c>
      <c r="Q683">
        <f t="shared" si="238"/>
        <v>10.965924357085006</v>
      </c>
      <c r="R683">
        <f t="shared" si="241"/>
        <v>11.819412624367319</v>
      </c>
      <c r="S683">
        <f t="shared" si="241"/>
        <v>11.659204267668629</v>
      </c>
      <c r="T683">
        <f t="shared" si="222"/>
        <v>-1.057648437525474</v>
      </c>
      <c r="U683">
        <f t="shared" si="223"/>
        <v>1.057648437525474</v>
      </c>
      <c r="V683">
        <f t="shared" si="230"/>
        <v>11.085811705838687</v>
      </c>
      <c r="W683">
        <f t="shared" si="224"/>
        <v>1.6310409993554167</v>
      </c>
      <c r="X683">
        <f t="shared" si="231"/>
        <v>10.941475501137443</v>
      </c>
      <c r="Y683">
        <f t="shared" si="225"/>
        <v>1.7753772040566602</v>
      </c>
      <c r="Z683">
        <f t="shared" si="232"/>
        <v>10.667324253927042</v>
      </c>
      <c r="AA683">
        <f t="shared" si="226"/>
        <v>2.0495284512670615</v>
      </c>
      <c r="AB683">
        <f t="shared" si="227"/>
        <v>3.4214927051941029</v>
      </c>
      <c r="AC683">
        <f t="shared" si="228"/>
        <v>10.808631841547404</v>
      </c>
      <c r="AD683">
        <f t="shared" si="229"/>
        <v>1.9082208636466991</v>
      </c>
    </row>
    <row r="684" spans="1:30">
      <c r="A684">
        <v>682</v>
      </c>
      <c r="B684">
        <v>12.531664400079254</v>
      </c>
      <c r="C684">
        <f t="shared" si="233"/>
        <v>10.822729368389123</v>
      </c>
      <c r="D684">
        <f t="shared" si="233"/>
        <v>10.880028193294185</v>
      </c>
      <c r="E684">
        <f t="shared" si="234"/>
        <v>10.947076096516591</v>
      </c>
      <c r="F684">
        <f t="shared" si="237"/>
        <v>10.934413654342949</v>
      </c>
      <c r="G684">
        <f t="shared" si="237"/>
        <v>11.417258862076354</v>
      </c>
      <c r="H684">
        <f t="shared" si="237"/>
        <v>11.924722242881119</v>
      </c>
      <c r="I684">
        <f t="shared" si="220"/>
        <v>-0.60694215719813549</v>
      </c>
      <c r="J684">
        <f t="shared" si="235"/>
        <v>11.260298981399828</v>
      </c>
      <c r="K684">
        <f t="shared" si="239"/>
        <v>11.161919208708465</v>
      </c>
      <c r="L684">
        <f t="shared" si="239"/>
        <v>11.763552141131438</v>
      </c>
      <c r="M684">
        <f t="shared" si="239"/>
        <v>11.907730021269261</v>
      </c>
      <c r="N684">
        <f t="shared" si="221"/>
        <v>-0.62393437880999336</v>
      </c>
      <c r="O684">
        <f t="shared" si="236"/>
        <v>11.514572065135713</v>
      </c>
      <c r="P684">
        <f t="shared" si="240"/>
        <v>11.201323011921442</v>
      </c>
      <c r="Q684">
        <f t="shared" si="238"/>
        <v>10.900669971203909</v>
      </c>
      <c r="R684">
        <f t="shared" si="241"/>
        <v>11.653497309659139</v>
      </c>
      <c r="S684">
        <f t="shared" si="241"/>
        <v>11.737864593767805</v>
      </c>
      <c r="T684">
        <f t="shared" si="222"/>
        <v>-0.79379980631144953</v>
      </c>
      <c r="U684">
        <f t="shared" si="223"/>
        <v>0.79379980631144953</v>
      </c>
      <c r="V684">
        <f t="shared" si="230"/>
        <v>11.248915805774228</v>
      </c>
      <c r="W684">
        <f t="shared" si="224"/>
        <v>1.2827485943050263</v>
      </c>
      <c r="X684">
        <f t="shared" si="231"/>
        <v>11.296550941948775</v>
      </c>
      <c r="Y684">
        <f t="shared" si="225"/>
        <v>1.2351134581304795</v>
      </c>
      <c r="Z684">
        <f t="shared" si="232"/>
        <v>11.282182789307161</v>
      </c>
      <c r="AA684">
        <f t="shared" si="226"/>
        <v>1.2494816107720936</v>
      </c>
      <c r="AB684">
        <f t="shared" si="227"/>
        <v>3.2307444000792547</v>
      </c>
      <c r="AC684">
        <f t="shared" si="228"/>
        <v>10.794566533738248</v>
      </c>
      <c r="AD684">
        <f t="shared" si="229"/>
        <v>1.7370978663410064</v>
      </c>
    </row>
    <row r="685" spans="1:30">
      <c r="A685">
        <v>683</v>
      </c>
      <c r="B685">
        <v>11.700294521022895</v>
      </c>
      <c r="C685">
        <f t="shared" si="233"/>
        <v>12.624258552636679</v>
      </c>
      <c r="D685">
        <f t="shared" si="233"/>
        <v>10.442458580283478</v>
      </c>
      <c r="E685">
        <f t="shared" si="234"/>
        <v>11.392374378952502</v>
      </c>
      <c r="F685">
        <f t="shared" si="237"/>
        <v>10.965351071218072</v>
      </c>
      <c r="G685">
        <f t="shared" si="237"/>
        <v>11.132712241689211</v>
      </c>
      <c r="H685">
        <f t="shared" si="237"/>
        <v>11.709416580264582</v>
      </c>
      <c r="I685">
        <f t="shared" si="220"/>
        <v>9.1220592416867419E-3</v>
      </c>
      <c r="J685">
        <f t="shared" si="235"/>
        <v>11.343223172407257</v>
      </c>
      <c r="K685">
        <f t="shared" si="239"/>
        <v>11.057632608549419</v>
      </c>
      <c r="L685">
        <f t="shared" si="239"/>
        <v>11.565846221403</v>
      </c>
      <c r="M685">
        <f t="shared" si="239"/>
        <v>11.899332993092855</v>
      </c>
      <c r="N685">
        <f t="shared" si="221"/>
        <v>0.19903847206995984</v>
      </c>
      <c r="O685">
        <f t="shared" si="236"/>
        <v>11.414637442130385</v>
      </c>
      <c r="P685">
        <f t="shared" si="240"/>
        <v>11.248190543624535</v>
      </c>
      <c r="Q685">
        <f t="shared" si="238"/>
        <v>11.283285211310856</v>
      </c>
      <c r="R685">
        <f t="shared" si="241"/>
        <v>11.44656128524319</v>
      </c>
      <c r="S685">
        <f t="shared" si="241"/>
        <v>11.763121251864588</v>
      </c>
      <c r="T685">
        <f t="shared" si="222"/>
        <v>6.2826730841692324E-2</v>
      </c>
      <c r="U685">
        <f t="shared" si="223"/>
        <v>-6.2826730841692324E-2</v>
      </c>
      <c r="V685">
        <f t="shared" si="230"/>
        <v>11.377190665204731</v>
      </c>
      <c r="W685">
        <f t="shared" si="224"/>
        <v>0.32310385581816448</v>
      </c>
      <c r="X685">
        <f t="shared" si="231"/>
        <v>11.543573633574871</v>
      </c>
      <c r="Y685">
        <f t="shared" si="225"/>
        <v>0.15672088744802437</v>
      </c>
      <c r="Z685">
        <f t="shared" si="232"/>
        <v>11.657027272538789</v>
      </c>
      <c r="AA685">
        <f t="shared" si="226"/>
        <v>4.3267248484106346E-2</v>
      </c>
      <c r="AB685">
        <f t="shared" si="227"/>
        <v>2.3938145210228949</v>
      </c>
      <c r="AC685">
        <f t="shared" si="228"/>
        <v>10.779675115459582</v>
      </c>
      <c r="AD685">
        <f t="shared" si="229"/>
        <v>0.92061940556331301</v>
      </c>
    </row>
    <row r="686" spans="1:30">
      <c r="A686">
        <v>684</v>
      </c>
      <c r="B686">
        <v>11.353956397709364</v>
      </c>
      <c r="C686">
        <f t="shared" si="233"/>
        <v>12.115979460551074</v>
      </c>
      <c r="D686">
        <f t="shared" si="233"/>
        <v>11.723493960512901</v>
      </c>
      <c r="E686">
        <f t="shared" si="234"/>
        <v>12.316270542098751</v>
      </c>
      <c r="F686">
        <f t="shared" si="237"/>
        <v>11.038077182979166</v>
      </c>
      <c r="G686">
        <f t="shared" si="237"/>
        <v>10.987202411882791</v>
      </c>
      <c r="H686">
        <f t="shared" si="237"/>
        <v>11.434308159494606</v>
      </c>
      <c r="I686">
        <f t="shared" si="220"/>
        <v>8.0351761785241393E-2</v>
      </c>
      <c r="J686">
        <f t="shared" si="235"/>
        <v>11.4693544144701</v>
      </c>
      <c r="K686">
        <f t="shared" si="239"/>
        <v>11.038990241766584</v>
      </c>
      <c r="L686">
        <f t="shared" si="239"/>
        <v>11.338896425877516</v>
      </c>
      <c r="M686">
        <f t="shared" si="239"/>
        <v>11.81453099383147</v>
      </c>
      <c r="N686">
        <f t="shared" si="221"/>
        <v>0.46057459612210572</v>
      </c>
      <c r="O686">
        <f t="shared" si="236"/>
        <v>11.446274811117954</v>
      </c>
      <c r="P686">
        <f t="shared" si="240"/>
        <v>11.174728065482864</v>
      </c>
      <c r="Q686">
        <f t="shared" si="238"/>
        <v>11.545525807783577</v>
      </c>
      <c r="R686">
        <f t="shared" si="241"/>
        <v>11.307672062791729</v>
      </c>
      <c r="S686">
        <f t="shared" si="241"/>
        <v>11.730608143989386</v>
      </c>
      <c r="T686">
        <f t="shared" si="222"/>
        <v>0.37665174628002163</v>
      </c>
      <c r="U686">
        <f t="shared" si="223"/>
        <v>-0.37665174628002163</v>
      </c>
      <c r="V686">
        <f t="shared" si="230"/>
        <v>11.409501050786547</v>
      </c>
      <c r="W686">
        <f t="shared" si="224"/>
        <v>-5.5544653077182815E-2</v>
      </c>
      <c r="X686">
        <f t="shared" si="231"/>
        <v>11.574917811064475</v>
      </c>
      <c r="Y686">
        <f t="shared" si="225"/>
        <v>-0.22096141335511099</v>
      </c>
      <c r="Z686">
        <f t="shared" si="232"/>
        <v>11.670007447084021</v>
      </c>
      <c r="AA686">
        <f t="shared" si="226"/>
        <v>-0.31605104937465711</v>
      </c>
      <c r="AB686">
        <f t="shared" si="227"/>
        <v>2.0419163977093646</v>
      </c>
      <c r="AC686">
        <f t="shared" si="228"/>
        <v>10.76396193144924</v>
      </c>
      <c r="AD686">
        <f t="shared" si="229"/>
        <v>0.58999446626012464</v>
      </c>
    </row>
    <row r="687" spans="1:30">
      <c r="A687">
        <v>685</v>
      </c>
      <c r="B687">
        <v>8.9238765586104432</v>
      </c>
      <c r="C687">
        <f t="shared" si="233"/>
        <v>11.527125459366129</v>
      </c>
      <c r="D687">
        <f t="shared" si="233"/>
        <v>12.370119006593876</v>
      </c>
      <c r="E687">
        <f t="shared" si="234"/>
        <v>11.861971772937173</v>
      </c>
      <c r="F687">
        <f t="shared" si="237"/>
        <v>11.551907005855947</v>
      </c>
      <c r="G687">
        <f t="shared" si="237"/>
        <v>10.979280636180063</v>
      </c>
      <c r="H687">
        <f t="shared" si="237"/>
        <v>11.179057838549452</v>
      </c>
      <c r="I687">
        <f t="shared" si="220"/>
        <v>2.2551812799390092</v>
      </c>
      <c r="J687">
        <f t="shared" si="235"/>
        <v>12.075692006001404</v>
      </c>
      <c r="K687">
        <f t="shared" si="239"/>
        <v>11.171418777231285</v>
      </c>
      <c r="L687">
        <f t="shared" si="239"/>
        <v>11.164851675188277</v>
      </c>
      <c r="M687">
        <f t="shared" si="239"/>
        <v>11.652470557402998</v>
      </c>
      <c r="N687">
        <f t="shared" si="221"/>
        <v>2.7285939987925545</v>
      </c>
      <c r="O687">
        <f t="shared" si="236"/>
        <v>11.445328916523213</v>
      </c>
      <c r="P687">
        <f t="shared" si="240"/>
        <v>11.18930542326942</v>
      </c>
      <c r="Q687">
        <f t="shared" si="238"/>
        <v>11.404523934726882</v>
      </c>
      <c r="R687">
        <f t="shared" si="241"/>
        <v>11.30219695751156</v>
      </c>
      <c r="S687">
        <f t="shared" si="241"/>
        <v>11.644141622857395</v>
      </c>
      <c r="T687">
        <f t="shared" si="222"/>
        <v>2.7202650642469521</v>
      </c>
      <c r="U687">
        <f t="shared" si="223"/>
        <v>-2.7202650642469521</v>
      </c>
      <c r="V687">
        <f t="shared" si="230"/>
        <v>11.403946585478829</v>
      </c>
      <c r="W687">
        <f t="shared" si="224"/>
        <v>-2.4800700268683862</v>
      </c>
      <c r="X687">
        <f t="shared" si="231"/>
        <v>11.530725528393454</v>
      </c>
      <c r="Y687">
        <f t="shared" si="225"/>
        <v>-2.6068489697830106</v>
      </c>
      <c r="Z687">
        <f t="shared" si="232"/>
        <v>11.575192132271624</v>
      </c>
      <c r="AA687">
        <f t="shared" si="226"/>
        <v>-2.6513155736611811</v>
      </c>
      <c r="AB687">
        <f t="shared" si="227"/>
        <v>-0.39372344138955739</v>
      </c>
      <c r="AC687">
        <f t="shared" si="228"/>
        <v>10.747431554708035</v>
      </c>
      <c r="AD687">
        <f t="shared" si="229"/>
        <v>-1.8235549960975916</v>
      </c>
    </row>
    <row r="688" spans="1:30">
      <c r="A688">
        <v>686</v>
      </c>
      <c r="B688">
        <v>8.8162199415589466</v>
      </c>
      <c r="C688">
        <f t="shared" si="233"/>
        <v>10.138916478159903</v>
      </c>
      <c r="D688">
        <f t="shared" si="233"/>
        <v>11.821552459958601</v>
      </c>
      <c r="E688">
        <f t="shared" si="234"/>
        <v>10.6593758257809</v>
      </c>
      <c r="F688">
        <f t="shared" si="237"/>
        <v>11.856872231329476</v>
      </c>
      <c r="G688">
        <f t="shared" si="237"/>
        <v>11.185111753351061</v>
      </c>
      <c r="H688">
        <f t="shared" si="237"/>
        <v>11.033065096584023</v>
      </c>
      <c r="I688">
        <f t="shared" si="220"/>
        <v>2.2168451550250765</v>
      </c>
      <c r="J688">
        <f t="shared" si="235"/>
        <v>11.12744796935549</v>
      </c>
      <c r="K688">
        <f t="shared" si="239"/>
        <v>11.537142143569646</v>
      </c>
      <c r="L688">
        <f t="shared" si="239"/>
        <v>11.107490209063936</v>
      </c>
      <c r="M688">
        <f t="shared" si="239"/>
        <v>11.458286615900057</v>
      </c>
      <c r="N688">
        <f t="shared" si="221"/>
        <v>2.6420666743411108</v>
      </c>
      <c r="O688">
        <f t="shared" si="236"/>
        <v>10.665202363796181</v>
      </c>
      <c r="P688">
        <f t="shared" si="240"/>
        <v>11.37088452169289</v>
      </c>
      <c r="Q688">
        <f t="shared" si="238"/>
        <v>11.025875102366703</v>
      </c>
      <c r="R688">
        <f t="shared" si="241"/>
        <v>11.297363733600738</v>
      </c>
      <c r="S688">
        <f t="shared" si="241"/>
        <v>11.551793321361417</v>
      </c>
      <c r="T688">
        <f t="shared" si="222"/>
        <v>2.7355733798024708</v>
      </c>
      <c r="U688">
        <f t="shared" si="223"/>
        <v>-2.7355733798024708</v>
      </c>
      <c r="V688">
        <f t="shared" si="230"/>
        <v>11.155939582791991</v>
      </c>
      <c r="W688">
        <f t="shared" si="224"/>
        <v>-2.3397196412330441</v>
      </c>
      <c r="X688">
        <f t="shared" si="231"/>
        <v>11.009355734436852</v>
      </c>
      <c r="Y688">
        <f t="shared" si="225"/>
        <v>-2.1931357928779054</v>
      </c>
      <c r="Z688">
        <f t="shared" si="232"/>
        <v>10.77979746017327</v>
      </c>
      <c r="AA688">
        <f t="shared" si="226"/>
        <v>-1.9635775186143238</v>
      </c>
      <c r="AB688">
        <f t="shared" si="227"/>
        <v>-0.50694005844105305</v>
      </c>
      <c r="AC688">
        <f t="shared" si="228"/>
        <v>10.730088785229501</v>
      </c>
      <c r="AD688">
        <f t="shared" si="229"/>
        <v>-1.9138688436705547</v>
      </c>
    </row>
    <row r="689" spans="1:30">
      <c r="A689">
        <v>687</v>
      </c>
      <c r="B689">
        <v>11.698478122459292</v>
      </c>
      <c r="C689">
        <f t="shared" si="233"/>
        <v>8.8700482500846949</v>
      </c>
      <c r="D689">
        <f t="shared" si="233"/>
        <v>10.833020968763016</v>
      </c>
      <c r="E689">
        <f t="shared" si="234"/>
        <v>9.6980176326262519</v>
      </c>
      <c r="F689">
        <f t="shared" si="237"/>
        <v>11.612539380272274</v>
      </c>
      <c r="G689">
        <f t="shared" si="237"/>
        <v>11.482285473388195</v>
      </c>
      <c r="H689">
        <f t="shared" si="237"/>
        <v>11.050531600471304</v>
      </c>
      <c r="I689">
        <f t="shared" si="220"/>
        <v>-0.64794652198798808</v>
      </c>
      <c r="J689">
        <f t="shared" si="235"/>
        <v>10.198586854725413</v>
      </c>
      <c r="K689">
        <f t="shared" si="239"/>
        <v>11.503929390558561</v>
      </c>
      <c r="L689">
        <f t="shared" si="239"/>
        <v>11.201295942779234</v>
      </c>
      <c r="M689">
        <f t="shared" si="239"/>
        <v>11.294271132883182</v>
      </c>
      <c r="N689">
        <f t="shared" si="221"/>
        <v>-0.40420698957611023</v>
      </c>
      <c r="O689">
        <f t="shared" si="236"/>
        <v>10.498565108272189</v>
      </c>
      <c r="P689">
        <f t="shared" si="240"/>
        <v>11.29720311974069</v>
      </c>
      <c r="Q689">
        <f t="shared" si="238"/>
        <v>11.0071440873625</v>
      </c>
      <c r="R689">
        <f t="shared" si="241"/>
        <v>11.187634064079489</v>
      </c>
      <c r="S689">
        <f t="shared" si="241"/>
        <v>11.471117328862279</v>
      </c>
      <c r="T689">
        <f t="shared" si="222"/>
        <v>-0.227360793597013</v>
      </c>
      <c r="U689">
        <f t="shared" si="223"/>
        <v>0.227360793597013</v>
      </c>
      <c r="V689">
        <f t="shared" si="230"/>
        <v>10.921967618668686</v>
      </c>
      <c r="W689">
        <f t="shared" si="224"/>
        <v>0.77651050379060571</v>
      </c>
      <c r="X689">
        <f t="shared" si="231"/>
        <v>10.570728575861271</v>
      </c>
      <c r="Y689">
        <f t="shared" si="225"/>
        <v>1.1277495465980216</v>
      </c>
      <c r="Z689">
        <f t="shared" si="232"/>
        <v>10.190724204588973</v>
      </c>
      <c r="AA689">
        <f t="shared" si="226"/>
        <v>1.5077539178703194</v>
      </c>
      <c r="AB689">
        <f t="shared" si="227"/>
        <v>2.3697581224592916</v>
      </c>
      <c r="AC689">
        <f t="shared" si="228"/>
        <v>10.711938648666607</v>
      </c>
      <c r="AD689">
        <f t="shared" si="229"/>
        <v>0.98653947379268558</v>
      </c>
    </row>
    <row r="690" spans="1:30">
      <c r="A690">
        <v>688</v>
      </c>
      <c r="B690">
        <v>11.645841866825092</v>
      </c>
      <c r="C690">
        <f t="shared" si="233"/>
        <v>10.25734903200912</v>
      </c>
      <c r="D690">
        <f t="shared" si="233"/>
        <v>9.5044823641222997</v>
      </c>
      <c r="E690">
        <f t="shared" si="234"/>
        <v>9.8128582075428934</v>
      </c>
      <c r="F690">
        <f t="shared" si="237"/>
        <v>10.739788410448108</v>
      </c>
      <c r="G690">
        <f t="shared" si="237"/>
        <v>11.673772872485898</v>
      </c>
      <c r="H690">
        <f t="shared" si="237"/>
        <v>11.215559287639772</v>
      </c>
      <c r="I690">
        <f t="shared" si="220"/>
        <v>-0.4302825791853202</v>
      </c>
      <c r="J690">
        <f t="shared" si="235"/>
        <v>10.198132755084512</v>
      </c>
      <c r="K690">
        <f t="shared" si="239"/>
        <v>11.217770311138102</v>
      </c>
      <c r="L690">
        <f t="shared" si="239"/>
        <v>11.31287013828152</v>
      </c>
      <c r="M690">
        <f t="shared" si="239"/>
        <v>11.203133563227242</v>
      </c>
      <c r="N690">
        <f t="shared" si="221"/>
        <v>-0.44270830359785052</v>
      </c>
      <c r="O690">
        <f t="shared" si="236"/>
        <v>10.487674577432628</v>
      </c>
      <c r="P690">
        <f t="shared" si="240"/>
        <v>11.094001728367985</v>
      </c>
      <c r="Q690">
        <f t="shared" si="238"/>
        <v>10.837414990240035</v>
      </c>
      <c r="R690">
        <f t="shared" si="241"/>
        <v>11.194504019125738</v>
      </c>
      <c r="S690">
        <f t="shared" si="241"/>
        <v>11.365820902147641</v>
      </c>
      <c r="T690">
        <f t="shared" si="222"/>
        <v>-0.28002096467745119</v>
      </c>
      <c r="U690">
        <f t="shared" si="223"/>
        <v>0.28002096467745119</v>
      </c>
      <c r="V690">
        <f t="shared" si="230"/>
        <v>10.999618669047747</v>
      </c>
      <c r="W690">
        <f t="shared" si="224"/>
        <v>0.6462231977773456</v>
      </c>
      <c r="X690">
        <f t="shared" si="231"/>
        <v>10.796278485180874</v>
      </c>
      <c r="Y690">
        <f t="shared" si="225"/>
        <v>0.8495633816442183</v>
      </c>
      <c r="Z690">
        <f t="shared" si="232"/>
        <v>10.643050379950068</v>
      </c>
      <c r="AA690">
        <f t="shared" si="226"/>
        <v>1.0027914868750241</v>
      </c>
      <c r="AB690">
        <f t="shared" si="227"/>
        <v>2.3115618668250928</v>
      </c>
      <c r="AC690">
        <f t="shared" si="228"/>
        <v>10.692986394935756</v>
      </c>
      <c r="AD690">
        <f t="shared" si="229"/>
        <v>0.95285547188933606</v>
      </c>
    </row>
    <row r="691" spans="1:30">
      <c r="A691">
        <v>689</v>
      </c>
      <c r="B691">
        <v>9.2005090212094114</v>
      </c>
      <c r="C691">
        <f t="shared" si="233"/>
        <v>11.672159994642193</v>
      </c>
      <c r="D691">
        <f t="shared" si="233"/>
        <v>9.5636986410469085</v>
      </c>
      <c r="E691">
        <f t="shared" si="234"/>
        <v>10.720179976947778</v>
      </c>
      <c r="F691">
        <f t="shared" si="237"/>
        <v>10.056750555316682</v>
      </c>
      <c r="G691">
        <f t="shared" si="237"/>
        <v>11.403066674016619</v>
      </c>
      <c r="H691">
        <f t="shared" si="237"/>
        <v>11.447056699741717</v>
      </c>
      <c r="I691">
        <f t="shared" si="220"/>
        <v>2.2465476785323055</v>
      </c>
      <c r="J691">
        <f t="shared" si="235"/>
        <v>10.271104122363443</v>
      </c>
      <c r="K691">
        <f t="shared" si="239"/>
        <v>10.899964896291706</v>
      </c>
      <c r="L691">
        <f t="shared" si="239"/>
        <v>11.357565155624398</v>
      </c>
      <c r="M691">
        <f t="shared" si="239"/>
        <v>11.196626991328241</v>
      </c>
      <c r="N691">
        <f t="shared" si="221"/>
        <v>1.9961179701188296</v>
      </c>
      <c r="O691">
        <f t="shared" si="236"/>
        <v>10.056985102132638</v>
      </c>
      <c r="P691">
        <f t="shared" si="240"/>
        <v>10.908609155428433</v>
      </c>
      <c r="Q691">
        <f t="shared" si="238"/>
        <v>10.689777901364339</v>
      </c>
      <c r="R691">
        <f t="shared" si="241"/>
        <v>11.183961522298425</v>
      </c>
      <c r="S691">
        <f t="shared" si="241"/>
        <v>11.289322020392072</v>
      </c>
      <c r="T691">
        <f t="shared" si="222"/>
        <v>2.0888129991826609</v>
      </c>
      <c r="U691">
        <f t="shared" si="223"/>
        <v>-2.0888129991826609</v>
      </c>
      <c r="V691">
        <f t="shared" si="230"/>
        <v>11.064240988825482</v>
      </c>
      <c r="W691">
        <f t="shared" si="224"/>
        <v>-1.8637319676160704</v>
      </c>
      <c r="X691">
        <f t="shared" si="231"/>
        <v>10.966191161509718</v>
      </c>
      <c r="Y691">
        <f t="shared" si="225"/>
        <v>-1.7656821403003065</v>
      </c>
      <c r="Z691">
        <f t="shared" si="232"/>
        <v>10.943887826012576</v>
      </c>
      <c r="AA691">
        <f t="shared" si="226"/>
        <v>-1.7433788048031644</v>
      </c>
      <c r="AB691">
        <f t="shared" si="227"/>
        <v>-0.1393309787905892</v>
      </c>
      <c r="AC691">
        <f t="shared" si="228"/>
        <v>10.673237496758524</v>
      </c>
      <c r="AD691">
        <f t="shared" si="229"/>
        <v>-1.472728475549113</v>
      </c>
    </row>
    <row r="692" spans="1:30">
      <c r="A692">
        <v>690</v>
      </c>
      <c r="B692">
        <v>8.6654614509930994</v>
      </c>
      <c r="C692">
        <f t="shared" si="233"/>
        <v>10.423175444017252</v>
      </c>
      <c r="D692">
        <f t="shared" si="233"/>
        <v>10.964754513325657</v>
      </c>
      <c r="E692">
        <f t="shared" si="234"/>
        <v>10.848276336831267</v>
      </c>
      <c r="F692">
        <f t="shared" si="237"/>
        <v>10.077018605705641</v>
      </c>
      <c r="G692">
        <f t="shared" si="237"/>
        <v>10.803026115345688</v>
      </c>
      <c r="H692">
        <f t="shared" si="237"/>
        <v>11.519708339963572</v>
      </c>
      <c r="I692">
        <f t="shared" si="220"/>
        <v>2.8542468889704722</v>
      </c>
      <c r="J692">
        <f t="shared" si="235"/>
        <v>10.340262238013187</v>
      </c>
      <c r="K692">
        <f t="shared" si="239"/>
        <v>10.448817925382215</v>
      </c>
      <c r="L692">
        <f t="shared" si="239"/>
        <v>11.289701685389504</v>
      </c>
      <c r="M692">
        <f t="shared" si="239"/>
        <v>11.244805361437272</v>
      </c>
      <c r="N692">
        <f t="shared" si="221"/>
        <v>2.5793439104441731</v>
      </c>
      <c r="O692">
        <f t="shared" si="236"/>
        <v>10.005302080609169</v>
      </c>
      <c r="P692">
        <f t="shared" si="240"/>
        <v>10.630751213631369</v>
      </c>
      <c r="Q692">
        <f t="shared" si="238"/>
        <v>10.27314698472876</v>
      </c>
      <c r="R692">
        <f t="shared" si="241"/>
        <v>11.085043637307338</v>
      </c>
      <c r="S692">
        <f t="shared" si="241"/>
        <v>11.245555393234612</v>
      </c>
      <c r="T692">
        <f t="shared" si="222"/>
        <v>2.580093942241513</v>
      </c>
      <c r="U692">
        <f t="shared" si="223"/>
        <v>-2.580093942241513</v>
      </c>
      <c r="V692">
        <f t="shared" si="230"/>
        <v>10.877867792063874</v>
      </c>
      <c r="W692">
        <f t="shared" si="224"/>
        <v>-2.2124063410707748</v>
      </c>
      <c r="X692">
        <f t="shared" si="231"/>
        <v>10.613054733449657</v>
      </c>
      <c r="Y692">
        <f t="shared" si="225"/>
        <v>-1.9475932824565572</v>
      </c>
      <c r="Z692">
        <f t="shared" si="232"/>
        <v>10.420874184571627</v>
      </c>
      <c r="AA692">
        <f t="shared" si="226"/>
        <v>-1.7554127335785275</v>
      </c>
      <c r="AB692">
        <f t="shared" si="227"/>
        <v>-0.67993854900690032</v>
      </c>
      <c r="AC692">
        <f t="shared" si="228"/>
        <v>10.652697648141483</v>
      </c>
      <c r="AD692">
        <f t="shared" si="229"/>
        <v>-1.9872361971483841</v>
      </c>
    </row>
    <row r="693" spans="1:30">
      <c r="A693">
        <v>691</v>
      </c>
      <c r="B693">
        <v>10.569157746710207</v>
      </c>
      <c r="C693">
        <f t="shared" si="233"/>
        <v>8.9329852361012563</v>
      </c>
      <c r="D693">
        <f t="shared" si="233"/>
        <v>11.047667719329723</v>
      </c>
      <c r="E693">
        <f t="shared" si="234"/>
        <v>9.8372707796758672</v>
      </c>
      <c r="F693">
        <f t="shared" si="237"/>
        <v>10.46043817377398</v>
      </c>
      <c r="G693">
        <f t="shared" si="237"/>
        <v>10.29118585715681</v>
      </c>
      <c r="H693">
        <f t="shared" si="237"/>
        <v>11.293288553949402</v>
      </c>
      <c r="I693">
        <f t="shared" si="220"/>
        <v>0.72413080723919521</v>
      </c>
      <c r="J693">
        <f t="shared" si="235"/>
        <v>10.302572615371725</v>
      </c>
      <c r="K693">
        <f t="shared" si="239"/>
        <v>10.252021492546639</v>
      </c>
      <c r="L693">
        <f t="shared" si="239"/>
        <v>11.017620630842647</v>
      </c>
      <c r="M693">
        <f t="shared" si="239"/>
        <v>11.290358230518663</v>
      </c>
      <c r="N693">
        <f t="shared" si="221"/>
        <v>0.72120048380845603</v>
      </c>
      <c r="O693">
        <f t="shared" si="236"/>
        <v>10.355889641639422</v>
      </c>
      <c r="P693">
        <f t="shared" si="240"/>
        <v>10.342745846448562</v>
      </c>
      <c r="Q693">
        <f t="shared" si="238"/>
        <v>9.8250644936093803</v>
      </c>
      <c r="R693">
        <f t="shared" si="241"/>
        <v>10.872980500131534</v>
      </c>
      <c r="S693">
        <f t="shared" si="241"/>
        <v>11.208450655653882</v>
      </c>
      <c r="T693">
        <f t="shared" si="222"/>
        <v>0.63929290894367519</v>
      </c>
      <c r="U693">
        <f t="shared" si="223"/>
        <v>-0.63929290894367519</v>
      </c>
      <c r="V693">
        <f t="shared" si="230"/>
        <v>10.656627157956796</v>
      </c>
      <c r="W693">
        <f t="shared" si="224"/>
        <v>-8.7469411246589246E-2</v>
      </c>
      <c r="X693">
        <f t="shared" si="231"/>
        <v>10.223536076958345</v>
      </c>
      <c r="Y693">
        <f t="shared" si="225"/>
        <v>0.34562166975186237</v>
      </c>
      <c r="Z693">
        <f t="shared" si="232"/>
        <v>9.8942503644980686</v>
      </c>
      <c r="AA693">
        <f t="shared" si="226"/>
        <v>0.67490738221213853</v>
      </c>
      <c r="AB693">
        <f t="shared" si="227"/>
        <v>1.2181977467102065</v>
      </c>
      <c r="AC693">
        <f t="shared" si="228"/>
        <v>10.63137276279458</v>
      </c>
      <c r="AD693">
        <f t="shared" si="229"/>
        <v>-6.2215016084373076E-2</v>
      </c>
    </row>
    <row r="694" spans="1:30">
      <c r="A694">
        <v>692</v>
      </c>
      <c r="B694">
        <v>9.6282936734461124</v>
      </c>
      <c r="C694">
        <f t="shared" si="233"/>
        <v>9.6173095988516533</v>
      </c>
      <c r="D694">
        <f t="shared" si="233"/>
        <v>9.6780803400592532</v>
      </c>
      <c r="E694">
        <f t="shared" si="234"/>
        <v>9.4783760729709066</v>
      </c>
      <c r="F694">
        <f t="shared" si="237"/>
        <v>10.468575697818304</v>
      </c>
      <c r="G694">
        <f t="shared" si="237"/>
        <v>10.198069111598768</v>
      </c>
      <c r="H694">
        <f t="shared" si="237"/>
        <v>10.832426215506374</v>
      </c>
      <c r="I694">
        <f t="shared" si="220"/>
        <v>1.2041325420602611</v>
      </c>
      <c r="J694">
        <f t="shared" si="235"/>
        <v>10.020242521434453</v>
      </c>
      <c r="K694">
        <f t="shared" si="239"/>
        <v>10.278017932708217</v>
      </c>
      <c r="L694">
        <f t="shared" si="239"/>
        <v>10.704643656339666</v>
      </c>
      <c r="M694">
        <f t="shared" si="239"/>
        <v>11.244439402534518</v>
      </c>
      <c r="N694">
        <f t="shared" si="221"/>
        <v>1.6161457290884051</v>
      </c>
      <c r="O694">
        <f t="shared" si="236"/>
        <v>9.9418527518367856</v>
      </c>
      <c r="P694">
        <f t="shared" si="240"/>
        <v>10.280883302017209</v>
      </c>
      <c r="Q694">
        <f t="shared" si="238"/>
        <v>10.099278024959341</v>
      </c>
      <c r="R694">
        <f t="shared" si="241"/>
        <v>10.609737259945286</v>
      </c>
      <c r="S694">
        <f t="shared" si="241"/>
        <v>11.136914579423879</v>
      </c>
      <c r="T694">
        <f t="shared" si="222"/>
        <v>1.5086209059777662</v>
      </c>
      <c r="U694">
        <f t="shared" si="223"/>
        <v>-1.5086209059777662</v>
      </c>
      <c r="V694">
        <f t="shared" si="230"/>
        <v>10.647880216832137</v>
      </c>
      <c r="W694">
        <f t="shared" si="224"/>
        <v>-1.0195865433860245</v>
      </c>
      <c r="X694">
        <f t="shared" si="231"/>
        <v>10.292660410908717</v>
      </c>
      <c r="Y694">
        <f t="shared" si="225"/>
        <v>-0.66436673746260411</v>
      </c>
      <c r="Z694">
        <f t="shared" si="232"/>
        <v>10.09672257916171</v>
      </c>
      <c r="AA694">
        <f t="shared" si="226"/>
        <v>-0.46842890571559792</v>
      </c>
      <c r="AB694">
        <f t="shared" si="227"/>
        <v>0.2717736734461127</v>
      </c>
      <c r="AC694">
        <f t="shared" si="228"/>
        <v>10.60926897248847</v>
      </c>
      <c r="AD694">
        <f t="shared" si="229"/>
        <v>-0.98097529904235792</v>
      </c>
    </row>
    <row r="695" spans="1:30">
      <c r="A695">
        <v>693</v>
      </c>
      <c r="B695">
        <v>11.635486857783569</v>
      </c>
      <c r="C695">
        <f t="shared" si="233"/>
        <v>10.09872571007816</v>
      </c>
      <c r="D695">
        <f t="shared" si="233"/>
        <v>9.2751474174764539</v>
      </c>
      <c r="E695">
        <f t="shared" si="234"/>
        <v>9.6209709570498063</v>
      </c>
      <c r="F695">
        <f t="shared" si="237"/>
        <v>10.054641063159346</v>
      </c>
      <c r="G695">
        <f t="shared" si="237"/>
        <v>10.335344159099307</v>
      </c>
      <c r="H695">
        <f t="shared" si="237"/>
        <v>10.43076036136709</v>
      </c>
      <c r="I695">
        <f t="shared" si="220"/>
        <v>-1.2047264964164786</v>
      </c>
      <c r="J695">
        <f t="shared" si="235"/>
        <v>9.515855473089708</v>
      </c>
      <c r="K695">
        <f t="shared" si="239"/>
        <v>10.233545374295701</v>
      </c>
      <c r="L695">
        <f t="shared" si="239"/>
        <v>10.469705561732194</v>
      </c>
      <c r="M695">
        <f t="shared" si="239"/>
        <v>11.092382782049054</v>
      </c>
      <c r="N695">
        <f t="shared" si="221"/>
        <v>-0.54310407573451513</v>
      </c>
      <c r="O695">
        <f t="shared" si="236"/>
        <v>9.9397817500284802</v>
      </c>
      <c r="P695">
        <f t="shared" si="240"/>
        <v>10.169540830730128</v>
      </c>
      <c r="Q695">
        <f t="shared" si="238"/>
        <v>10.234623646940536</v>
      </c>
      <c r="R695">
        <f t="shared" si="241"/>
        <v>10.455304413710726</v>
      </c>
      <c r="S695">
        <f t="shared" si="241"/>
        <v>11.022310167147969</v>
      </c>
      <c r="T695">
        <f t="shared" si="222"/>
        <v>-0.61317669063559954</v>
      </c>
      <c r="U695">
        <f t="shared" si="223"/>
        <v>0.61317669063559954</v>
      </c>
      <c r="V695">
        <f t="shared" si="230"/>
        <v>10.545921562493534</v>
      </c>
      <c r="W695">
        <f t="shared" si="224"/>
        <v>1.0895652952900345</v>
      </c>
      <c r="X695">
        <f t="shared" si="231"/>
        <v>10.159787063416196</v>
      </c>
      <c r="Y695">
        <f t="shared" si="225"/>
        <v>1.4756997943673724</v>
      </c>
      <c r="Z695">
        <f t="shared" si="232"/>
        <v>9.9561939074470303</v>
      </c>
      <c r="AA695">
        <f t="shared" si="226"/>
        <v>1.6792929503365386</v>
      </c>
      <c r="AB695">
        <f t="shared" si="227"/>
        <v>2.2734068577835682</v>
      </c>
      <c r="AC695">
        <f t="shared" si="228"/>
        <v>10.586392625351287</v>
      </c>
      <c r="AD695">
        <f t="shared" si="229"/>
        <v>1.0490942324322816</v>
      </c>
    </row>
    <row r="696" spans="1:30">
      <c r="A696">
        <v>694</v>
      </c>
      <c r="B696">
        <v>11.226674709151441</v>
      </c>
      <c r="C696">
        <f t="shared" si="233"/>
        <v>10.631890265614841</v>
      </c>
      <c r="D696">
        <f t="shared" si="233"/>
        <v>9.8580176544649056</v>
      </c>
      <c r="E696">
        <f t="shared" si="234"/>
        <v>10.610979425979963</v>
      </c>
      <c r="F696">
        <f t="shared" si="237"/>
        <v>9.64553926989886</v>
      </c>
      <c r="G696">
        <f t="shared" si="237"/>
        <v>10.327884978250543</v>
      </c>
      <c r="H696">
        <f t="shared" si="237"/>
        <v>10.274866375951628</v>
      </c>
      <c r="I696">
        <f t="shared" si="220"/>
        <v>-0.9518083331998124</v>
      </c>
      <c r="J696">
        <f t="shared" si="235"/>
        <v>10.124599932233247</v>
      </c>
      <c r="K696">
        <f t="shared" si="239"/>
        <v>10.044733211977269</v>
      </c>
      <c r="L696">
        <f t="shared" si="239"/>
        <v>10.303100681233193</v>
      </c>
      <c r="M696">
        <f t="shared" si="239"/>
        <v>10.870417883576003</v>
      </c>
      <c r="N696">
        <f t="shared" si="221"/>
        <v>-0.35625682557543747</v>
      </c>
      <c r="O696">
        <f t="shared" si="236"/>
        <v>10.345014887616886</v>
      </c>
      <c r="P696">
        <f t="shared" si="240"/>
        <v>10.059962265249299</v>
      </c>
      <c r="Q696">
        <f t="shared" si="238"/>
        <v>10.224125102827916</v>
      </c>
      <c r="R696">
        <f t="shared" si="241"/>
        <v>10.326551006973732</v>
      </c>
      <c r="S696">
        <f t="shared" si="241"/>
        <v>10.900255225419841</v>
      </c>
      <c r="T696">
        <f t="shared" si="222"/>
        <v>-0.32641948373160012</v>
      </c>
      <c r="U696">
        <f t="shared" si="223"/>
        <v>0.32641948373160012</v>
      </c>
      <c r="V696">
        <f t="shared" si="230"/>
        <v>10.654878092022537</v>
      </c>
      <c r="W696">
        <f t="shared" si="224"/>
        <v>0.57179661712890351</v>
      </c>
      <c r="X696">
        <f t="shared" si="231"/>
        <v>10.45492702228967</v>
      </c>
      <c r="Y696">
        <f t="shared" si="225"/>
        <v>0.77174768686177053</v>
      </c>
      <c r="Z696">
        <f t="shared" si="232"/>
        <v>10.459981792547993</v>
      </c>
      <c r="AA696">
        <f t="shared" si="226"/>
        <v>0.76669291660344818</v>
      </c>
      <c r="AB696">
        <f t="shared" si="227"/>
        <v>1.859034709151441</v>
      </c>
      <c r="AC696">
        <f t="shared" si="228"/>
        <v>10.562750284105324</v>
      </c>
      <c r="AD696">
        <f t="shared" si="229"/>
        <v>0.66392442504611715</v>
      </c>
    </row>
    <row r="697" spans="1:30">
      <c r="A697">
        <v>695</v>
      </c>
      <c r="B697">
        <v>12.130911042457075</v>
      </c>
      <c r="C697">
        <f t="shared" si="233"/>
        <v>11.431080783467504</v>
      </c>
      <c r="D697">
        <f t="shared" si="233"/>
        <v>10.365307987846499</v>
      </c>
      <c r="E697">
        <f t="shared" si="234"/>
        <v>10.830151746793709</v>
      </c>
      <c r="F697">
        <f t="shared" si="237"/>
        <v>9.9034421520002258</v>
      </c>
      <c r="G697">
        <f t="shared" si="237"/>
        <v>10.05625201029217</v>
      </c>
      <c r="H697">
        <f t="shared" si="237"/>
        <v>10.287099416316208</v>
      </c>
      <c r="I697">
        <f t="shared" si="220"/>
        <v>-1.8438116261408677</v>
      </c>
      <c r="J697">
        <f t="shared" si="235"/>
        <v>10.764903246772832</v>
      </c>
      <c r="K697">
        <f t="shared" si="239"/>
        <v>9.9908176355322826</v>
      </c>
      <c r="L697">
        <f t="shared" si="239"/>
        <v>10.202079502881956</v>
      </c>
      <c r="M697">
        <f t="shared" si="239"/>
        <v>10.623767632536925</v>
      </c>
      <c r="N697">
        <f t="shared" si="221"/>
        <v>-1.5071434099201504</v>
      </c>
      <c r="O697">
        <f t="shared" si="236"/>
        <v>11.038104805909679</v>
      </c>
      <c r="P697">
        <f t="shared" si="240"/>
        <v>10.117568222346147</v>
      </c>
      <c r="Q697">
        <f t="shared" si="238"/>
        <v>10.154263909882307</v>
      </c>
      <c r="R697">
        <f t="shared" si="241"/>
        <v>10.22433602573838</v>
      </c>
      <c r="S697">
        <f t="shared" si="241"/>
        <v>10.755596390061173</v>
      </c>
      <c r="T697">
        <f t="shared" si="222"/>
        <v>-1.3753146523959021</v>
      </c>
      <c r="U697">
        <f t="shared" si="223"/>
        <v>1.3753146523959021</v>
      </c>
      <c r="V697">
        <f t="shared" si="230"/>
        <v>10.712057753735428</v>
      </c>
      <c r="W697">
        <f t="shared" si="224"/>
        <v>1.4188532887216478</v>
      </c>
      <c r="X697">
        <f t="shared" si="231"/>
        <v>10.609276559662025</v>
      </c>
      <c r="Y697">
        <f t="shared" si="225"/>
        <v>1.5216344827950508</v>
      </c>
      <c r="Z697">
        <f t="shared" si="232"/>
        <v>10.689989667529026</v>
      </c>
      <c r="AA697">
        <f t="shared" si="226"/>
        <v>1.4409213749280489</v>
      </c>
      <c r="AB697">
        <f t="shared" si="227"/>
        <v>2.7577110424570748</v>
      </c>
      <c r="AC697">
        <f t="shared" si="228"/>
        <v>10.538348724244077</v>
      </c>
      <c r="AD697">
        <f t="shared" si="229"/>
        <v>1.5925623182129982</v>
      </c>
    </row>
    <row r="698" spans="1:30">
      <c r="A698">
        <v>696</v>
      </c>
      <c r="B698">
        <v>9.1181292013691984</v>
      </c>
      <c r="C698">
        <f t="shared" si="233"/>
        <v>11.678792875804259</v>
      </c>
      <c r="D698">
        <f t="shared" si="233"/>
        <v>11.031485524541171</v>
      </c>
      <c r="E698">
        <f t="shared" si="234"/>
        <v>11.66435753646403</v>
      </c>
      <c r="F698">
        <f t="shared" si="237"/>
        <v>10.354034043274494</v>
      </c>
      <c r="G698">
        <f t="shared" si="237"/>
        <v>9.8678741616861441</v>
      </c>
      <c r="H698">
        <f t="shared" si="237"/>
        <v>10.239827049214007</v>
      </c>
      <c r="I698">
        <f t="shared" si="220"/>
        <v>1.1216978478448087</v>
      </c>
      <c r="J698">
        <f t="shared" si="235"/>
        <v>11.155341570709549</v>
      </c>
      <c r="K698">
        <f t="shared" si="239"/>
        <v>10.10640029338256</v>
      </c>
      <c r="L698">
        <f t="shared" si="239"/>
        <v>10.136778538628366</v>
      </c>
      <c r="M698">
        <f t="shared" si="239"/>
        <v>10.419882350546752</v>
      </c>
      <c r="N698">
        <f t="shared" si="221"/>
        <v>1.3017531491775536</v>
      </c>
      <c r="O698">
        <f t="shared" si="236"/>
        <v>10.747899096841479</v>
      </c>
      <c r="P698">
        <f t="shared" si="240"/>
        <v>10.324128767406251</v>
      </c>
      <c r="Q698">
        <f t="shared" si="238"/>
        <v>10.642664246756917</v>
      </c>
      <c r="R698">
        <f t="shared" si="241"/>
        <v>10.135083693824706</v>
      </c>
      <c r="S698">
        <f t="shared" si="241"/>
        <v>10.595658807301167</v>
      </c>
      <c r="T698">
        <f t="shared" si="222"/>
        <v>1.4775296059319682</v>
      </c>
      <c r="U698">
        <f t="shared" si="223"/>
        <v>-1.4775296059319682</v>
      </c>
      <c r="V698">
        <f t="shared" si="230"/>
        <v>10.853943082607593</v>
      </c>
      <c r="W698">
        <f t="shared" si="224"/>
        <v>-1.7358138812383945</v>
      </c>
      <c r="X698">
        <f t="shared" si="231"/>
        <v>10.913603456221034</v>
      </c>
      <c r="Y698">
        <f t="shared" si="225"/>
        <v>-1.7954742548518361</v>
      </c>
      <c r="Z698">
        <f t="shared" si="232"/>
        <v>11.12226608000744</v>
      </c>
      <c r="AA698">
        <f t="shared" si="226"/>
        <v>-2.0041368786382421</v>
      </c>
      <c r="AB698">
        <f t="shared" si="227"/>
        <v>-0.26063079863080141</v>
      </c>
      <c r="AC698">
        <f t="shared" si="228"/>
        <v>10.513194932150235</v>
      </c>
      <c r="AD698">
        <f t="shared" si="229"/>
        <v>-1.3950657307810364</v>
      </c>
    </row>
    <row r="699" spans="1:30">
      <c r="A699">
        <v>697</v>
      </c>
      <c r="B699">
        <v>11.649044456059567</v>
      </c>
      <c r="C699">
        <f t="shared" si="233"/>
        <v>10.624520121913136</v>
      </c>
      <c r="D699">
        <f t="shared" si="233"/>
        <v>11.554936829635881</v>
      </c>
      <c r="E699">
        <f t="shared" si="234"/>
        <v>10.82523831765924</v>
      </c>
      <c r="F699">
        <f t="shared" si="237"/>
        <v>11.035162903079234</v>
      </c>
      <c r="G699">
        <f t="shared" si="237"/>
        <v>9.9676718217245277</v>
      </c>
      <c r="H699">
        <f t="shared" si="237"/>
        <v>10.084003716742954</v>
      </c>
      <c r="I699">
        <f t="shared" si="220"/>
        <v>-1.565040739316613</v>
      </c>
      <c r="J699">
        <f t="shared" si="235"/>
        <v>11.027800452690322</v>
      </c>
      <c r="K699">
        <f t="shared" si="239"/>
        <v>10.390175055701334</v>
      </c>
      <c r="L699">
        <f t="shared" si="239"/>
        <v>10.093874128796951</v>
      </c>
      <c r="M699">
        <f t="shared" si="239"/>
        <v>10.277916071118927</v>
      </c>
      <c r="N699">
        <f t="shared" si="221"/>
        <v>-1.3711283849406399</v>
      </c>
      <c r="O699">
        <f t="shared" si="236"/>
        <v>11.152049253364172</v>
      </c>
      <c r="P699">
        <f t="shared" si="240"/>
        <v>10.402530658446661</v>
      </c>
      <c r="Q699">
        <f t="shared" si="238"/>
        <v>10.7181088718196</v>
      </c>
      <c r="R699">
        <f t="shared" si="241"/>
        <v>10.19666990416273</v>
      </c>
      <c r="S699">
        <f t="shared" si="241"/>
        <v>10.437332150054059</v>
      </c>
      <c r="T699">
        <f t="shared" si="222"/>
        <v>-1.2117123060055075</v>
      </c>
      <c r="U699">
        <f t="shared" si="223"/>
        <v>1.2117123060055075</v>
      </c>
      <c r="V699">
        <f t="shared" si="230"/>
        <v>10.680361694483754</v>
      </c>
      <c r="W699">
        <f t="shared" si="224"/>
        <v>0.96868276157581334</v>
      </c>
      <c r="X699">
        <f t="shared" si="231"/>
        <v>10.554508605250668</v>
      </c>
      <c r="Y699">
        <f t="shared" si="225"/>
        <v>1.0945358508088994</v>
      </c>
      <c r="Z699">
        <f t="shared" si="232"/>
        <v>10.521025016415967</v>
      </c>
      <c r="AA699">
        <f t="shared" si="226"/>
        <v>1.1280194396435999</v>
      </c>
      <c r="AB699">
        <f t="shared" si="227"/>
        <v>2.2647244560595663</v>
      </c>
      <c r="AC699">
        <f t="shared" si="228"/>
        <v>10.487296103155034</v>
      </c>
      <c r="AD699">
        <f t="shared" si="229"/>
        <v>1.1617483529045334</v>
      </c>
    </row>
    <row r="700" spans="1:30">
      <c r="A700">
        <v>698</v>
      </c>
      <c r="B700">
        <v>10.450409918355618</v>
      </c>
      <c r="C700">
        <f t="shared" si="233"/>
        <v>10.383586828714382</v>
      </c>
      <c r="D700">
        <f t="shared" si="233"/>
        <v>11.151656498858697</v>
      </c>
      <c r="E700">
        <f t="shared" si="234"/>
        <v>10.966028233295281</v>
      </c>
      <c r="F700">
        <f t="shared" si="237"/>
        <v>11.106582533638992</v>
      </c>
      <c r="G700">
        <f t="shared" si="237"/>
        <v>10.430879699451317</v>
      </c>
      <c r="H700">
        <f t="shared" si="237"/>
        <v>9.9639326645676149</v>
      </c>
      <c r="I700">
        <f t="shared" si="220"/>
        <v>-0.48647725378800288</v>
      </c>
      <c r="J700">
        <f t="shared" si="235"/>
        <v>11.03118985225932</v>
      </c>
      <c r="K700">
        <f t="shared" si="239"/>
        <v>10.768161300601486</v>
      </c>
      <c r="L700">
        <f t="shared" si="239"/>
        <v>10.133031549148361</v>
      </c>
      <c r="M700">
        <f t="shared" si="239"/>
        <v>10.183958212885116</v>
      </c>
      <c r="N700">
        <f t="shared" si="221"/>
        <v>-0.26645170547050157</v>
      </c>
      <c r="O700">
        <f t="shared" si="236"/>
        <v>10.915033865478581</v>
      </c>
      <c r="P700">
        <f t="shared" si="240"/>
        <v>10.644569958752138</v>
      </c>
      <c r="Q700">
        <f t="shared" si="238"/>
        <v>10.898089990044495</v>
      </c>
      <c r="R700">
        <f t="shared" si="241"/>
        <v>10.345510633864436</v>
      </c>
      <c r="S700">
        <f t="shared" si="241"/>
        <v>10.324613717392593</v>
      </c>
      <c r="T700">
        <f t="shared" si="222"/>
        <v>-0.12579620096302513</v>
      </c>
      <c r="U700">
        <f t="shared" si="223"/>
        <v>0.12579620096302513</v>
      </c>
      <c r="V700">
        <f t="shared" si="230"/>
        <v>10.777229970641335</v>
      </c>
      <c r="W700">
        <f t="shared" si="224"/>
        <v>-0.32682005228571676</v>
      </c>
      <c r="X700">
        <f t="shared" si="231"/>
        <v>10.773415775412447</v>
      </c>
      <c r="Y700">
        <f t="shared" si="225"/>
        <v>-0.32300585705682927</v>
      </c>
      <c r="Z700">
        <f t="shared" si="232"/>
        <v>10.859430848309048</v>
      </c>
      <c r="AA700">
        <f t="shared" si="226"/>
        <v>-0.40902092995342976</v>
      </c>
      <c r="AB700">
        <f t="shared" si="227"/>
        <v>1.0605299183556181</v>
      </c>
      <c r="AC700">
        <f t="shared" si="228"/>
        <v>10.460659639539628</v>
      </c>
      <c r="AD700">
        <f t="shared" si="229"/>
        <v>-1.0249721184010241E-2</v>
      </c>
    </row>
    <row r="701" spans="1:30">
      <c r="A701">
        <v>699</v>
      </c>
      <c r="B701">
        <v>11.083006757510336</v>
      </c>
      <c r="C701">
        <f t="shared" si="233"/>
        <v>11.049727187207592</v>
      </c>
      <c r="D701">
        <f t="shared" si="233"/>
        <v>10.504053475313759</v>
      </c>
      <c r="E701">
        <f t="shared" si="234"/>
        <v>10.405861191928127</v>
      </c>
      <c r="F701">
        <f t="shared" si="237"/>
        <v>11.151874695806184</v>
      </c>
      <c r="G701">
        <f t="shared" si="237"/>
        <v>10.831926493330906</v>
      </c>
      <c r="H701">
        <f t="shared" si="237"/>
        <v>10.088808560953996</v>
      </c>
      <c r="I701">
        <f t="shared" si="220"/>
        <v>-0.99419819655634001</v>
      </c>
      <c r="J701">
        <f t="shared" si="235"/>
        <v>10.837123654560365</v>
      </c>
      <c r="K701">
        <f t="shared" si="239"/>
        <v>10.994808780608004</v>
      </c>
      <c r="L701">
        <f t="shared" si="239"/>
        <v>10.313888571304416</v>
      </c>
      <c r="M701">
        <f t="shared" si="239"/>
        <v>10.141440929863908</v>
      </c>
      <c r="N701">
        <f t="shared" si="221"/>
        <v>-0.94156582764642849</v>
      </c>
      <c r="O701">
        <f t="shared" si="236"/>
        <v>10.886300275150358</v>
      </c>
      <c r="P701">
        <f t="shared" si="240"/>
        <v>10.839620381842158</v>
      </c>
      <c r="Q701">
        <f t="shared" si="238"/>
        <v>11.03510936419608</v>
      </c>
      <c r="R701">
        <f t="shared" si="241"/>
        <v>10.47864596137863</v>
      </c>
      <c r="S701">
        <f t="shared" si="241"/>
        <v>10.280575946379118</v>
      </c>
      <c r="T701">
        <f t="shared" si="222"/>
        <v>-0.80243081113121839</v>
      </c>
      <c r="U701">
        <f t="shared" si="223"/>
        <v>0.80243081113121839</v>
      </c>
      <c r="V701">
        <f t="shared" si="230"/>
        <v>10.744547965412764</v>
      </c>
      <c r="W701">
        <f t="shared" si="224"/>
        <v>0.33845879209757257</v>
      </c>
      <c r="X701">
        <f t="shared" si="231"/>
        <v>10.708814604001081</v>
      </c>
      <c r="Y701">
        <f t="shared" si="225"/>
        <v>0.37419215350925583</v>
      </c>
      <c r="Z701">
        <f t="shared" si="232"/>
        <v>10.73672456932302</v>
      </c>
      <c r="AA701">
        <f t="shared" si="226"/>
        <v>0.34628218818731682</v>
      </c>
      <c r="AB701">
        <f t="shared" si="227"/>
        <v>1.6875667575103357</v>
      </c>
      <c r="AC701">
        <f t="shared" si="228"/>
        <v>10.433293148478919</v>
      </c>
      <c r="AD701">
        <f t="shared" si="229"/>
        <v>0.6497136090314175</v>
      </c>
    </row>
    <row r="702" spans="1:30">
      <c r="A702">
        <v>700</v>
      </c>
      <c r="B702">
        <v>10.859634764246554</v>
      </c>
      <c r="C702">
        <f t="shared" si="233"/>
        <v>10.766708337932977</v>
      </c>
      <c r="D702">
        <f t="shared" si="233"/>
        <v>10.716657007960986</v>
      </c>
      <c r="E702">
        <f t="shared" si="234"/>
        <v>11.060820377308508</v>
      </c>
      <c r="F702">
        <f t="shared" si="237"/>
        <v>10.732375914294217</v>
      </c>
      <c r="G702">
        <f t="shared" si="237"/>
        <v>11.097873377508137</v>
      </c>
      <c r="H702">
        <f t="shared" si="237"/>
        <v>10.410159338168917</v>
      </c>
      <c r="I702">
        <f t="shared" si="220"/>
        <v>-0.4494754260776368</v>
      </c>
      <c r="J702">
        <f t="shared" si="235"/>
        <v>10.57514758332368</v>
      </c>
      <c r="K702">
        <f t="shared" si="239"/>
        <v>11.012863882554889</v>
      </c>
      <c r="L702">
        <f t="shared" si="239"/>
        <v>10.564886357573346</v>
      </c>
      <c r="M702">
        <f t="shared" si="239"/>
        <v>10.169393196969525</v>
      </c>
      <c r="N702">
        <f t="shared" si="221"/>
        <v>-0.69024156727702923</v>
      </c>
      <c r="O702">
        <f t="shared" si="236"/>
        <v>10.632045019508254</v>
      </c>
      <c r="P702">
        <f t="shared" si="240"/>
        <v>10.947877459348854</v>
      </c>
      <c r="Q702">
        <f t="shared" si="238"/>
        <v>10.943029347483872</v>
      </c>
      <c r="R702">
        <f t="shared" si="241"/>
        <v>10.612060247587886</v>
      </c>
      <c r="S702">
        <f t="shared" si="241"/>
        <v>10.284466204323769</v>
      </c>
      <c r="T702">
        <f t="shared" si="222"/>
        <v>-0.57516855992278515</v>
      </c>
      <c r="U702">
        <f t="shared" si="223"/>
        <v>0.57516855992278515</v>
      </c>
      <c r="V702">
        <f t="shared" si="230"/>
        <v>10.778393844622521</v>
      </c>
      <c r="W702">
        <f t="shared" si="224"/>
        <v>8.1240919624033126E-2</v>
      </c>
      <c r="X702">
        <f t="shared" si="231"/>
        <v>10.783653034702931</v>
      </c>
      <c r="Y702">
        <f t="shared" si="225"/>
        <v>7.5981729543622478E-2</v>
      </c>
      <c r="Z702">
        <f t="shared" si="232"/>
        <v>10.840609225779215</v>
      </c>
      <c r="AA702">
        <f t="shared" si="226"/>
        <v>1.9025538467339231E-2</v>
      </c>
      <c r="AB702">
        <f t="shared" si="227"/>
        <v>1.458634764246554</v>
      </c>
      <c r="AC702">
        <f t="shared" si="228"/>
        <v>10.405204439928532</v>
      </c>
      <c r="AD702">
        <f t="shared" si="229"/>
        <v>0.45443032431802166</v>
      </c>
    </row>
    <row r="703" spans="1:30">
      <c r="A703">
        <v>701</v>
      </c>
      <c r="B703">
        <v>10.756292699699154</v>
      </c>
      <c r="C703">
        <f t="shared" si="233"/>
        <v>10.971320760878445</v>
      </c>
      <c r="D703">
        <f t="shared" si="233"/>
        <v>10.908217762570285</v>
      </c>
      <c r="E703">
        <f t="shared" si="234"/>
        <v>10.797683813370837</v>
      </c>
      <c r="F703">
        <f t="shared" si="237"/>
        <v>10.810903267510639</v>
      </c>
      <c r="G703">
        <f t="shared" si="237"/>
        <v>10.996944381246465</v>
      </c>
      <c r="H703">
        <f t="shared" si="237"/>
        <v>10.786893190096785</v>
      </c>
      <c r="I703">
        <f t="shared" si="220"/>
        <v>3.0600490397631575E-2</v>
      </c>
      <c r="J703">
        <f t="shared" si="235"/>
        <v>11.010523974043018</v>
      </c>
      <c r="K703">
        <f t="shared" si="239"/>
        <v>10.867815385708422</v>
      </c>
      <c r="L703">
        <f t="shared" si="239"/>
        <v>10.791502254866428</v>
      </c>
      <c r="M703">
        <f t="shared" si="239"/>
        <v>10.276420151705768</v>
      </c>
      <c r="N703">
        <f t="shared" si="221"/>
        <v>-0.47987254799338608</v>
      </c>
      <c r="O703">
        <f t="shared" si="236"/>
        <v>10.959677719174245</v>
      </c>
      <c r="P703">
        <f t="shared" si="240"/>
        <v>10.866665502068567</v>
      </c>
      <c r="Q703">
        <f t="shared" si="238"/>
        <v>10.881856023333057</v>
      </c>
      <c r="R703">
        <f t="shared" si="241"/>
        <v>10.731877621697214</v>
      </c>
      <c r="S703">
        <f t="shared" si="241"/>
        <v>10.332051077759461</v>
      </c>
      <c r="T703">
        <f t="shared" si="222"/>
        <v>-0.42424162193969295</v>
      </c>
      <c r="U703">
        <f t="shared" si="223"/>
        <v>0.42424162193969295</v>
      </c>
      <c r="V703">
        <f t="shared" si="230"/>
        <v>10.786517936584923</v>
      </c>
      <c r="W703">
        <f t="shared" si="224"/>
        <v>-3.0225236885769391E-2</v>
      </c>
      <c r="X703">
        <f t="shared" si="231"/>
        <v>10.798849380611657</v>
      </c>
      <c r="Y703">
        <f t="shared" si="225"/>
        <v>-4.2556680912502642E-2</v>
      </c>
      <c r="Z703">
        <f t="shared" si="232"/>
        <v>10.846316887319416</v>
      </c>
      <c r="AA703">
        <f t="shared" si="226"/>
        <v>-9.0024187620262097E-2</v>
      </c>
      <c r="AB703">
        <f t="shared" si="227"/>
        <v>1.3497326996991532</v>
      </c>
      <c r="AC703">
        <f t="shared" si="228"/>
        <v>10.376401524455407</v>
      </c>
      <c r="AD703">
        <f t="shared" si="229"/>
        <v>0.37989117524374727</v>
      </c>
    </row>
    <row r="704" spans="1:30">
      <c r="A704">
        <v>702</v>
      </c>
      <c r="B704">
        <v>12.382872990286454</v>
      </c>
      <c r="C704">
        <f t="shared" si="233"/>
        <v>10.807963731972855</v>
      </c>
      <c r="D704">
        <f t="shared" si="233"/>
        <v>10.869014549405712</v>
      </c>
      <c r="E704">
        <f t="shared" si="234"/>
        <v>10.899644740485348</v>
      </c>
      <c r="F704">
        <f t="shared" si="237"/>
        <v>10.754788460869158</v>
      </c>
      <c r="G704">
        <f t="shared" si="237"/>
        <v>10.898384625870348</v>
      </c>
      <c r="H704">
        <f t="shared" si="237"/>
        <v>10.975581417361836</v>
      </c>
      <c r="I704">
        <f t="shared" si="220"/>
        <v>-1.4072915729246187</v>
      </c>
      <c r="J704">
        <f t="shared" si="235"/>
        <v>10.787336034952915</v>
      </c>
      <c r="K704">
        <f t="shared" si="239"/>
        <v>10.863496266046596</v>
      </c>
      <c r="L704">
        <f t="shared" si="239"/>
        <v>10.910912337368199</v>
      </c>
      <c r="M704">
        <f t="shared" si="239"/>
        <v>10.450827183223138</v>
      </c>
      <c r="N704">
        <f t="shared" si="221"/>
        <v>-1.9320458070633162</v>
      </c>
      <c r="O704">
        <f t="shared" si="236"/>
        <v>11.106443426019624</v>
      </c>
      <c r="P704">
        <f t="shared" si="240"/>
        <v>10.909021226535121</v>
      </c>
      <c r="Q704">
        <f t="shared" si="238"/>
        <v>10.652752966206737</v>
      </c>
      <c r="R704">
        <f t="shared" si="241"/>
        <v>10.853142973939006</v>
      </c>
      <c r="S704">
        <f t="shared" si="241"/>
        <v>10.4166413437526</v>
      </c>
      <c r="T704">
        <f t="shared" si="222"/>
        <v>-1.9662316465338545</v>
      </c>
      <c r="U704">
        <f t="shared" si="223"/>
        <v>1.9662316465338545</v>
      </c>
      <c r="V704">
        <f t="shared" si="230"/>
        <v>10.783495412896347</v>
      </c>
      <c r="W704">
        <f t="shared" si="224"/>
        <v>1.5993775773901078</v>
      </c>
      <c r="X704">
        <f t="shared" si="231"/>
        <v>10.790338044429156</v>
      </c>
      <c r="Y704">
        <f t="shared" si="225"/>
        <v>1.5925349458572988</v>
      </c>
      <c r="Z704">
        <f t="shared" si="232"/>
        <v>10.819309631033338</v>
      </c>
      <c r="AA704">
        <f t="shared" si="226"/>
        <v>1.5635633592531164</v>
      </c>
      <c r="AB704">
        <f t="shared" si="227"/>
        <v>2.9707529902864547</v>
      </c>
      <c r="AC704">
        <f t="shared" si="228"/>
        <v>10.346892611012708</v>
      </c>
      <c r="AD704">
        <f t="shared" si="229"/>
        <v>2.035980379273747</v>
      </c>
    </row>
    <row r="705" spans="1:30">
      <c r="A705">
        <v>703</v>
      </c>
      <c r="B705">
        <v>11.71839291659758</v>
      </c>
      <c r="C705">
        <f t="shared" si="233"/>
        <v>11.569582844992805</v>
      </c>
      <c r="D705">
        <f t="shared" si="233"/>
        <v>10.88964224642565</v>
      </c>
      <c r="E705">
        <f t="shared" si="234"/>
        <v>11.332933484744055</v>
      </c>
      <c r="F705">
        <f t="shared" si="237"/>
        <v>10.919382977054896</v>
      </c>
      <c r="G705">
        <f t="shared" si="237"/>
        <v>10.766022547558004</v>
      </c>
      <c r="H705">
        <f t="shared" si="237"/>
        <v>10.997734128208316</v>
      </c>
      <c r="I705">
        <f t="shared" si="220"/>
        <v>-0.72065878838926345</v>
      </c>
      <c r="J705">
        <f t="shared" si="235"/>
        <v>11.270451802935625</v>
      </c>
      <c r="K705">
        <f t="shared" si="239"/>
        <v>10.802532811719995</v>
      </c>
      <c r="L705">
        <f t="shared" si="239"/>
        <v>10.934746078729479</v>
      </c>
      <c r="M705">
        <f t="shared" si="239"/>
        <v>10.645297380278098</v>
      </c>
      <c r="N705">
        <f t="shared" si="221"/>
        <v>-1.0730955363194816</v>
      </c>
      <c r="O705">
        <f t="shared" si="236"/>
        <v>11.360040025668017</v>
      </c>
      <c r="P705">
        <f t="shared" si="240"/>
        <v>10.899900061066212</v>
      </c>
      <c r="Q705">
        <f t="shared" si="238"/>
        <v>11.19687693102628</v>
      </c>
      <c r="R705">
        <f t="shared" si="241"/>
        <v>10.85482442718064</v>
      </c>
      <c r="S705">
        <f t="shared" si="241"/>
        <v>10.536317890438317</v>
      </c>
      <c r="T705">
        <f t="shared" si="222"/>
        <v>-1.1820750261592625</v>
      </c>
      <c r="U705">
        <f t="shared" si="223"/>
        <v>1.1820750261592625</v>
      </c>
      <c r="V705">
        <f t="shared" si="230"/>
        <v>10.943433170635357</v>
      </c>
      <c r="W705">
        <f t="shared" si="224"/>
        <v>0.77495974596222261</v>
      </c>
      <c r="X705">
        <f t="shared" si="231"/>
        <v>11.108845033600616</v>
      </c>
      <c r="Y705">
        <f t="shared" si="225"/>
        <v>0.60954788299696361</v>
      </c>
      <c r="Z705">
        <f t="shared" si="232"/>
        <v>11.288378638809274</v>
      </c>
      <c r="AA705">
        <f t="shared" si="226"/>
        <v>0.43001427778830603</v>
      </c>
      <c r="AB705">
        <f t="shared" si="227"/>
        <v>2.300712916597579</v>
      </c>
      <c r="AC705">
        <f t="shared" si="228"/>
        <v>10.316686104659595</v>
      </c>
      <c r="AD705">
        <f t="shared" si="229"/>
        <v>1.4017068119379843</v>
      </c>
    </row>
    <row r="706" spans="1:30">
      <c r="A706">
        <v>704</v>
      </c>
      <c r="B706">
        <v>11.221731544724486</v>
      </c>
      <c r="C706">
        <f t="shared" si="233"/>
        <v>12.050632953442017</v>
      </c>
      <c r="D706">
        <f t="shared" si="233"/>
        <v>11.18877328848283</v>
      </c>
      <c r="E706">
        <f t="shared" si="234"/>
        <v>11.619186202194397</v>
      </c>
      <c r="F706">
        <f t="shared" si="237"/>
        <v>11.010087346200081</v>
      </c>
      <c r="G706">
        <f t="shared" si="237"/>
        <v>10.828358235144897</v>
      </c>
      <c r="H706">
        <f t="shared" si="237"/>
        <v>10.887117184891606</v>
      </c>
      <c r="I706">
        <f t="shared" si="220"/>
        <v>-0.33461435983288013</v>
      </c>
      <c r="J706">
        <f t="shared" si="235"/>
        <v>11.429298342707437</v>
      </c>
      <c r="K706">
        <f t="shared" si="239"/>
        <v>10.910864848813809</v>
      </c>
      <c r="L706">
        <f t="shared" si="239"/>
        <v>10.886677086507476</v>
      </c>
      <c r="M706">
        <f t="shared" si="239"/>
        <v>10.800511757134363</v>
      </c>
      <c r="N706">
        <f t="shared" si="221"/>
        <v>-0.42121978759012357</v>
      </c>
      <c r="O706">
        <f t="shared" si="236"/>
        <v>11.387784983110846</v>
      </c>
      <c r="P706">
        <f t="shared" si="240"/>
        <v>10.988901293104098</v>
      </c>
      <c r="Q706">
        <f t="shared" si="238"/>
        <v>11.208435007782617</v>
      </c>
      <c r="R706">
        <f t="shared" si="241"/>
        <v>10.934619103715086</v>
      </c>
      <c r="S706">
        <f t="shared" si="241"/>
        <v>10.646010310941302</v>
      </c>
      <c r="T706">
        <f t="shared" si="222"/>
        <v>-0.57572123378318452</v>
      </c>
      <c r="U706">
        <f t="shared" si="223"/>
        <v>0.57572123378318452</v>
      </c>
      <c r="V706">
        <f t="shared" si="230"/>
        <v>11.02092914523158</v>
      </c>
      <c r="W706">
        <f t="shared" si="224"/>
        <v>0.20080239949290579</v>
      </c>
      <c r="X706">
        <f t="shared" si="231"/>
        <v>11.230754610200009</v>
      </c>
      <c r="Y706">
        <f t="shared" si="225"/>
        <v>-9.0230654755227846E-3</v>
      </c>
      <c r="Z706">
        <f t="shared" si="232"/>
        <v>11.417382922145766</v>
      </c>
      <c r="AA706">
        <f t="shared" si="226"/>
        <v>-0.1956513774212798</v>
      </c>
      <c r="AB706">
        <f t="shared" si="227"/>
        <v>1.7984915447244862</v>
      </c>
      <c r="AC706">
        <f t="shared" si="228"/>
        <v>10.285790604226575</v>
      </c>
      <c r="AD706">
        <f t="shared" si="229"/>
        <v>0.9359409404979111</v>
      </c>
    </row>
    <row r="707" spans="1:30">
      <c r="A707">
        <v>705</v>
      </c>
      <c r="B707">
        <v>10.842949247418575</v>
      </c>
      <c r="C707">
        <f t="shared" si="233"/>
        <v>11.470062230661032</v>
      </c>
      <c r="D707">
        <f t="shared" si="233"/>
        <v>11.81010789921741</v>
      </c>
      <c r="E707">
        <f t="shared" si="234"/>
        <v>11.774332483869507</v>
      </c>
      <c r="F707">
        <f t="shared" si="237"/>
        <v>11.283921475807935</v>
      </c>
      <c r="G707">
        <f t="shared" si="237"/>
        <v>10.894752928041378</v>
      </c>
      <c r="H707">
        <f t="shared" si="237"/>
        <v>10.83092180285775</v>
      </c>
      <c r="I707">
        <f t="shared" ref="I707:I747" si="242">H707-B707</f>
        <v>-1.2027444560825273E-2</v>
      </c>
      <c r="J707">
        <f t="shared" si="235"/>
        <v>11.519822537826919</v>
      </c>
      <c r="K707">
        <f t="shared" si="239"/>
        <v>11.124402538659748</v>
      </c>
      <c r="L707">
        <f t="shared" si="239"/>
        <v>10.861177328072205</v>
      </c>
      <c r="M707">
        <f t="shared" si="239"/>
        <v>10.880959439367896</v>
      </c>
      <c r="N707">
        <f t="shared" ref="N707:N747" si="243">M707-B707</f>
        <v>3.8010191949320316E-2</v>
      </c>
      <c r="O707">
        <f t="shared" si="236"/>
        <v>11.384447879745249</v>
      </c>
      <c r="P707">
        <f t="shared" si="240"/>
        <v>11.089198234696198</v>
      </c>
      <c r="Q707">
        <f t="shared" si="238"/>
        <v>11.336988612177429</v>
      </c>
      <c r="R707">
        <f t="shared" si="241"/>
        <v>10.986343273338107</v>
      </c>
      <c r="S707">
        <f t="shared" si="241"/>
        <v>10.744195055916412</v>
      </c>
      <c r="T707">
        <f t="shared" ref="T707:T747" si="244">S707-B707</f>
        <v>-9.8754191502163025E-2</v>
      </c>
      <c r="U707">
        <f t="shared" ref="U707:U747" si="245">B707-S707</f>
        <v>9.8754191502163025E-2</v>
      </c>
      <c r="V707">
        <f t="shared" si="230"/>
        <v>11.041009385180871</v>
      </c>
      <c r="W707">
        <f t="shared" ref="W707:W747" si="246">B707-V707</f>
        <v>-0.1980601377622957</v>
      </c>
      <c r="X707">
        <f t="shared" si="231"/>
        <v>11.228949997104904</v>
      </c>
      <c r="Y707">
        <f t="shared" ref="Y707:Y747" si="247">B707-X707</f>
        <v>-0.38600074968632825</v>
      </c>
      <c r="Z707">
        <f t="shared" si="232"/>
        <v>11.358687508919381</v>
      </c>
      <c r="AA707">
        <f t="shared" ref="AA707:AA747" si="248">B707-Z707</f>
        <v>-0.51573826150080571</v>
      </c>
      <c r="AB707">
        <f t="shared" ref="AB707:AB747" si="249">B707- ((0.00556 * A707)  +5.509)</f>
        <v>1.4141492474185746</v>
      </c>
      <c r="AC707">
        <f t="shared" ref="AC707:AC747" si="250">0.00075*A707 + 5.509 + ($AI$6*SIN((A707/$AI$7)+ $AI$8))+ ($AI$6*COS((A707/$AI$7) + $AI$8))+ $AI$9</f>
        <v>10.254214899926946</v>
      </c>
      <c r="AD707">
        <f t="shared" ref="AD707:AD747" si="251">B707-AC707</f>
        <v>0.5887343474916289</v>
      </c>
    </row>
    <row r="708" spans="1:30">
      <c r="A708">
        <v>706</v>
      </c>
      <c r="B708">
        <v>12.047432218354611</v>
      </c>
      <c r="C708">
        <f t="shared" si="233"/>
        <v>11.032340396071531</v>
      </c>
      <c r="D708">
        <f t="shared" si="233"/>
        <v>11.760347592051524</v>
      </c>
      <c r="E708">
        <f t="shared" si="234"/>
        <v>11.261024569580213</v>
      </c>
      <c r="F708">
        <f t="shared" si="237"/>
        <v>11.575484056935986</v>
      </c>
      <c r="G708">
        <f t="shared" si="237"/>
        <v>11.071130599687637</v>
      </c>
      <c r="H708">
        <f t="shared" si="237"/>
        <v>10.829711236914759</v>
      </c>
      <c r="I708">
        <f t="shared" si="242"/>
        <v>-1.217720981439852</v>
      </c>
      <c r="J708">
        <f t="shared" si="235"/>
        <v>11.541486674756774</v>
      </c>
      <c r="K708">
        <f t="shared" si="239"/>
        <v>11.251727179605725</v>
      </c>
      <c r="L708">
        <f t="shared" si="239"/>
        <v>10.925324116310037</v>
      </c>
      <c r="M708">
        <f t="shared" si="239"/>
        <v>10.898378207669339</v>
      </c>
      <c r="N708">
        <f t="shared" si="243"/>
        <v>-1.1490540106852727</v>
      </c>
      <c r="O708">
        <f t="shared" si="236"/>
        <v>11.64267578347634</v>
      </c>
      <c r="P708">
        <f t="shared" si="240"/>
        <v>11.239678806743598</v>
      </c>
      <c r="Q708">
        <f t="shared" si="238"/>
        <v>11.296979027162136</v>
      </c>
      <c r="R708">
        <f t="shared" si="241"/>
        <v>11.036656481334999</v>
      </c>
      <c r="S708">
        <f t="shared" si="241"/>
        <v>10.828811274576324</v>
      </c>
      <c r="T708">
        <f t="shared" si="244"/>
        <v>-1.2186209437782871</v>
      </c>
      <c r="U708">
        <f t="shared" si="245"/>
        <v>1.2186209437782871</v>
      </c>
      <c r="V708">
        <f t="shared" ref="V708:V747" si="252">V707+0.1*(B707-V707)</f>
        <v>11.021203371404642</v>
      </c>
      <c r="W708">
        <f t="shared" si="246"/>
        <v>1.0262288469499694</v>
      </c>
      <c r="X708">
        <f t="shared" ref="X708:X747" si="253">X707+0.2*(B707-X707)</f>
        <v>11.151749847167638</v>
      </c>
      <c r="Y708">
        <f t="shared" si="247"/>
        <v>0.89568237118697347</v>
      </c>
      <c r="Z708">
        <f t="shared" ref="Z708:Z747" si="254">Z707+0.3*(B707-Z707)</f>
        <v>11.20396603046914</v>
      </c>
      <c r="AA708">
        <f t="shared" si="248"/>
        <v>0.8434661878854719</v>
      </c>
      <c r="AB708">
        <f t="shared" si="249"/>
        <v>2.6130722183546116</v>
      </c>
      <c r="AC708">
        <f t="shared" si="250"/>
        <v>10.221967970915159</v>
      </c>
      <c r="AD708">
        <f t="shared" si="251"/>
        <v>1.8254642474394522</v>
      </c>
    </row>
    <row r="709" spans="1:30">
      <c r="A709">
        <v>707</v>
      </c>
      <c r="B709">
        <v>10.477449455637981</v>
      </c>
      <c r="C709">
        <f t="shared" ref="C709:D747" si="255">AVERAGE(B707:B708)</f>
        <v>11.445190732886594</v>
      </c>
      <c r="D709">
        <f t="shared" si="255"/>
        <v>11.25120131336628</v>
      </c>
      <c r="E709">
        <f t="shared" si="234"/>
        <v>11.370704336832558</v>
      </c>
      <c r="F709">
        <f t="shared" si="237"/>
        <v>11.55151441854804</v>
      </c>
      <c r="G709">
        <f t="shared" si="237"/>
        <v>11.289830959648</v>
      </c>
      <c r="H709">
        <f t="shared" si="237"/>
        <v>10.93141392095797</v>
      </c>
      <c r="I709">
        <f t="shared" si="242"/>
        <v>0.45396446531998969</v>
      </c>
      <c r="J709">
        <f t="shared" si="235"/>
        <v>11.457626481773811</v>
      </c>
      <c r="K709">
        <f t="shared" si="239"/>
        <v>11.440264839556688</v>
      </c>
      <c r="L709">
        <f t="shared" si="239"/>
        <v>11.022381844699819</v>
      </c>
      <c r="M709">
        <f t="shared" si="239"/>
        <v>10.901981152404799</v>
      </c>
      <c r="N709">
        <f t="shared" si="243"/>
        <v>0.42453169676681846</v>
      </c>
      <c r="O709">
        <f t="shared" si="236"/>
        <v>11.261591076546646</v>
      </c>
      <c r="P709">
        <f t="shared" si="240"/>
        <v>11.376278419604017</v>
      </c>
      <c r="Q709">
        <f t="shared" si="238"/>
        <v>11.494945269513478</v>
      </c>
      <c r="R709">
        <f t="shared" si="241"/>
        <v>11.09564809461471</v>
      </c>
      <c r="S709">
        <f t="shared" si="241"/>
        <v>10.899577313534175</v>
      </c>
      <c r="T709">
        <f t="shared" si="244"/>
        <v>0.42212785789619467</v>
      </c>
      <c r="U709">
        <f t="shared" si="245"/>
        <v>-0.42212785789619467</v>
      </c>
      <c r="V709">
        <f t="shared" si="252"/>
        <v>11.123826256099639</v>
      </c>
      <c r="W709">
        <f t="shared" si="246"/>
        <v>-0.64637680046165791</v>
      </c>
      <c r="X709">
        <f t="shared" si="253"/>
        <v>11.330886321405032</v>
      </c>
      <c r="Y709">
        <f t="shared" si="247"/>
        <v>-0.85343686576705124</v>
      </c>
      <c r="Z709">
        <f t="shared" si="254"/>
        <v>11.45700588683478</v>
      </c>
      <c r="AA709">
        <f t="shared" si="248"/>
        <v>-0.97955643119679969</v>
      </c>
      <c r="AB709">
        <f t="shared" si="249"/>
        <v>1.0375294556379799</v>
      </c>
      <c r="AC709">
        <f t="shared" si="250"/>
        <v>10.189058982792668</v>
      </c>
      <c r="AD709">
        <f t="shared" si="251"/>
        <v>0.28839047284531283</v>
      </c>
    </row>
    <row r="710" spans="1:30">
      <c r="A710">
        <v>708</v>
      </c>
      <c r="B710">
        <v>11.39269426084592</v>
      </c>
      <c r="C710">
        <f t="shared" si="255"/>
        <v>11.262440836996296</v>
      </c>
      <c r="D710">
        <f t="shared" si="255"/>
        <v>11.238765564479063</v>
      </c>
      <c r="E710">
        <f t="shared" ref="E710:E747" si="256">AVERAGE(B707:B709)</f>
        <v>11.122610307137057</v>
      </c>
      <c r="F710">
        <f t="shared" si="237"/>
        <v>11.468687130094095</v>
      </c>
      <c r="G710">
        <f t="shared" si="237"/>
        <v>11.470306650430652</v>
      </c>
      <c r="H710">
        <f t="shared" si="237"/>
        <v>11.085238162459005</v>
      </c>
      <c r="I710">
        <f t="shared" si="242"/>
        <v>-0.30745609838691479</v>
      </c>
      <c r="J710">
        <f t="shared" si="235"/>
        <v>11.147390616533913</v>
      </c>
      <c r="K710">
        <f t="shared" si="239"/>
        <v>11.487058509266234</v>
      </c>
      <c r="L710">
        <f t="shared" si="239"/>
        <v>11.181814851658993</v>
      </c>
      <c r="M710">
        <f t="shared" si="239"/>
        <v>10.923890093897384</v>
      </c>
      <c r="N710">
        <f t="shared" si="243"/>
        <v>-0.46880416694853544</v>
      </c>
      <c r="O710">
        <f t="shared" si="236"/>
        <v>11.196451345396316</v>
      </c>
      <c r="P710">
        <f t="shared" si="240"/>
        <v>11.40730794970942</v>
      </c>
      <c r="Q710">
        <f t="shared" si="238"/>
        <v>11.448471395503281</v>
      </c>
      <c r="R710">
        <f t="shared" si="241"/>
        <v>11.19782963564478</v>
      </c>
      <c r="S710">
        <f t="shared" si="241"/>
        <v>10.960205725687091</v>
      </c>
      <c r="T710">
        <f t="shared" si="244"/>
        <v>-0.43248853515882857</v>
      </c>
      <c r="U710">
        <f t="shared" si="245"/>
        <v>0.43248853515882857</v>
      </c>
      <c r="V710">
        <f t="shared" si="252"/>
        <v>11.059188576053472</v>
      </c>
      <c r="W710">
        <f t="shared" si="246"/>
        <v>0.33350568479244735</v>
      </c>
      <c r="X710">
        <f t="shared" si="253"/>
        <v>11.160198948251622</v>
      </c>
      <c r="Y710">
        <f t="shared" si="247"/>
        <v>0.23249531259429723</v>
      </c>
      <c r="Z710">
        <f t="shared" si="254"/>
        <v>11.163138957475741</v>
      </c>
      <c r="AA710">
        <f t="shared" si="248"/>
        <v>0.22955530337017827</v>
      </c>
      <c r="AB710">
        <f t="shared" si="249"/>
        <v>1.9472142608459198</v>
      </c>
      <c r="AC710">
        <f t="shared" si="250"/>
        <v>10.15549728506196</v>
      </c>
      <c r="AD710">
        <f t="shared" si="251"/>
        <v>1.2371969757839594</v>
      </c>
    </row>
    <row r="711" spans="1:30">
      <c r="A711">
        <v>709</v>
      </c>
      <c r="B711">
        <v>11.89084269163193</v>
      </c>
      <c r="C711">
        <f t="shared" si="255"/>
        <v>10.935071858241951</v>
      </c>
      <c r="D711">
        <f t="shared" si="255"/>
        <v>11.353815784941446</v>
      </c>
      <c r="E711">
        <f t="shared" si="256"/>
        <v>11.30585864494617</v>
      </c>
      <c r="F711">
        <f t="shared" si="237"/>
        <v>11.251446404516608</v>
      </c>
      <c r="G711">
        <f t="shared" si="237"/>
        <v>11.531895201859372</v>
      </c>
      <c r="H711">
        <f t="shared" si="237"/>
        <v>11.277089403255429</v>
      </c>
      <c r="I711">
        <f t="shared" si="242"/>
        <v>-0.61375328837650045</v>
      </c>
      <c r="J711">
        <f t="shared" ref="J711:J747" si="257">AVERAGE(B707:B710)</f>
        <v>11.190131295564273</v>
      </c>
      <c r="K711">
        <f t="shared" si="239"/>
        <v>11.416581577722855</v>
      </c>
      <c r="L711">
        <f t="shared" si="239"/>
        <v>11.3258632667721</v>
      </c>
      <c r="M711">
        <f t="shared" si="239"/>
        <v>10.997674535185263</v>
      </c>
      <c r="N711">
        <f t="shared" si="243"/>
        <v>-0.89316815644666647</v>
      </c>
      <c r="O711">
        <f t="shared" ref="O711:O747" si="258">AVERAGE(B707:B711)</f>
        <v>11.330273574777804</v>
      </c>
      <c r="P711">
        <f t="shared" si="240"/>
        <v>11.374590213655079</v>
      </c>
      <c r="Q711">
        <f t="shared" si="238"/>
        <v>11.283441607263191</v>
      </c>
      <c r="R711">
        <f t="shared" si="241"/>
        <v>11.330449373860871</v>
      </c>
      <c r="S711">
        <f t="shared" si="241"/>
        <v>11.017653502638055</v>
      </c>
      <c r="T711">
        <f t="shared" si="244"/>
        <v>-0.87318918899387477</v>
      </c>
      <c r="U711">
        <f t="shared" si="245"/>
        <v>0.87318918899387477</v>
      </c>
      <c r="V711">
        <f t="shared" si="252"/>
        <v>11.092539144532717</v>
      </c>
      <c r="W711">
        <f t="shared" si="246"/>
        <v>0.79830354709921281</v>
      </c>
      <c r="X711">
        <f t="shared" si="253"/>
        <v>11.206698010770483</v>
      </c>
      <c r="Y711">
        <f t="shared" si="247"/>
        <v>0.68414468086144709</v>
      </c>
      <c r="Z711">
        <f t="shared" si="254"/>
        <v>11.232005548486795</v>
      </c>
      <c r="AA711">
        <f t="shared" si="248"/>
        <v>0.65883714314513497</v>
      </c>
      <c r="AB711">
        <f t="shared" si="249"/>
        <v>2.4398026916319289</v>
      </c>
      <c r="AC711">
        <f t="shared" si="250"/>
        <v>10.121292408529564</v>
      </c>
      <c r="AD711">
        <f t="shared" si="251"/>
        <v>1.7695502831023653</v>
      </c>
    </row>
    <row r="712" spans="1:30">
      <c r="A712">
        <v>710</v>
      </c>
      <c r="B712">
        <v>7.9527146842646186</v>
      </c>
      <c r="C712">
        <f t="shared" si="255"/>
        <v>11.641768476238925</v>
      </c>
      <c r="D712">
        <f t="shared" si="255"/>
        <v>11.098756347619123</v>
      </c>
      <c r="E712">
        <f t="shared" si="256"/>
        <v>11.253662136038612</v>
      </c>
      <c r="F712">
        <f t="shared" si="237"/>
        <v>11.266391096305261</v>
      </c>
      <c r="G712">
        <f t="shared" si="237"/>
        <v>11.423882651052914</v>
      </c>
      <c r="H712">
        <f t="shared" si="237"/>
        <v>11.430677603979341</v>
      </c>
      <c r="I712">
        <f t="shared" si="242"/>
        <v>3.4779629197147219</v>
      </c>
      <c r="J712">
        <f t="shared" si="257"/>
        <v>11.45210465661761</v>
      </c>
      <c r="K712">
        <f t="shared" si="239"/>
        <v>11.334158767157192</v>
      </c>
      <c r="L712">
        <f t="shared" si="239"/>
        <v>11.398908026537875</v>
      </c>
      <c r="M712">
        <f t="shared" si="239"/>
        <v>11.113846019860237</v>
      </c>
      <c r="N712">
        <f t="shared" si="243"/>
        <v>3.1611313355956181</v>
      </c>
      <c r="O712">
        <f t="shared" si="258"/>
        <v>10.752226662147013</v>
      </c>
      <c r="P712">
        <f t="shared" si="240"/>
        <v>11.363087931988471</v>
      </c>
      <c r="Q712">
        <f t="shared" si="238"/>
        <v>11.312183236435585</v>
      </c>
      <c r="R712">
        <f t="shared" si="241"/>
        <v>11.344876819900357</v>
      </c>
      <c r="S712">
        <f t="shared" si="241"/>
        <v>11.096924327084759</v>
      </c>
      <c r="T712">
        <f t="shared" si="244"/>
        <v>3.1442096428201403</v>
      </c>
      <c r="U712">
        <f t="shared" si="245"/>
        <v>-3.1442096428201403</v>
      </c>
      <c r="V712">
        <f t="shared" si="252"/>
        <v>11.172369499242638</v>
      </c>
      <c r="W712">
        <f t="shared" si="246"/>
        <v>-3.2196548149780195</v>
      </c>
      <c r="X712">
        <f t="shared" si="253"/>
        <v>11.343526946942772</v>
      </c>
      <c r="Y712">
        <f t="shared" si="247"/>
        <v>-3.3908122626781534</v>
      </c>
      <c r="Z712">
        <f t="shared" si="254"/>
        <v>11.429656691430335</v>
      </c>
      <c r="AA712">
        <f t="shared" si="248"/>
        <v>-3.4769420071657162</v>
      </c>
      <c r="AB712">
        <f t="shared" si="249"/>
        <v>-1.5038853157353813</v>
      </c>
      <c r="AC712">
        <f t="shared" si="250"/>
        <v>10.086454062658643</v>
      </c>
      <c r="AD712">
        <f t="shared" si="251"/>
        <v>-2.1337393783940239</v>
      </c>
    </row>
    <row r="713" spans="1:30">
      <c r="A713">
        <v>711</v>
      </c>
      <c r="B713">
        <v>8.9861772100516859</v>
      </c>
      <c r="C713">
        <f t="shared" si="255"/>
        <v>9.9217786879482741</v>
      </c>
      <c r="D713">
        <f t="shared" si="255"/>
        <v>11.288420167240439</v>
      </c>
      <c r="E713">
        <f t="shared" si="256"/>
        <v>10.412083878914155</v>
      </c>
      <c r="F713">
        <f t="shared" ref="F713:H747" si="259">AVERAGE(E710:E712)</f>
        <v>11.227377029373947</v>
      </c>
      <c r="G713">
        <f t="shared" si="259"/>
        <v>11.328841543638655</v>
      </c>
      <c r="H713">
        <f t="shared" si="259"/>
        <v>11.475361501114312</v>
      </c>
      <c r="I713">
        <f t="shared" si="242"/>
        <v>2.4891842910626263</v>
      </c>
      <c r="J713">
        <f t="shared" si="257"/>
        <v>10.428425273095113</v>
      </c>
      <c r="K713">
        <f t="shared" si="239"/>
        <v>11.311813262622401</v>
      </c>
      <c r="L713">
        <f t="shared" si="239"/>
        <v>11.419515923425742</v>
      </c>
      <c r="M713">
        <f t="shared" si="239"/>
        <v>11.232241997417196</v>
      </c>
      <c r="N713">
        <f t="shared" si="243"/>
        <v>2.2460647873655102</v>
      </c>
      <c r="O713">
        <f t="shared" si="258"/>
        <v>10.139975660486428</v>
      </c>
      <c r="P713">
        <f t="shared" si="240"/>
        <v>11.236643688468822</v>
      </c>
      <c r="Q713">
        <f t="shared" ref="Q713:Q747" si="260">AVERAGE(B707:B712)</f>
        <v>10.767347093025606</v>
      </c>
      <c r="R713">
        <f t="shared" si="241"/>
        <v>11.362168191342517</v>
      </c>
      <c r="S713">
        <f t="shared" si="241"/>
        <v>11.165300613115638</v>
      </c>
      <c r="T713">
        <f t="shared" si="244"/>
        <v>2.1791234030639526</v>
      </c>
      <c r="U713">
        <f t="shared" si="245"/>
        <v>-2.1791234030639526</v>
      </c>
      <c r="V713">
        <f t="shared" si="252"/>
        <v>10.850404017744836</v>
      </c>
      <c r="W713">
        <f t="shared" si="246"/>
        <v>-1.8642268076931501</v>
      </c>
      <c r="X713">
        <f t="shared" si="253"/>
        <v>10.665364494407141</v>
      </c>
      <c r="Y713">
        <f t="shared" si="247"/>
        <v>-1.6791872843554554</v>
      </c>
      <c r="Z713">
        <f t="shared" si="254"/>
        <v>10.38657408928062</v>
      </c>
      <c r="AA713">
        <f t="shared" si="248"/>
        <v>-1.4003968792289339</v>
      </c>
      <c r="AB713">
        <f t="shared" si="249"/>
        <v>-0.47598278994831489</v>
      </c>
      <c r="AC713">
        <f t="shared" si="250"/>
        <v>10.050992132871997</v>
      </c>
      <c r="AD713">
        <f t="shared" si="251"/>
        <v>-1.064814922820311</v>
      </c>
    </row>
    <row r="714" spans="1:30">
      <c r="A714">
        <v>712</v>
      </c>
      <c r="B714">
        <v>8.1388209344877769</v>
      </c>
      <c r="C714">
        <f t="shared" si="255"/>
        <v>8.4694459471581531</v>
      </c>
      <c r="D714">
        <f t="shared" si="255"/>
        <v>10.781773582093599</v>
      </c>
      <c r="E714">
        <f t="shared" si="256"/>
        <v>9.6099115286494108</v>
      </c>
      <c r="F714">
        <f t="shared" si="259"/>
        <v>10.990534886632979</v>
      </c>
      <c r="G714">
        <f t="shared" si="259"/>
        <v>11.248404843398605</v>
      </c>
      <c r="H714">
        <f t="shared" si="259"/>
        <v>11.428206465516979</v>
      </c>
      <c r="I714">
        <f t="shared" si="242"/>
        <v>3.2893855310292022</v>
      </c>
      <c r="J714">
        <f t="shared" si="257"/>
        <v>10.055607211698538</v>
      </c>
      <c r="K714">
        <f t="shared" si="239"/>
        <v>11.054512960452728</v>
      </c>
      <c r="L714">
        <f t="shared" si="239"/>
        <v>11.38740302919217</v>
      </c>
      <c r="M714">
        <f t="shared" si="239"/>
        <v>11.331525517098678</v>
      </c>
      <c r="N714">
        <f t="shared" si="243"/>
        <v>3.1927045826109008</v>
      </c>
      <c r="O714">
        <f t="shared" si="258"/>
        <v>9.6722499562563851</v>
      </c>
      <c r="P714">
        <f t="shared" si="240"/>
        <v>10.936103663870842</v>
      </c>
      <c r="Q714">
        <f t="shared" si="260"/>
        <v>10.457885086797791</v>
      </c>
      <c r="R714">
        <f t="shared" si="241"/>
        <v>11.267227938150546</v>
      </c>
      <c r="S714">
        <f t="shared" si="241"/>
        <v>11.227938099449707</v>
      </c>
      <c r="T714">
        <f t="shared" si="244"/>
        <v>3.0891171649619302</v>
      </c>
      <c r="U714">
        <f t="shared" si="245"/>
        <v>-3.0891171649619302</v>
      </c>
      <c r="V714">
        <f t="shared" si="252"/>
        <v>10.663981336975521</v>
      </c>
      <c r="W714">
        <f t="shared" si="246"/>
        <v>-2.5251604024877441</v>
      </c>
      <c r="X714">
        <f t="shared" si="253"/>
        <v>10.32952703753605</v>
      </c>
      <c r="Y714">
        <f t="shared" si="247"/>
        <v>-2.1907061030482726</v>
      </c>
      <c r="Z714">
        <f t="shared" si="254"/>
        <v>9.9664550255119391</v>
      </c>
      <c r="AA714">
        <f t="shared" si="248"/>
        <v>-1.8276340910241622</v>
      </c>
      <c r="AB714">
        <f t="shared" si="249"/>
        <v>-1.328899065512223</v>
      </c>
      <c r="AC714">
        <f t="shared" si="250"/>
        <v>10.014916677806168</v>
      </c>
      <c r="AD714">
        <f t="shared" si="251"/>
        <v>-1.8760957433183911</v>
      </c>
    </row>
    <row r="715" spans="1:30">
      <c r="A715">
        <v>713</v>
      </c>
      <c r="B715">
        <v>11.442872837251258</v>
      </c>
      <c r="C715">
        <f t="shared" si="255"/>
        <v>8.5624990722697305</v>
      </c>
      <c r="D715">
        <f t="shared" si="255"/>
        <v>9.1956123175532127</v>
      </c>
      <c r="E715">
        <f t="shared" si="256"/>
        <v>8.3592376096013599</v>
      </c>
      <c r="F715">
        <f t="shared" si="259"/>
        <v>10.425219181200726</v>
      </c>
      <c r="G715">
        <f t="shared" si="259"/>
        <v>11.161434337437397</v>
      </c>
      <c r="H715">
        <f t="shared" si="259"/>
        <v>11.333709679363389</v>
      </c>
      <c r="I715">
        <f t="shared" si="242"/>
        <v>-0.10916315788786868</v>
      </c>
      <c r="J715">
        <f t="shared" si="257"/>
        <v>9.2421388801090032</v>
      </c>
      <c r="K715">
        <f t="shared" ref="K715:M747" si="261">AVERAGE(J711:J714)</f>
        <v>10.781567109243884</v>
      </c>
      <c r="L715">
        <f t="shared" si="261"/>
        <v>11.279266641988794</v>
      </c>
      <c r="M715">
        <f t="shared" si="261"/>
        <v>11.382922561481973</v>
      </c>
      <c r="N715">
        <f t="shared" si="243"/>
        <v>-5.9950275769285355E-2</v>
      </c>
      <c r="O715">
        <f t="shared" si="258"/>
        <v>9.6822856715374535</v>
      </c>
      <c r="P715">
        <f t="shared" si="240"/>
        <v>10.618235439812789</v>
      </c>
      <c r="Q715">
        <f t="shared" si="260"/>
        <v>9.8064498728199858</v>
      </c>
      <c r="R715">
        <f t="shared" si="241"/>
        <v>11.127378948089822</v>
      </c>
      <c r="S715">
        <f t="shared" si="241"/>
        <v>11.26636667558563</v>
      </c>
      <c r="T715">
        <f t="shared" si="244"/>
        <v>-0.17650616166562827</v>
      </c>
      <c r="U715">
        <f t="shared" si="245"/>
        <v>0.17650616166562827</v>
      </c>
      <c r="V715">
        <f t="shared" si="252"/>
        <v>10.411465296726746</v>
      </c>
      <c r="W715">
        <f t="shared" si="246"/>
        <v>1.031407540524512</v>
      </c>
      <c r="X715">
        <f t="shared" si="253"/>
        <v>9.8913858169263946</v>
      </c>
      <c r="Y715">
        <f t="shared" si="247"/>
        <v>1.5514870203248634</v>
      </c>
      <c r="Z715">
        <f t="shared" si="254"/>
        <v>9.4181647982046908</v>
      </c>
      <c r="AA715">
        <f t="shared" si="248"/>
        <v>2.0247080390465673</v>
      </c>
      <c r="AB715">
        <f t="shared" si="249"/>
        <v>1.9695928372512572</v>
      </c>
      <c r="AC715">
        <f t="shared" si="250"/>
        <v>9.9782379265174477</v>
      </c>
      <c r="AD715">
        <f t="shared" si="251"/>
        <v>1.4646349107338104</v>
      </c>
    </row>
    <row r="716" spans="1:30">
      <c r="A716">
        <v>714</v>
      </c>
      <c r="B716">
        <v>11.467843809498731</v>
      </c>
      <c r="C716">
        <f t="shared" si="255"/>
        <v>9.7908468858695166</v>
      </c>
      <c r="D716">
        <f t="shared" si="255"/>
        <v>8.5159725097139418</v>
      </c>
      <c r="E716">
        <f t="shared" si="256"/>
        <v>9.5226236605969063</v>
      </c>
      <c r="F716">
        <f t="shared" si="259"/>
        <v>9.4604110057216406</v>
      </c>
      <c r="G716">
        <f t="shared" si="259"/>
        <v>10.881043699069217</v>
      </c>
      <c r="H716">
        <f t="shared" si="259"/>
        <v>11.246226908158219</v>
      </c>
      <c r="I716">
        <f t="shared" si="242"/>
        <v>-0.22161690134051248</v>
      </c>
      <c r="J716">
        <f t="shared" si="257"/>
        <v>9.1301464165138349</v>
      </c>
      <c r="K716">
        <f t="shared" si="261"/>
        <v>10.294569005380065</v>
      </c>
      <c r="L716">
        <f t="shared" si="261"/>
        <v>11.120513024869052</v>
      </c>
      <c r="M716">
        <f t="shared" si="261"/>
        <v>11.371273405286146</v>
      </c>
      <c r="N716">
        <f t="shared" si="243"/>
        <v>-9.6570404212585004E-2</v>
      </c>
      <c r="O716">
        <f t="shared" si="258"/>
        <v>9.5976858951108142</v>
      </c>
      <c r="P716">
        <f t="shared" si="240"/>
        <v>10.315402305041015</v>
      </c>
      <c r="Q716">
        <f t="shared" si="260"/>
        <v>9.9673537697555314</v>
      </c>
      <c r="R716">
        <f t="shared" si="241"/>
        <v>10.845963048640906</v>
      </c>
      <c r="S716">
        <f t="shared" si="241"/>
        <v>11.271655151164817</v>
      </c>
      <c r="T716">
        <f t="shared" si="244"/>
        <v>-0.19618865833391474</v>
      </c>
      <c r="U716">
        <f t="shared" si="245"/>
        <v>0.19618865833391474</v>
      </c>
      <c r="V716">
        <f t="shared" si="252"/>
        <v>10.514606050779197</v>
      </c>
      <c r="W716">
        <f t="shared" si="246"/>
        <v>0.95323775871953487</v>
      </c>
      <c r="X716">
        <f t="shared" si="253"/>
        <v>10.201683220991367</v>
      </c>
      <c r="Y716">
        <f t="shared" si="247"/>
        <v>1.2661605885073648</v>
      </c>
      <c r="Z716">
        <f t="shared" si="254"/>
        <v>10.02557720991866</v>
      </c>
      <c r="AA716">
        <f t="shared" si="248"/>
        <v>1.442266599580071</v>
      </c>
      <c r="AB716">
        <f t="shared" si="249"/>
        <v>1.9890038094987315</v>
      </c>
      <c r="AC716">
        <f t="shared" si="250"/>
        <v>9.9409662756405179</v>
      </c>
      <c r="AD716">
        <f t="shared" si="251"/>
        <v>1.5268775338582135</v>
      </c>
    </row>
    <row r="717" spans="1:30">
      <c r="A717">
        <v>715</v>
      </c>
      <c r="B717">
        <v>8.3117142536589679</v>
      </c>
      <c r="C717">
        <f t="shared" si="255"/>
        <v>11.455358323374995</v>
      </c>
      <c r="D717">
        <f t="shared" si="255"/>
        <v>9.1766729790696235</v>
      </c>
      <c r="E717">
        <f t="shared" si="256"/>
        <v>10.349845860412588</v>
      </c>
      <c r="F717">
        <f t="shared" si="259"/>
        <v>9.1639242662825584</v>
      </c>
      <c r="G717">
        <f t="shared" si="259"/>
        <v>10.292055024518447</v>
      </c>
      <c r="H717">
        <f t="shared" si="259"/>
        <v>11.096960959968406</v>
      </c>
      <c r="I717">
        <f t="shared" si="242"/>
        <v>2.7852467063094384</v>
      </c>
      <c r="J717">
        <f t="shared" si="257"/>
        <v>10.008928697822363</v>
      </c>
      <c r="K717">
        <f t="shared" si="261"/>
        <v>9.7140794453541233</v>
      </c>
      <c r="L717">
        <f t="shared" si="261"/>
        <v>10.860615584424771</v>
      </c>
      <c r="M717">
        <f t="shared" si="261"/>
        <v>11.30167465486894</v>
      </c>
      <c r="N717">
        <f t="shared" si="243"/>
        <v>2.9899604012099719</v>
      </c>
      <c r="O717">
        <f t="shared" si="258"/>
        <v>9.669485808989684</v>
      </c>
      <c r="P717">
        <f t="shared" ref="P717:P747" si="262">AVERAGE(O712:O716)</f>
        <v>9.9688847691076177</v>
      </c>
      <c r="Q717">
        <f t="shared" si="260"/>
        <v>9.979878694531001</v>
      </c>
      <c r="R717">
        <f t="shared" si="241"/>
        <v>10.59911011101628</v>
      </c>
      <c r="S717">
        <f t="shared" si="241"/>
        <v>11.213010719997504</v>
      </c>
      <c r="T717">
        <f t="shared" si="244"/>
        <v>2.9012964663385361</v>
      </c>
      <c r="U717">
        <f t="shared" si="245"/>
        <v>-2.9012964663385361</v>
      </c>
      <c r="V717">
        <f t="shared" si="252"/>
        <v>10.60992982665115</v>
      </c>
      <c r="W717">
        <f t="shared" si="246"/>
        <v>-2.2982155729921825</v>
      </c>
      <c r="X717">
        <f t="shared" si="253"/>
        <v>10.454915338692839</v>
      </c>
      <c r="Y717">
        <f t="shared" si="247"/>
        <v>-2.143201085033871</v>
      </c>
      <c r="Z717">
        <f t="shared" si="254"/>
        <v>10.458257189792683</v>
      </c>
      <c r="AA717">
        <f t="shared" si="248"/>
        <v>-2.1465429361337147</v>
      </c>
      <c r="AB717">
        <f t="shared" si="249"/>
        <v>-1.172685746341033</v>
      </c>
      <c r="AC717">
        <f t="shared" si="250"/>
        <v>9.9031122865006012</v>
      </c>
      <c r="AD717">
        <f t="shared" si="251"/>
        <v>-1.5913980328416333</v>
      </c>
    </row>
    <row r="718" spans="1:30">
      <c r="A718">
        <v>716</v>
      </c>
      <c r="B718">
        <v>8.7316328836313684</v>
      </c>
      <c r="C718">
        <f t="shared" si="255"/>
        <v>9.8897790315788505</v>
      </c>
      <c r="D718">
        <f t="shared" si="255"/>
        <v>10.623102604622256</v>
      </c>
      <c r="E718">
        <f t="shared" si="256"/>
        <v>10.407476966802987</v>
      </c>
      <c r="F718">
        <f t="shared" si="259"/>
        <v>9.4105690435369507</v>
      </c>
      <c r="G718">
        <f t="shared" si="259"/>
        <v>9.6831848177349755</v>
      </c>
      <c r="H718">
        <f t="shared" si="259"/>
        <v>10.778177687008354</v>
      </c>
      <c r="I718">
        <f t="shared" si="242"/>
        <v>2.0465448033769853</v>
      </c>
      <c r="J718">
        <f t="shared" si="257"/>
        <v>9.8403129587241835</v>
      </c>
      <c r="K718">
        <f t="shared" si="261"/>
        <v>9.6092053015359333</v>
      </c>
      <c r="L718">
        <f t="shared" si="261"/>
        <v>10.4611821301077</v>
      </c>
      <c r="M718">
        <f t="shared" si="261"/>
        <v>11.161949570118695</v>
      </c>
      <c r="N718">
        <f t="shared" si="243"/>
        <v>2.4303166864873269</v>
      </c>
      <c r="O718">
        <f t="shared" si="258"/>
        <v>9.6185769437056212</v>
      </c>
      <c r="P718">
        <f t="shared" si="262"/>
        <v>9.7523365984761519</v>
      </c>
      <c r="Q718">
        <f t="shared" si="260"/>
        <v>9.3833572882021734</v>
      </c>
      <c r="R718">
        <f t="shared" si="241"/>
        <v>10.381849625560916</v>
      </c>
      <c r="S718">
        <f t="shared" si="241"/>
        <v>11.091120842856739</v>
      </c>
      <c r="T718">
        <f t="shared" si="244"/>
        <v>2.3594879592253708</v>
      </c>
      <c r="U718">
        <f t="shared" si="245"/>
        <v>-2.3594879592253708</v>
      </c>
      <c r="V718">
        <f t="shared" si="252"/>
        <v>10.380108269351933</v>
      </c>
      <c r="W718">
        <f t="shared" si="246"/>
        <v>-1.6484753857205643</v>
      </c>
      <c r="X718">
        <f t="shared" si="253"/>
        <v>10.026275121686064</v>
      </c>
      <c r="Y718">
        <f t="shared" si="247"/>
        <v>-1.2946422380546956</v>
      </c>
      <c r="Z718">
        <f t="shared" si="254"/>
        <v>9.8142943089525687</v>
      </c>
      <c r="AA718">
        <f t="shared" si="248"/>
        <v>-1.0826614253212004</v>
      </c>
      <c r="AB718">
        <f t="shared" si="249"/>
        <v>-0.75832711636863159</v>
      </c>
      <c r="AC718">
        <f t="shared" si="250"/>
        <v>9.8646866821797783</v>
      </c>
      <c r="AD718">
        <f t="shared" si="251"/>
        <v>-1.1330537985484099</v>
      </c>
    </row>
    <row r="719" spans="1:30">
      <c r="A719">
        <v>717</v>
      </c>
      <c r="B719">
        <v>9.3437805569111134</v>
      </c>
      <c r="C719">
        <f t="shared" si="255"/>
        <v>8.5216735686451681</v>
      </c>
      <c r="D719">
        <f t="shared" si="255"/>
        <v>10.672568677476923</v>
      </c>
      <c r="E719">
        <f t="shared" si="256"/>
        <v>9.5037303155963571</v>
      </c>
      <c r="F719">
        <f t="shared" si="259"/>
        <v>10.093315495937494</v>
      </c>
      <c r="G719">
        <f t="shared" si="259"/>
        <v>9.3449681051803832</v>
      </c>
      <c r="H719">
        <f t="shared" si="259"/>
        <v>10.285427847107547</v>
      </c>
      <c r="I719">
        <f t="shared" si="242"/>
        <v>0.94164729019643367</v>
      </c>
      <c r="J719">
        <f t="shared" si="257"/>
        <v>9.9885159460100823</v>
      </c>
      <c r="K719">
        <f t="shared" si="261"/>
        <v>9.5553817382923469</v>
      </c>
      <c r="L719">
        <f t="shared" si="261"/>
        <v>10.099855215378501</v>
      </c>
      <c r="M719">
        <f t="shared" si="261"/>
        <v>10.93039434534758</v>
      </c>
      <c r="N719">
        <f t="shared" si="243"/>
        <v>1.5866137884364662</v>
      </c>
      <c r="O719">
        <f t="shared" si="258"/>
        <v>9.8595688681902889</v>
      </c>
      <c r="P719">
        <f t="shared" si="262"/>
        <v>9.6480568551199912</v>
      </c>
      <c r="Q719">
        <f t="shared" si="260"/>
        <v>9.5131769880966317</v>
      </c>
      <c r="R719">
        <f t="shared" ref="R719:S747" si="263">AVERAGE(Q713:Q718)</f>
        <v>10.060378634188682</v>
      </c>
      <c r="S719">
        <f t="shared" si="263"/>
        <v>10.930616310466831</v>
      </c>
      <c r="T719">
        <f t="shared" si="244"/>
        <v>1.586835753555718</v>
      </c>
      <c r="U719">
        <f t="shared" si="245"/>
        <v>-1.586835753555718</v>
      </c>
      <c r="V719">
        <f t="shared" si="252"/>
        <v>10.215260730779876</v>
      </c>
      <c r="W719">
        <f t="shared" si="246"/>
        <v>-0.87148017386876298</v>
      </c>
      <c r="X719">
        <f t="shared" si="253"/>
        <v>9.7673466740751245</v>
      </c>
      <c r="Y719">
        <f t="shared" si="247"/>
        <v>-0.42356611716401105</v>
      </c>
      <c r="Z719">
        <f t="shared" si="254"/>
        <v>9.4894958813562091</v>
      </c>
      <c r="AA719">
        <f t="shared" si="248"/>
        <v>-0.14571532444509572</v>
      </c>
      <c r="AB719">
        <f t="shared" si="249"/>
        <v>-0.15173944308888743</v>
      </c>
      <c r="AC719">
        <f t="shared" si="250"/>
        <v>9.8257003445384719</v>
      </c>
      <c r="AD719">
        <f t="shared" si="251"/>
        <v>-0.48191978762735843</v>
      </c>
    </row>
    <row r="720" spans="1:30">
      <c r="A720">
        <v>718</v>
      </c>
      <c r="B720">
        <v>9.8598236285485541</v>
      </c>
      <c r="C720">
        <f t="shared" si="255"/>
        <v>9.0377067202712418</v>
      </c>
      <c r="D720">
        <f t="shared" si="255"/>
        <v>9.2057263001120084</v>
      </c>
      <c r="E720">
        <f t="shared" si="256"/>
        <v>8.7957092314004832</v>
      </c>
      <c r="F720">
        <f t="shared" si="259"/>
        <v>10.087017714270644</v>
      </c>
      <c r="G720">
        <f t="shared" si="259"/>
        <v>9.5559362685856684</v>
      </c>
      <c r="H720">
        <f t="shared" si="259"/>
        <v>9.773402649144602</v>
      </c>
      <c r="I720">
        <f t="shared" si="242"/>
        <v>-8.6420979403952103E-2</v>
      </c>
      <c r="J720">
        <f t="shared" si="257"/>
        <v>9.4637428759250461</v>
      </c>
      <c r="K720">
        <f t="shared" si="261"/>
        <v>9.7419760047676149</v>
      </c>
      <c r="L720">
        <f t="shared" si="261"/>
        <v>9.7933088726406172</v>
      </c>
      <c r="M720">
        <f t="shared" si="261"/>
        <v>10.635541488695004</v>
      </c>
      <c r="N720">
        <f t="shared" si="243"/>
        <v>0.77571786014645028</v>
      </c>
      <c r="O720">
        <f t="shared" si="258"/>
        <v>9.542959026449747</v>
      </c>
      <c r="P720">
        <f t="shared" si="262"/>
        <v>9.6855206375067731</v>
      </c>
      <c r="Q720">
        <f t="shared" si="260"/>
        <v>9.5727775459065363</v>
      </c>
      <c r="R720">
        <f t="shared" si="263"/>
        <v>9.8513502833671875</v>
      </c>
      <c r="S720">
        <f t="shared" si="263"/>
        <v>10.713651384274526</v>
      </c>
      <c r="T720">
        <f t="shared" si="244"/>
        <v>0.85382775572597147</v>
      </c>
      <c r="U720">
        <f t="shared" si="245"/>
        <v>-0.85382775572597147</v>
      </c>
      <c r="V720">
        <f t="shared" si="252"/>
        <v>10.128112713393</v>
      </c>
      <c r="W720">
        <f t="shared" si="246"/>
        <v>-0.26828908484444547</v>
      </c>
      <c r="X720">
        <f t="shared" si="253"/>
        <v>9.6826334506423226</v>
      </c>
      <c r="Y720">
        <f t="shared" si="247"/>
        <v>0.17719017790623148</v>
      </c>
      <c r="Z720">
        <f t="shared" si="254"/>
        <v>9.4457812840226811</v>
      </c>
      <c r="AA720">
        <f t="shared" si="248"/>
        <v>0.41404234452587296</v>
      </c>
      <c r="AB720">
        <f t="shared" si="249"/>
        <v>0.35874362854855413</v>
      </c>
      <c r="AC720">
        <f t="shared" si="250"/>
        <v>9.7861643111927386</v>
      </c>
      <c r="AD720">
        <f t="shared" si="251"/>
        <v>7.3659317355815546E-2</v>
      </c>
    </row>
    <row r="721" spans="1:30">
      <c r="A721">
        <v>719</v>
      </c>
      <c r="B721">
        <v>11.012900578484212</v>
      </c>
      <c r="C721">
        <f t="shared" si="255"/>
        <v>9.6018020927298338</v>
      </c>
      <c r="D721">
        <f t="shared" si="255"/>
        <v>8.7796901444582041</v>
      </c>
      <c r="E721">
        <f t="shared" si="256"/>
        <v>9.3117456896970126</v>
      </c>
      <c r="F721">
        <f t="shared" si="259"/>
        <v>9.5689721712666103</v>
      </c>
      <c r="G721">
        <f t="shared" si="259"/>
        <v>9.8636340845816957</v>
      </c>
      <c r="H721">
        <f t="shared" si="259"/>
        <v>9.528029730500343</v>
      </c>
      <c r="I721">
        <f t="shared" si="242"/>
        <v>-1.4848708479838688</v>
      </c>
      <c r="J721">
        <f t="shared" si="257"/>
        <v>9.0617378306875018</v>
      </c>
      <c r="K721">
        <f t="shared" si="261"/>
        <v>9.8253751196204178</v>
      </c>
      <c r="L721">
        <f t="shared" si="261"/>
        <v>9.6551606224875037</v>
      </c>
      <c r="M721">
        <f t="shared" si="261"/>
        <v>10.303740450637898</v>
      </c>
      <c r="N721">
        <f t="shared" si="243"/>
        <v>-0.70916012784631377</v>
      </c>
      <c r="O721">
        <f t="shared" si="258"/>
        <v>9.4519703802468449</v>
      </c>
      <c r="P721">
        <f t="shared" si="262"/>
        <v>9.6576553084892307</v>
      </c>
      <c r="Q721">
        <f t="shared" si="260"/>
        <v>9.8596113282499989</v>
      </c>
      <c r="R721">
        <f t="shared" si="263"/>
        <v>9.7038323598853093</v>
      </c>
      <c r="S721">
        <f t="shared" si="263"/>
        <v>10.477671775143966</v>
      </c>
      <c r="T721">
        <f t="shared" si="244"/>
        <v>-0.53522880334024592</v>
      </c>
      <c r="U721">
        <f t="shared" si="245"/>
        <v>0.53522880334024592</v>
      </c>
      <c r="V721">
        <f t="shared" si="252"/>
        <v>10.101283804908554</v>
      </c>
      <c r="W721">
        <f t="shared" si="246"/>
        <v>0.91161677357565729</v>
      </c>
      <c r="X721">
        <f t="shared" si="253"/>
        <v>9.7180714862235682</v>
      </c>
      <c r="Y721">
        <f t="shared" si="247"/>
        <v>1.2948290922606436</v>
      </c>
      <c r="Z721">
        <f t="shared" si="254"/>
        <v>9.5699939873804425</v>
      </c>
      <c r="AA721">
        <f t="shared" si="248"/>
        <v>1.4429065911037693</v>
      </c>
      <c r="AB721">
        <f t="shared" si="249"/>
        <v>1.5062605784842109</v>
      </c>
      <c r="AC721">
        <f t="shared" si="250"/>
        <v>9.7460897724483644</v>
      </c>
      <c r="AD721">
        <f t="shared" si="251"/>
        <v>1.2668108060358474</v>
      </c>
    </row>
    <row r="722" spans="1:30">
      <c r="A722">
        <v>720</v>
      </c>
      <c r="B722">
        <v>11.260148499945384</v>
      </c>
      <c r="C722">
        <f t="shared" si="255"/>
        <v>10.436362103516384</v>
      </c>
      <c r="D722">
        <f t="shared" si="255"/>
        <v>9.3197544065005378</v>
      </c>
      <c r="E722">
        <f t="shared" si="256"/>
        <v>10.072168254647961</v>
      </c>
      <c r="F722">
        <f t="shared" si="259"/>
        <v>9.2037284122312837</v>
      </c>
      <c r="G722">
        <f t="shared" si="259"/>
        <v>9.91643512715825</v>
      </c>
      <c r="H722">
        <f t="shared" si="259"/>
        <v>9.5881794861159175</v>
      </c>
      <c r="I722">
        <f t="shared" si="242"/>
        <v>-1.6719690138294663</v>
      </c>
      <c r="J722">
        <f t="shared" si="257"/>
        <v>9.7370344118938128</v>
      </c>
      <c r="K722">
        <f t="shared" si="261"/>
        <v>9.5885774028367035</v>
      </c>
      <c r="L722">
        <f t="shared" si="261"/>
        <v>9.6829845410540791</v>
      </c>
      <c r="M722">
        <f t="shared" si="261"/>
        <v>10.00237671015358</v>
      </c>
      <c r="N722">
        <f t="shared" si="243"/>
        <v>-1.2577717897918035</v>
      </c>
      <c r="O722">
        <f t="shared" si="258"/>
        <v>10.041657229504128</v>
      </c>
      <c r="P722">
        <f t="shared" si="262"/>
        <v>9.6285122055164383</v>
      </c>
      <c r="Q722">
        <f t="shared" si="260"/>
        <v>9.7879492851221581</v>
      </c>
      <c r="R722">
        <f t="shared" si="263"/>
        <v>9.7126926024569773</v>
      </c>
      <c r="S722">
        <f t="shared" si="263"/>
        <v>10.240414010443214</v>
      </c>
      <c r="T722">
        <f t="shared" si="244"/>
        <v>-1.01973448950217</v>
      </c>
      <c r="U722">
        <f t="shared" si="245"/>
        <v>1.01973448950217</v>
      </c>
      <c r="V722">
        <f t="shared" si="252"/>
        <v>10.19244548226612</v>
      </c>
      <c r="W722">
        <f t="shared" si="246"/>
        <v>1.0677030176792641</v>
      </c>
      <c r="X722">
        <f t="shared" si="253"/>
        <v>9.9770373046756973</v>
      </c>
      <c r="Y722">
        <f t="shared" si="247"/>
        <v>1.2831111952696865</v>
      </c>
      <c r="Z722">
        <f t="shared" si="254"/>
        <v>10.002865964711573</v>
      </c>
      <c r="AA722">
        <f t="shared" si="248"/>
        <v>1.2572825352338111</v>
      </c>
      <c r="AB722">
        <f t="shared" si="249"/>
        <v>1.7479484999453838</v>
      </c>
      <c r="AC722">
        <f t="shared" si="250"/>
        <v>9.7054880681924907</v>
      </c>
      <c r="AD722">
        <f t="shared" si="251"/>
        <v>1.5546604317528931</v>
      </c>
    </row>
    <row r="723" spans="1:30">
      <c r="A723">
        <v>721</v>
      </c>
      <c r="B723">
        <v>8.9337216428010908</v>
      </c>
      <c r="C723">
        <f t="shared" si="255"/>
        <v>11.136524539214797</v>
      </c>
      <c r="D723">
        <f t="shared" si="255"/>
        <v>10.019082098123109</v>
      </c>
      <c r="E723">
        <f t="shared" si="256"/>
        <v>10.710957568992717</v>
      </c>
      <c r="F723">
        <f t="shared" si="259"/>
        <v>9.3932077252484856</v>
      </c>
      <c r="G723">
        <f t="shared" si="259"/>
        <v>9.6199060992561787</v>
      </c>
      <c r="H723">
        <f t="shared" si="259"/>
        <v>9.7786684934418719</v>
      </c>
      <c r="I723">
        <f t="shared" si="242"/>
        <v>0.84494685064078112</v>
      </c>
      <c r="J723">
        <f t="shared" si="257"/>
        <v>10.369163315972315</v>
      </c>
      <c r="K723">
        <f t="shared" si="261"/>
        <v>9.5627577661291099</v>
      </c>
      <c r="L723">
        <f t="shared" si="261"/>
        <v>9.6778275663792712</v>
      </c>
      <c r="M723">
        <f t="shared" si="261"/>
        <v>9.8078273128901756</v>
      </c>
      <c r="N723">
        <f t="shared" si="243"/>
        <v>0.8741056700890848</v>
      </c>
      <c r="O723">
        <f t="shared" si="258"/>
        <v>10.082074981338071</v>
      </c>
      <c r="P723">
        <f t="shared" si="262"/>
        <v>9.7029464896193254</v>
      </c>
      <c r="Q723">
        <f t="shared" si="260"/>
        <v>9.7533334001966008</v>
      </c>
      <c r="R723">
        <f t="shared" si="263"/>
        <v>9.6827918550180829</v>
      </c>
      <c r="S723">
        <f t="shared" si="263"/>
        <v>10.051535602745892</v>
      </c>
      <c r="T723">
        <f t="shared" si="244"/>
        <v>1.1178139599448009</v>
      </c>
      <c r="U723">
        <f t="shared" si="245"/>
        <v>-1.1178139599448009</v>
      </c>
      <c r="V723">
        <f t="shared" si="252"/>
        <v>10.299215784034047</v>
      </c>
      <c r="W723">
        <f t="shared" si="246"/>
        <v>-1.365494141232956</v>
      </c>
      <c r="X723">
        <f t="shared" si="253"/>
        <v>10.233659543729635</v>
      </c>
      <c r="Y723">
        <f t="shared" si="247"/>
        <v>-1.2999379009285441</v>
      </c>
      <c r="Z723">
        <f t="shared" si="254"/>
        <v>10.380050725281716</v>
      </c>
      <c r="AA723">
        <f t="shared" si="248"/>
        <v>-1.4463290824806254</v>
      </c>
      <c r="AB723">
        <f t="shared" si="249"/>
        <v>-0.58403835719890829</v>
      </c>
      <c r="AC723">
        <f t="shared" si="250"/>
        <v>9.6643706847437496</v>
      </c>
      <c r="AD723">
        <f t="shared" si="251"/>
        <v>-0.73064904194265878</v>
      </c>
    </row>
    <row r="724" spans="1:30">
      <c r="A724">
        <v>722</v>
      </c>
      <c r="B724">
        <v>7.9467453830845933</v>
      </c>
      <c r="C724">
        <f t="shared" si="255"/>
        <v>10.096935071373238</v>
      </c>
      <c r="D724">
        <f t="shared" si="255"/>
        <v>10.78644332136559</v>
      </c>
      <c r="E724">
        <f t="shared" si="256"/>
        <v>10.402256907076895</v>
      </c>
      <c r="F724">
        <f t="shared" si="259"/>
        <v>10.031623837779231</v>
      </c>
      <c r="G724">
        <f t="shared" si="259"/>
        <v>9.388636102915461</v>
      </c>
      <c r="H724">
        <f t="shared" si="259"/>
        <v>9.7999917703320421</v>
      </c>
      <c r="I724">
        <f t="shared" si="242"/>
        <v>1.8532463872474487</v>
      </c>
      <c r="J724">
        <f t="shared" si="257"/>
        <v>10.266648587444809</v>
      </c>
      <c r="K724">
        <f t="shared" si="261"/>
        <v>9.6579196086196681</v>
      </c>
      <c r="L724">
        <f t="shared" si="261"/>
        <v>9.679671573338462</v>
      </c>
      <c r="M724">
        <f t="shared" si="261"/>
        <v>9.7023204006403674</v>
      </c>
      <c r="N724">
        <f t="shared" si="243"/>
        <v>1.7555750175557741</v>
      </c>
      <c r="O724">
        <f t="shared" si="258"/>
        <v>9.8026679465727646</v>
      </c>
      <c r="P724">
        <f t="shared" si="262"/>
        <v>9.7956460971458164</v>
      </c>
      <c r="Q724">
        <f t="shared" si="260"/>
        <v>9.8570012983869546</v>
      </c>
      <c r="R724">
        <f t="shared" si="263"/>
        <v>9.6450343059623496</v>
      </c>
      <c r="S724">
        <f t="shared" si="263"/>
        <v>9.8988158934128592</v>
      </c>
      <c r="T724">
        <f t="shared" si="244"/>
        <v>1.9520705103282658</v>
      </c>
      <c r="U724">
        <f t="shared" si="245"/>
        <v>-1.9520705103282658</v>
      </c>
      <c r="V724">
        <f t="shared" si="252"/>
        <v>10.162666369910751</v>
      </c>
      <c r="W724">
        <f t="shared" si="246"/>
        <v>-2.2159209868261573</v>
      </c>
      <c r="X724">
        <f t="shared" si="253"/>
        <v>9.9736719635439268</v>
      </c>
      <c r="Y724">
        <f t="shared" si="247"/>
        <v>-2.0269265804593335</v>
      </c>
      <c r="Z724">
        <f t="shared" si="254"/>
        <v>9.9461520005375288</v>
      </c>
      <c r="AA724">
        <f t="shared" si="248"/>
        <v>-1.9994066174529355</v>
      </c>
      <c r="AB724">
        <f t="shared" si="249"/>
        <v>-1.5765746169154067</v>
      </c>
      <c r="AC724">
        <f t="shared" si="250"/>
        <v>9.6227492516616717</v>
      </c>
      <c r="AD724">
        <f t="shared" si="251"/>
        <v>-1.6760038685770784</v>
      </c>
    </row>
    <row r="725" spans="1:30">
      <c r="A725">
        <v>723</v>
      </c>
      <c r="B725">
        <v>11.25555397207691</v>
      </c>
      <c r="C725">
        <f t="shared" si="255"/>
        <v>8.440233512942843</v>
      </c>
      <c r="D725">
        <f t="shared" si="255"/>
        <v>10.616729805294018</v>
      </c>
      <c r="E725">
        <f t="shared" si="256"/>
        <v>9.3802051752770232</v>
      </c>
      <c r="F725">
        <f t="shared" si="259"/>
        <v>10.395127576905857</v>
      </c>
      <c r="G725">
        <f t="shared" si="259"/>
        <v>9.5428533250863339</v>
      </c>
      <c r="H725">
        <f t="shared" si="259"/>
        <v>9.6416591097766311</v>
      </c>
      <c r="I725">
        <f t="shared" si="242"/>
        <v>-1.6138948623002793</v>
      </c>
      <c r="J725">
        <f t="shared" si="257"/>
        <v>9.7883790260788182</v>
      </c>
      <c r="K725">
        <f t="shared" si="261"/>
        <v>9.8586460364996107</v>
      </c>
      <c r="L725">
        <f t="shared" si="261"/>
        <v>9.6586574743014744</v>
      </c>
      <c r="M725">
        <f t="shared" si="261"/>
        <v>9.6739110758148286</v>
      </c>
      <c r="N725">
        <f t="shared" si="243"/>
        <v>-1.5816428962620819</v>
      </c>
      <c r="O725">
        <f t="shared" si="258"/>
        <v>10.081814015278436</v>
      </c>
      <c r="P725">
        <f t="shared" si="262"/>
        <v>9.7842659128223115</v>
      </c>
      <c r="Q725">
        <f t="shared" si="260"/>
        <v>9.7261867149624894</v>
      </c>
      <c r="R725">
        <f t="shared" si="263"/>
        <v>9.7239749743264809</v>
      </c>
      <c r="S725">
        <f t="shared" si="263"/>
        <v>9.7760133401464309</v>
      </c>
      <c r="T725">
        <f t="shared" si="244"/>
        <v>-1.4795406319304796</v>
      </c>
      <c r="U725">
        <f t="shared" si="245"/>
        <v>1.4795406319304796</v>
      </c>
      <c r="V725">
        <f t="shared" si="252"/>
        <v>9.9410742712281355</v>
      </c>
      <c r="W725">
        <f t="shared" si="246"/>
        <v>1.314479700848775</v>
      </c>
      <c r="X725">
        <f t="shared" si="253"/>
        <v>9.5682866474520605</v>
      </c>
      <c r="Y725">
        <f t="shared" si="247"/>
        <v>1.68726732462485</v>
      </c>
      <c r="Z725">
        <f t="shared" si="254"/>
        <v>9.346330015301648</v>
      </c>
      <c r="AA725">
        <f t="shared" si="248"/>
        <v>1.9092239567752625</v>
      </c>
      <c r="AB725">
        <f t="shared" si="249"/>
        <v>1.7266739720769095</v>
      </c>
      <c r="AC725">
        <f t="shared" si="250"/>
        <v>9.580635538516324</v>
      </c>
      <c r="AD725">
        <f t="shared" si="251"/>
        <v>1.6749184335605865</v>
      </c>
    </row>
    <row r="726" spans="1:30">
      <c r="A726">
        <v>724</v>
      </c>
      <c r="B726">
        <v>9.1213711733082423</v>
      </c>
      <c r="C726">
        <f t="shared" si="255"/>
        <v>9.6011496775807519</v>
      </c>
      <c r="D726">
        <f t="shared" si="255"/>
        <v>9.2685842921580406</v>
      </c>
      <c r="E726">
        <f t="shared" si="256"/>
        <v>9.3786736659875327</v>
      </c>
      <c r="F726">
        <f t="shared" si="259"/>
        <v>10.164473217115544</v>
      </c>
      <c r="G726">
        <f t="shared" si="259"/>
        <v>9.9399863799778583</v>
      </c>
      <c r="H726">
        <f t="shared" si="259"/>
        <v>9.5171318424193245</v>
      </c>
      <c r="I726">
        <f t="shared" si="242"/>
        <v>0.39576066911108221</v>
      </c>
      <c r="J726">
        <f t="shared" si="257"/>
        <v>9.8490423744769942</v>
      </c>
      <c r="K726">
        <f t="shared" si="261"/>
        <v>10.040306335347438</v>
      </c>
      <c r="L726">
        <f t="shared" si="261"/>
        <v>9.6669752035212735</v>
      </c>
      <c r="M726">
        <f t="shared" si="261"/>
        <v>9.674785288768323</v>
      </c>
      <c r="N726">
        <f t="shared" si="243"/>
        <v>0.55341411546008068</v>
      </c>
      <c r="O726">
        <f t="shared" si="258"/>
        <v>9.7035081342432434</v>
      </c>
      <c r="P726">
        <f t="shared" si="262"/>
        <v>9.8920369105880503</v>
      </c>
      <c r="Q726">
        <f t="shared" si="260"/>
        <v>10.044815617490123</v>
      </c>
      <c r="R726">
        <f t="shared" si="263"/>
        <v>9.7594765954707903</v>
      </c>
      <c r="S726">
        <f t="shared" si="263"/>
        <v>9.7199460635027304</v>
      </c>
      <c r="T726">
        <f t="shared" si="244"/>
        <v>0.59857489019448806</v>
      </c>
      <c r="U726">
        <f t="shared" si="245"/>
        <v>-0.59857489019448806</v>
      </c>
      <c r="V726">
        <f t="shared" si="252"/>
        <v>10.072522241313013</v>
      </c>
      <c r="W726">
        <f t="shared" si="246"/>
        <v>-0.95115106800477101</v>
      </c>
      <c r="X726">
        <f t="shared" si="253"/>
        <v>9.9057401123770301</v>
      </c>
      <c r="Y726">
        <f t="shared" si="247"/>
        <v>-0.7843689390687878</v>
      </c>
      <c r="Z726">
        <f t="shared" si="254"/>
        <v>9.9190972023342265</v>
      </c>
      <c r="AA726">
        <f t="shared" si="248"/>
        <v>-0.79772602902598422</v>
      </c>
      <c r="AB726">
        <f t="shared" si="249"/>
        <v>-0.41306882669175771</v>
      </c>
      <c r="AC726">
        <f t="shared" si="250"/>
        <v>9.5380414516190886</v>
      </c>
      <c r="AD726">
        <f t="shared" si="251"/>
        <v>-0.41667027831084624</v>
      </c>
    </row>
    <row r="727" spans="1:30">
      <c r="A727">
        <v>725</v>
      </c>
      <c r="B727">
        <v>8.4065491553883138</v>
      </c>
      <c r="C727">
        <f t="shared" si="255"/>
        <v>10.188462572692575</v>
      </c>
      <c r="D727">
        <f t="shared" si="255"/>
        <v>9.0206915952617983</v>
      </c>
      <c r="E727">
        <f t="shared" si="256"/>
        <v>9.441223509489916</v>
      </c>
      <c r="F727">
        <f t="shared" si="259"/>
        <v>9.7203785827804836</v>
      </c>
      <c r="G727">
        <f t="shared" si="259"/>
        <v>10.197074877266877</v>
      </c>
      <c r="H727">
        <f t="shared" si="259"/>
        <v>9.6238252693265522</v>
      </c>
      <c r="I727">
        <f t="shared" si="242"/>
        <v>1.2172761139382384</v>
      </c>
      <c r="J727">
        <f t="shared" si="257"/>
        <v>9.3143480428177092</v>
      </c>
      <c r="K727">
        <f t="shared" si="261"/>
        <v>10.068308325993234</v>
      </c>
      <c r="L727">
        <f t="shared" si="261"/>
        <v>9.7799074366489567</v>
      </c>
      <c r="M727">
        <f t="shared" si="261"/>
        <v>9.6707829543851194</v>
      </c>
      <c r="N727">
        <f t="shared" si="243"/>
        <v>1.2642337989968055</v>
      </c>
      <c r="O727">
        <f t="shared" si="258"/>
        <v>9.1327882653318291</v>
      </c>
      <c r="P727">
        <f t="shared" si="262"/>
        <v>9.9423444613873286</v>
      </c>
      <c r="Q727">
        <f t="shared" si="260"/>
        <v>9.9217402082834045</v>
      </c>
      <c r="R727">
        <f t="shared" si="263"/>
        <v>9.8381496074013874</v>
      </c>
      <c r="S727">
        <f t="shared" si="263"/>
        <v>9.7046337821866633</v>
      </c>
      <c r="T727">
        <f t="shared" si="244"/>
        <v>1.2980846267983495</v>
      </c>
      <c r="U727">
        <f t="shared" si="245"/>
        <v>-1.2980846267983495</v>
      </c>
      <c r="V727">
        <f t="shared" si="252"/>
        <v>9.9774071345125357</v>
      </c>
      <c r="W727">
        <f t="shared" si="246"/>
        <v>-1.5708579791242219</v>
      </c>
      <c r="X727">
        <f t="shared" si="253"/>
        <v>9.7488663245632718</v>
      </c>
      <c r="Y727">
        <f t="shared" si="247"/>
        <v>-1.342317169174958</v>
      </c>
      <c r="Z727">
        <f t="shared" si="254"/>
        <v>9.6797793936264309</v>
      </c>
      <c r="AA727">
        <f t="shared" si="248"/>
        <v>-1.2732302382381171</v>
      </c>
      <c r="AB727">
        <f t="shared" si="249"/>
        <v>-1.1334508446116853</v>
      </c>
      <c r="AC727">
        <f t="shared" si="250"/>
        <v>9.4949790307153936</v>
      </c>
      <c r="AD727">
        <f t="shared" si="251"/>
        <v>-1.0884298753270798</v>
      </c>
    </row>
    <row r="728" spans="1:30">
      <c r="A728">
        <v>726</v>
      </c>
      <c r="B728">
        <v>10.916675804049486</v>
      </c>
      <c r="C728">
        <f t="shared" si="255"/>
        <v>8.7639601643482781</v>
      </c>
      <c r="D728">
        <f t="shared" si="255"/>
        <v>9.8948061251366646</v>
      </c>
      <c r="E728">
        <f t="shared" si="256"/>
        <v>9.5944914335911538</v>
      </c>
      <c r="F728">
        <f t="shared" si="259"/>
        <v>9.4000341169181567</v>
      </c>
      <c r="G728">
        <f t="shared" si="259"/>
        <v>10.09332645893396</v>
      </c>
      <c r="H728">
        <f t="shared" si="259"/>
        <v>9.8933048607770235</v>
      </c>
      <c r="I728">
        <f t="shared" si="242"/>
        <v>-1.0233709432724627</v>
      </c>
      <c r="J728">
        <f t="shared" si="257"/>
        <v>9.182554920964515</v>
      </c>
      <c r="K728">
        <f t="shared" si="261"/>
        <v>9.8046045077045818</v>
      </c>
      <c r="L728">
        <f t="shared" si="261"/>
        <v>9.9062950766149882</v>
      </c>
      <c r="M728">
        <f t="shared" si="261"/>
        <v>9.6963029219525421</v>
      </c>
      <c r="N728">
        <f t="shared" si="243"/>
        <v>-1.2203728820969442</v>
      </c>
      <c r="O728">
        <f t="shared" si="258"/>
        <v>9.5293790975815078</v>
      </c>
      <c r="P728">
        <f t="shared" si="262"/>
        <v>9.7605706685528677</v>
      </c>
      <c r="Q728">
        <f t="shared" si="260"/>
        <v>9.4873483044340876</v>
      </c>
      <c r="R728">
        <f t="shared" si="263"/>
        <v>9.848504420740289</v>
      </c>
      <c r="S728">
        <f t="shared" si="263"/>
        <v>9.7270199901060135</v>
      </c>
      <c r="T728">
        <f t="shared" si="244"/>
        <v>-1.1896558139434728</v>
      </c>
      <c r="U728">
        <f t="shared" si="245"/>
        <v>1.1896558139434728</v>
      </c>
      <c r="V728">
        <f t="shared" si="252"/>
        <v>9.820321336600113</v>
      </c>
      <c r="W728">
        <f t="shared" si="246"/>
        <v>1.0963544674493733</v>
      </c>
      <c r="X728">
        <f t="shared" si="253"/>
        <v>9.4804028907282802</v>
      </c>
      <c r="Y728">
        <f t="shared" si="247"/>
        <v>1.436272913321206</v>
      </c>
      <c r="Z728">
        <f t="shared" si="254"/>
        <v>9.2978103221549961</v>
      </c>
      <c r="AA728">
        <f t="shared" si="248"/>
        <v>1.6188654818944901</v>
      </c>
      <c r="AB728">
        <f t="shared" si="249"/>
        <v>1.3711158040494862</v>
      </c>
      <c r="AC728">
        <f t="shared" si="250"/>
        <v>9.4514604456404516</v>
      </c>
      <c r="AD728">
        <f t="shared" si="251"/>
        <v>1.4652153584090346</v>
      </c>
    </row>
    <row r="729" spans="1:30">
      <c r="A729">
        <v>727</v>
      </c>
      <c r="B729">
        <v>8.5200755734294908</v>
      </c>
      <c r="C729">
        <f t="shared" si="255"/>
        <v>9.6616124797189009</v>
      </c>
      <c r="D729">
        <f t="shared" si="255"/>
        <v>9.4762113685204277</v>
      </c>
      <c r="E729">
        <f t="shared" si="256"/>
        <v>9.4815320442486808</v>
      </c>
      <c r="F729">
        <f t="shared" si="259"/>
        <v>9.4714628696895335</v>
      </c>
      <c r="G729">
        <f t="shared" si="259"/>
        <v>9.7616286389380615</v>
      </c>
      <c r="H729">
        <f t="shared" si="259"/>
        <v>10.076795905392899</v>
      </c>
      <c r="I729">
        <f t="shared" si="242"/>
        <v>1.5567203319634082</v>
      </c>
      <c r="J729">
        <f t="shared" si="257"/>
        <v>9.9250375262057382</v>
      </c>
      <c r="K729">
        <f t="shared" si="261"/>
        <v>9.5335810910845087</v>
      </c>
      <c r="L729">
        <f t="shared" si="261"/>
        <v>9.9429663013862157</v>
      </c>
      <c r="M729">
        <f t="shared" si="261"/>
        <v>9.7529587977716723</v>
      </c>
      <c r="N729">
        <f t="shared" si="243"/>
        <v>1.2328832243421814</v>
      </c>
      <c r="O729">
        <f t="shared" si="258"/>
        <v>9.6440451356504902</v>
      </c>
      <c r="P729">
        <f t="shared" si="262"/>
        <v>9.6500314918015562</v>
      </c>
      <c r="Q729">
        <f t="shared" si="260"/>
        <v>9.4301028551181059</v>
      </c>
      <c r="R729">
        <f t="shared" si="263"/>
        <v>9.798404257292276</v>
      </c>
      <c r="S729">
        <f t="shared" si="263"/>
        <v>9.7496552931532303</v>
      </c>
      <c r="T729">
        <f t="shared" si="244"/>
        <v>1.2295797197237395</v>
      </c>
      <c r="U729">
        <f t="shared" si="245"/>
        <v>-1.2295797197237395</v>
      </c>
      <c r="V729">
        <f t="shared" si="252"/>
        <v>9.9299567833450499</v>
      </c>
      <c r="W729">
        <f t="shared" si="246"/>
        <v>-1.4098812099155591</v>
      </c>
      <c r="X729">
        <f t="shared" si="253"/>
        <v>9.7676574733925214</v>
      </c>
      <c r="Y729">
        <f t="shared" si="247"/>
        <v>-1.2475818999630306</v>
      </c>
      <c r="Z729">
        <f t="shared" si="254"/>
        <v>9.7834699667233433</v>
      </c>
      <c r="AA729">
        <f t="shared" si="248"/>
        <v>-1.2633943932938525</v>
      </c>
      <c r="AB729">
        <f t="shared" si="249"/>
        <v>-1.0310444265705101</v>
      </c>
      <c r="AC729">
        <f t="shared" si="250"/>
        <v>9.4074979929387919</v>
      </c>
      <c r="AD729">
        <f t="shared" si="251"/>
        <v>-0.88742241950930101</v>
      </c>
    </row>
    <row r="730" spans="1:30">
      <c r="A730">
        <v>728</v>
      </c>
      <c r="B730">
        <v>9.7697686293409962</v>
      </c>
      <c r="C730">
        <f t="shared" si="255"/>
        <v>9.7183756887394885</v>
      </c>
      <c r="D730">
        <f t="shared" si="255"/>
        <v>9.2127863220335904</v>
      </c>
      <c r="E730">
        <f t="shared" si="256"/>
        <v>9.2811001776224309</v>
      </c>
      <c r="F730">
        <f t="shared" si="259"/>
        <v>9.5057489957765835</v>
      </c>
      <c r="G730">
        <f t="shared" si="259"/>
        <v>9.5306251897960568</v>
      </c>
      <c r="H730">
        <f t="shared" si="259"/>
        <v>10.0173433250463</v>
      </c>
      <c r="I730">
        <f t="shared" si="242"/>
        <v>0.24757469570530333</v>
      </c>
      <c r="J730">
        <f t="shared" si="257"/>
        <v>9.2411679265438842</v>
      </c>
      <c r="K730">
        <f t="shared" si="261"/>
        <v>9.5677457161162387</v>
      </c>
      <c r="L730">
        <f t="shared" si="261"/>
        <v>9.8617000650324407</v>
      </c>
      <c r="M730">
        <f t="shared" si="261"/>
        <v>9.8240360045428581</v>
      </c>
      <c r="N730">
        <f t="shared" si="243"/>
        <v>5.4267375201861867E-2</v>
      </c>
      <c r="O730">
        <f t="shared" si="258"/>
        <v>9.3468880671033059</v>
      </c>
      <c r="P730">
        <f t="shared" si="262"/>
        <v>9.6183069296171002</v>
      </c>
      <c r="Q730">
        <f t="shared" si="260"/>
        <v>9.3611618435561734</v>
      </c>
      <c r="R730">
        <f t="shared" si="263"/>
        <v>9.7445324997791936</v>
      </c>
      <c r="S730">
        <f t="shared" si="263"/>
        <v>9.7689240268655961</v>
      </c>
      <c r="T730">
        <f t="shared" si="244"/>
        <v>-8.4460247540008027E-4</v>
      </c>
      <c r="U730">
        <f t="shared" si="245"/>
        <v>8.4460247540008027E-4</v>
      </c>
      <c r="V730">
        <f t="shared" si="252"/>
        <v>9.7889686623534935</v>
      </c>
      <c r="W730">
        <f t="shared" si="246"/>
        <v>-1.9200033012497286E-2</v>
      </c>
      <c r="X730">
        <f t="shared" si="253"/>
        <v>9.5181410933999153</v>
      </c>
      <c r="Y730">
        <f t="shared" si="247"/>
        <v>0.25162753594108089</v>
      </c>
      <c r="Z730">
        <f t="shared" si="254"/>
        <v>9.4044516487351881</v>
      </c>
      <c r="AA730">
        <f t="shared" si="248"/>
        <v>0.36531698060580808</v>
      </c>
      <c r="AB730">
        <f t="shared" si="249"/>
        <v>0.21308862934099615</v>
      </c>
      <c r="AC730">
        <f t="shared" si="250"/>
        <v>9.3631040924486779</v>
      </c>
      <c r="AD730">
        <f t="shared" si="251"/>
        <v>0.4066645368923183</v>
      </c>
    </row>
    <row r="731" spans="1:30">
      <c r="A731">
        <v>729</v>
      </c>
      <c r="B731">
        <v>9.669140328953695</v>
      </c>
      <c r="C731">
        <f t="shared" si="255"/>
        <v>9.1449221013852444</v>
      </c>
      <c r="D731">
        <f t="shared" si="255"/>
        <v>9.6899940842291947</v>
      </c>
      <c r="E731">
        <f t="shared" si="256"/>
        <v>9.7355066689399905</v>
      </c>
      <c r="F731">
        <f t="shared" si="259"/>
        <v>9.4523745518207551</v>
      </c>
      <c r="G731">
        <f t="shared" si="259"/>
        <v>9.4590819941280913</v>
      </c>
      <c r="H731">
        <f t="shared" si="259"/>
        <v>9.7951934292226923</v>
      </c>
      <c r="I731">
        <f t="shared" si="242"/>
        <v>0.1260531002689973</v>
      </c>
      <c r="J731">
        <f t="shared" si="257"/>
        <v>9.4032672905520727</v>
      </c>
      <c r="K731">
        <f t="shared" si="261"/>
        <v>9.4157771041329621</v>
      </c>
      <c r="L731">
        <f t="shared" si="261"/>
        <v>9.74355991022464</v>
      </c>
      <c r="M731">
        <f t="shared" si="261"/>
        <v>9.8727172199206485</v>
      </c>
      <c r="N731">
        <f t="shared" si="243"/>
        <v>0.20357689096695353</v>
      </c>
      <c r="O731">
        <f t="shared" si="258"/>
        <v>9.4564418982323968</v>
      </c>
      <c r="P731">
        <f t="shared" si="262"/>
        <v>9.471321739982077</v>
      </c>
      <c r="Q731">
        <f t="shared" si="260"/>
        <v>9.664999051265573</v>
      </c>
      <c r="R731">
        <f t="shared" si="263"/>
        <v>9.6618925906407309</v>
      </c>
      <c r="S731">
        <f t="shared" si="263"/>
        <v>9.7855070591684026</v>
      </c>
      <c r="T731">
        <f t="shared" si="244"/>
        <v>0.11636673021470756</v>
      </c>
      <c r="U731">
        <f t="shared" si="245"/>
        <v>-0.11636673021470756</v>
      </c>
      <c r="V731">
        <f t="shared" si="252"/>
        <v>9.7870486590522443</v>
      </c>
      <c r="W731">
        <f t="shared" si="246"/>
        <v>-0.11790833009854929</v>
      </c>
      <c r="X731">
        <f t="shared" si="253"/>
        <v>9.5684666005881311</v>
      </c>
      <c r="Y731">
        <f t="shared" si="247"/>
        <v>0.10067372836556387</v>
      </c>
      <c r="Z731">
        <f t="shared" si="254"/>
        <v>9.5140467429169302</v>
      </c>
      <c r="AA731">
        <f t="shared" si="248"/>
        <v>0.15509358603676482</v>
      </c>
      <c r="AB731">
        <f t="shared" si="249"/>
        <v>0.10690032895369583</v>
      </c>
      <c r="AC731">
        <f t="shared" si="250"/>
        <v>9.3182912838521812</v>
      </c>
      <c r="AD731">
        <f t="shared" si="251"/>
        <v>0.35084904510151382</v>
      </c>
    </row>
    <row r="732" spans="1:30">
      <c r="A732">
        <v>730</v>
      </c>
      <c r="B732">
        <v>7.9766756913706729</v>
      </c>
      <c r="C732">
        <f t="shared" si="255"/>
        <v>9.7194544791473447</v>
      </c>
      <c r="D732">
        <f t="shared" si="255"/>
        <v>9.4316488950623665</v>
      </c>
      <c r="E732">
        <f t="shared" si="256"/>
        <v>9.3196615105747274</v>
      </c>
      <c r="F732">
        <f t="shared" si="259"/>
        <v>9.4993796302703668</v>
      </c>
      <c r="G732">
        <f t="shared" si="259"/>
        <v>9.4765288057622907</v>
      </c>
      <c r="H732">
        <f t="shared" si="259"/>
        <v>9.5837786076207365</v>
      </c>
      <c r="I732">
        <f t="shared" si="242"/>
        <v>1.6071029162500636</v>
      </c>
      <c r="J732">
        <f t="shared" si="257"/>
        <v>9.7189150839434166</v>
      </c>
      <c r="K732">
        <f t="shared" si="261"/>
        <v>9.4380069160665521</v>
      </c>
      <c r="L732">
        <f t="shared" si="261"/>
        <v>9.5804271047595719</v>
      </c>
      <c r="M732">
        <f t="shared" si="261"/>
        <v>9.8636303383145716</v>
      </c>
      <c r="N732">
        <f t="shared" si="243"/>
        <v>1.8869546469438987</v>
      </c>
      <c r="O732">
        <f t="shared" si="258"/>
        <v>9.3704672054288682</v>
      </c>
      <c r="P732">
        <f t="shared" si="262"/>
        <v>9.4219084927799059</v>
      </c>
      <c r="Q732">
        <f t="shared" si="260"/>
        <v>9.400596777411705</v>
      </c>
      <c r="R732">
        <f t="shared" si="263"/>
        <v>9.6516946466912454</v>
      </c>
      <c r="S732">
        <f t="shared" si="263"/>
        <v>9.7751599952207773</v>
      </c>
      <c r="T732">
        <f t="shared" si="244"/>
        <v>1.7984843038501044</v>
      </c>
      <c r="U732">
        <f t="shared" si="245"/>
        <v>-1.7984843038501044</v>
      </c>
      <c r="V732">
        <f t="shared" si="252"/>
        <v>9.7752578260423899</v>
      </c>
      <c r="W732">
        <f t="shared" si="246"/>
        <v>-1.798582134671717</v>
      </c>
      <c r="X732">
        <f t="shared" si="253"/>
        <v>9.5886013462612443</v>
      </c>
      <c r="Y732">
        <f t="shared" si="247"/>
        <v>-1.6119256548905714</v>
      </c>
      <c r="Z732">
        <f t="shared" si="254"/>
        <v>9.5605748187279591</v>
      </c>
      <c r="AA732">
        <f t="shared" si="248"/>
        <v>-1.5838991273572862</v>
      </c>
      <c r="AB732">
        <f t="shared" si="249"/>
        <v>-1.5911243086293272</v>
      </c>
      <c r="AC732">
        <f t="shared" si="250"/>
        <v>9.2730722231920684</v>
      </c>
      <c r="AD732">
        <f t="shared" si="251"/>
        <v>-1.2963965318213955</v>
      </c>
    </row>
    <row r="733" spans="1:30">
      <c r="A733">
        <v>731</v>
      </c>
      <c r="B733">
        <v>8.6395982729994891</v>
      </c>
      <c r="C733">
        <f t="shared" si="255"/>
        <v>8.822908010162184</v>
      </c>
      <c r="D733">
        <f t="shared" si="255"/>
        <v>9.4321882902662946</v>
      </c>
      <c r="E733">
        <f t="shared" si="256"/>
        <v>9.1385282165551214</v>
      </c>
      <c r="F733">
        <f t="shared" si="259"/>
        <v>9.4454227857123829</v>
      </c>
      <c r="G733">
        <f t="shared" si="259"/>
        <v>9.4858343926225697</v>
      </c>
      <c r="H733">
        <f t="shared" si="259"/>
        <v>9.4887453298954796</v>
      </c>
      <c r="I733">
        <f t="shared" si="242"/>
        <v>0.84914705689599046</v>
      </c>
      <c r="J733">
        <f t="shared" si="257"/>
        <v>8.9839150557737142</v>
      </c>
      <c r="K733">
        <f t="shared" si="261"/>
        <v>9.5720969568112775</v>
      </c>
      <c r="L733">
        <f t="shared" si="261"/>
        <v>9.4887777068500654</v>
      </c>
      <c r="M733">
        <f t="shared" si="261"/>
        <v>9.7821633453507175</v>
      </c>
      <c r="N733">
        <f t="shared" si="243"/>
        <v>1.1425650723512284</v>
      </c>
      <c r="O733">
        <f t="shared" si="258"/>
        <v>8.9150516992188695</v>
      </c>
      <c r="P733">
        <f t="shared" si="262"/>
        <v>9.4694442807993138</v>
      </c>
      <c r="Q733">
        <f t="shared" si="260"/>
        <v>9.209814197088777</v>
      </c>
      <c r="R733">
        <f t="shared" si="263"/>
        <v>9.5443248400115088</v>
      </c>
      <c r="S733">
        <f t="shared" si="263"/>
        <v>9.7571963370908552</v>
      </c>
      <c r="T733">
        <f t="shared" si="244"/>
        <v>1.1175980640913661</v>
      </c>
      <c r="U733">
        <f t="shared" si="245"/>
        <v>-1.1175980640913661</v>
      </c>
      <c r="V733">
        <f t="shared" si="252"/>
        <v>9.5953996125752177</v>
      </c>
      <c r="W733">
        <f t="shared" si="246"/>
        <v>-0.95580133957572855</v>
      </c>
      <c r="X733">
        <f t="shared" si="253"/>
        <v>9.26621621528313</v>
      </c>
      <c r="Y733">
        <f t="shared" si="247"/>
        <v>-0.62661794228364087</v>
      </c>
      <c r="Z733">
        <f t="shared" si="254"/>
        <v>9.0854050805207738</v>
      </c>
      <c r="AA733">
        <f t="shared" si="248"/>
        <v>-0.44580680752128465</v>
      </c>
      <c r="AB733">
        <f t="shared" si="249"/>
        <v>-0.93376172700051185</v>
      </c>
      <c r="AC733">
        <f t="shared" si="250"/>
        <v>9.2274596793562633</v>
      </c>
      <c r="AD733">
        <f t="shared" si="251"/>
        <v>-0.5878614063567742</v>
      </c>
    </row>
    <row r="734" spans="1:30">
      <c r="A734">
        <v>732</v>
      </c>
      <c r="B734">
        <v>8.6621891889720377</v>
      </c>
      <c r="C734">
        <f t="shared" si="255"/>
        <v>8.308136982185081</v>
      </c>
      <c r="D734">
        <f t="shared" si="255"/>
        <v>9.2711812446547643</v>
      </c>
      <c r="E734">
        <f t="shared" si="256"/>
        <v>8.7618047644412851</v>
      </c>
      <c r="F734">
        <f t="shared" si="259"/>
        <v>9.3978987986899458</v>
      </c>
      <c r="G734">
        <f t="shared" si="259"/>
        <v>9.4657256559345004</v>
      </c>
      <c r="H734">
        <f t="shared" si="259"/>
        <v>9.4738150641709851</v>
      </c>
      <c r="I734">
        <f t="shared" si="242"/>
        <v>0.81162587519894736</v>
      </c>
      <c r="J734">
        <f t="shared" si="257"/>
        <v>9.0137957306662138</v>
      </c>
      <c r="K734">
        <f t="shared" si="261"/>
        <v>9.3368163392032724</v>
      </c>
      <c r="L734">
        <f t="shared" si="261"/>
        <v>9.4984066732817567</v>
      </c>
      <c r="M734">
        <f t="shared" si="261"/>
        <v>9.6686161967166804</v>
      </c>
      <c r="N734">
        <f t="shared" si="243"/>
        <v>1.0064270077446427</v>
      </c>
      <c r="O734">
        <f t="shared" si="258"/>
        <v>8.9434744223273785</v>
      </c>
      <c r="P734">
        <f t="shared" si="262"/>
        <v>9.3465788011267854</v>
      </c>
      <c r="Q734">
        <f t="shared" si="260"/>
        <v>9.2486557166906369</v>
      </c>
      <c r="R734">
        <f t="shared" si="263"/>
        <v>9.4256705048124036</v>
      </c>
      <c r="S734">
        <f t="shared" si="263"/>
        <v>9.7082255425258737</v>
      </c>
      <c r="T734">
        <f t="shared" si="244"/>
        <v>1.046036353553836</v>
      </c>
      <c r="U734">
        <f t="shared" si="245"/>
        <v>-1.046036353553836</v>
      </c>
      <c r="V734">
        <f t="shared" si="252"/>
        <v>9.4998194786176455</v>
      </c>
      <c r="W734">
        <f t="shared" si="246"/>
        <v>-0.83763028964560782</v>
      </c>
      <c r="X734">
        <f t="shared" si="253"/>
        <v>9.1408926268264015</v>
      </c>
      <c r="Y734">
        <f t="shared" si="247"/>
        <v>-0.47870343785436376</v>
      </c>
      <c r="Z734">
        <f t="shared" si="254"/>
        <v>8.9516630382643889</v>
      </c>
      <c r="AA734">
        <f t="shared" si="248"/>
        <v>-0.2894738492923512</v>
      </c>
      <c r="AB734">
        <f t="shared" si="249"/>
        <v>-0.91673081102796239</v>
      </c>
      <c r="AC734">
        <f t="shared" si="250"/>
        <v>9.1814665305310665</v>
      </c>
      <c r="AD734">
        <f t="shared" si="251"/>
        <v>-0.51927734155902883</v>
      </c>
    </row>
    <row r="735" spans="1:30">
      <c r="A735">
        <v>733</v>
      </c>
      <c r="B735">
        <v>8.9600618056619705</v>
      </c>
      <c r="C735">
        <f t="shared" si="255"/>
        <v>8.6508937309857643</v>
      </c>
      <c r="D735">
        <f t="shared" si="255"/>
        <v>8.5655224961736316</v>
      </c>
      <c r="E735">
        <f t="shared" si="256"/>
        <v>8.4261543844474005</v>
      </c>
      <c r="F735">
        <f t="shared" si="259"/>
        <v>9.0733314971903791</v>
      </c>
      <c r="G735">
        <f t="shared" si="259"/>
        <v>9.4475670715575646</v>
      </c>
      <c r="H735">
        <f t="shared" si="259"/>
        <v>9.4760296181064536</v>
      </c>
      <c r="I735">
        <f t="shared" si="242"/>
        <v>0.51596781244448309</v>
      </c>
      <c r="J735">
        <f t="shared" si="257"/>
        <v>8.7369008705739741</v>
      </c>
      <c r="K735">
        <f t="shared" si="261"/>
        <v>9.2799732902338548</v>
      </c>
      <c r="L735">
        <f t="shared" si="261"/>
        <v>9.4406743290535164</v>
      </c>
      <c r="M735">
        <f t="shared" si="261"/>
        <v>9.5777928487790085</v>
      </c>
      <c r="N735">
        <f t="shared" si="243"/>
        <v>0.61773104311703797</v>
      </c>
      <c r="O735">
        <f t="shared" si="258"/>
        <v>8.7815330575915738</v>
      </c>
      <c r="P735">
        <f t="shared" si="262"/>
        <v>9.2064646584621634</v>
      </c>
      <c r="Q735">
        <f t="shared" si="260"/>
        <v>8.8729079475110648</v>
      </c>
      <c r="R735">
        <f t="shared" si="263"/>
        <v>9.3858884068551607</v>
      </c>
      <c r="S735">
        <f t="shared" si="263"/>
        <v>9.6377532232045606</v>
      </c>
      <c r="T735">
        <f t="shared" si="244"/>
        <v>0.6776914175425901</v>
      </c>
      <c r="U735">
        <f t="shared" si="245"/>
        <v>-0.6776914175425901</v>
      </c>
      <c r="V735">
        <f t="shared" si="252"/>
        <v>9.4160564496530839</v>
      </c>
      <c r="W735">
        <f t="shared" si="246"/>
        <v>-0.45599464399111334</v>
      </c>
      <c r="X735">
        <f t="shared" si="253"/>
        <v>9.0451519392555291</v>
      </c>
      <c r="Y735">
        <f t="shared" si="247"/>
        <v>-8.5090133593558548E-2</v>
      </c>
      <c r="Z735">
        <f t="shared" si="254"/>
        <v>8.8648208834766837</v>
      </c>
      <c r="AA735">
        <f t="shared" si="248"/>
        <v>9.5240922185286792E-2</v>
      </c>
      <c r="AB735">
        <f t="shared" si="249"/>
        <v>-0.6244181943380287</v>
      </c>
      <c r="AC735">
        <f t="shared" si="250"/>
        <v>9.1351057606239134</v>
      </c>
      <c r="AD735">
        <f t="shared" si="251"/>
        <v>-0.17504395496194292</v>
      </c>
    </row>
    <row r="736" spans="1:30">
      <c r="A736">
        <v>734</v>
      </c>
      <c r="B736">
        <v>10.343973897921426</v>
      </c>
      <c r="C736">
        <f t="shared" si="255"/>
        <v>8.8111254973170041</v>
      </c>
      <c r="D736">
        <f t="shared" si="255"/>
        <v>8.4795153565854235</v>
      </c>
      <c r="E736">
        <f t="shared" si="256"/>
        <v>8.7539497558778336</v>
      </c>
      <c r="F736">
        <f t="shared" si="259"/>
        <v>8.775495788481269</v>
      </c>
      <c r="G736">
        <f t="shared" si="259"/>
        <v>9.3055510271975681</v>
      </c>
      <c r="H736">
        <f t="shared" si="259"/>
        <v>9.4663757067048788</v>
      </c>
      <c r="I736">
        <f t="shared" si="242"/>
        <v>-0.87759819121654736</v>
      </c>
      <c r="J736">
        <f t="shared" si="257"/>
        <v>8.5596312397510435</v>
      </c>
      <c r="K736">
        <f t="shared" si="261"/>
        <v>9.1133816852393288</v>
      </c>
      <c r="L736">
        <f t="shared" si="261"/>
        <v>9.4067233755787392</v>
      </c>
      <c r="M736">
        <f t="shared" si="261"/>
        <v>9.5020714534862272</v>
      </c>
      <c r="N736">
        <f t="shared" si="243"/>
        <v>-0.84190244443519902</v>
      </c>
      <c r="O736">
        <f t="shared" si="258"/>
        <v>8.9164997713851193</v>
      </c>
      <c r="P736">
        <f t="shared" si="262"/>
        <v>9.093393656559817</v>
      </c>
      <c r="Q736">
        <f t="shared" si="260"/>
        <v>8.9462389862164766</v>
      </c>
      <c r="R736">
        <f t="shared" si="263"/>
        <v>9.293022588920655</v>
      </c>
      <c r="S736">
        <f t="shared" si="263"/>
        <v>9.5690005814650405</v>
      </c>
      <c r="T736">
        <f t="shared" si="244"/>
        <v>-0.77497331645638567</v>
      </c>
      <c r="U736">
        <f t="shared" si="245"/>
        <v>0.77497331645638567</v>
      </c>
      <c r="V736">
        <f t="shared" si="252"/>
        <v>9.3704569852539734</v>
      </c>
      <c r="W736">
        <f t="shared" si="246"/>
        <v>0.97351691266745277</v>
      </c>
      <c r="X736">
        <f t="shared" si="253"/>
        <v>9.0281339125368181</v>
      </c>
      <c r="Y736">
        <f t="shared" si="247"/>
        <v>1.3158399853846081</v>
      </c>
      <c r="Z736">
        <f t="shared" si="254"/>
        <v>8.8933931601322698</v>
      </c>
      <c r="AA736">
        <f t="shared" si="248"/>
        <v>1.4505807377891564</v>
      </c>
      <c r="AB736">
        <f t="shared" si="249"/>
        <v>0.75393389792142607</v>
      </c>
      <c r="AC736">
        <f t="shared" si="250"/>
        <v>9.0883904556568709</v>
      </c>
      <c r="AD736">
        <f t="shared" si="251"/>
        <v>1.2555834422645553</v>
      </c>
    </row>
    <row r="737" spans="1:32">
      <c r="A737">
        <v>735</v>
      </c>
      <c r="B737">
        <v>7.0648804195405939</v>
      </c>
      <c r="C737">
        <f t="shared" si="255"/>
        <v>9.6520178517916975</v>
      </c>
      <c r="D737">
        <f t="shared" si="255"/>
        <v>8.7310096141513842</v>
      </c>
      <c r="E737">
        <f t="shared" si="256"/>
        <v>9.3220749641851448</v>
      </c>
      <c r="F737">
        <f t="shared" si="259"/>
        <v>8.6473029682555076</v>
      </c>
      <c r="G737">
        <f t="shared" si="259"/>
        <v>9.0822420281205307</v>
      </c>
      <c r="H737">
        <f t="shared" si="259"/>
        <v>9.4062812515632093</v>
      </c>
      <c r="I737">
        <f t="shared" si="242"/>
        <v>2.3414008320226154</v>
      </c>
      <c r="J737">
        <f t="shared" si="257"/>
        <v>9.1514557913887309</v>
      </c>
      <c r="K737">
        <f t="shared" si="261"/>
        <v>8.8235607241912355</v>
      </c>
      <c r="L737">
        <f t="shared" si="261"/>
        <v>9.3255670678719333</v>
      </c>
      <c r="M737">
        <f t="shared" si="261"/>
        <v>9.4586455211910199</v>
      </c>
      <c r="N737">
        <f t="shared" si="243"/>
        <v>2.393765101650426</v>
      </c>
      <c r="O737">
        <f t="shared" si="258"/>
        <v>8.7341407170191037</v>
      </c>
      <c r="P737">
        <f t="shared" si="262"/>
        <v>8.9854052311903612</v>
      </c>
      <c r="Q737">
        <f t="shared" si="260"/>
        <v>9.0419398643132158</v>
      </c>
      <c r="R737">
        <f t="shared" si="263"/>
        <v>9.2238687793640395</v>
      </c>
      <c r="S737">
        <f t="shared" si="263"/>
        <v>9.4937489296552844</v>
      </c>
      <c r="T737">
        <f t="shared" si="244"/>
        <v>2.4288685101146905</v>
      </c>
      <c r="U737">
        <f t="shared" si="245"/>
        <v>-2.4288685101146905</v>
      </c>
      <c r="V737">
        <f t="shared" si="252"/>
        <v>9.4678086765207183</v>
      </c>
      <c r="W737">
        <f t="shared" si="246"/>
        <v>-2.4029282569801245</v>
      </c>
      <c r="X737">
        <f t="shared" si="253"/>
        <v>9.2913019096137397</v>
      </c>
      <c r="Y737">
        <f t="shared" si="247"/>
        <v>-2.2264214900731458</v>
      </c>
      <c r="Z737">
        <f t="shared" si="254"/>
        <v>9.328567381469016</v>
      </c>
      <c r="AA737">
        <f t="shared" si="248"/>
        <v>-2.2636869619284221</v>
      </c>
      <c r="AB737">
        <f t="shared" si="249"/>
        <v>-2.5307195804594071</v>
      </c>
      <c r="AC737">
        <f t="shared" si="250"/>
        <v>9.0413338001316603</v>
      </c>
      <c r="AD737">
        <f t="shared" si="251"/>
        <v>-1.9764533805910665</v>
      </c>
    </row>
    <row r="738" spans="1:32">
      <c r="A738">
        <v>736</v>
      </c>
      <c r="B738">
        <v>7.3942644640335686</v>
      </c>
      <c r="C738">
        <f t="shared" si="255"/>
        <v>8.7044271587310096</v>
      </c>
      <c r="D738">
        <f t="shared" si="255"/>
        <v>9.2315716745543508</v>
      </c>
      <c r="E738">
        <f t="shared" si="256"/>
        <v>8.7896387077079954</v>
      </c>
      <c r="F738">
        <f t="shared" si="259"/>
        <v>8.8340597015034596</v>
      </c>
      <c r="G738">
        <f t="shared" si="259"/>
        <v>8.8320434179757186</v>
      </c>
      <c r="H738">
        <f t="shared" si="259"/>
        <v>9.2784533756252205</v>
      </c>
      <c r="I738">
        <f t="shared" si="242"/>
        <v>1.8841889115916519</v>
      </c>
      <c r="J738">
        <f t="shared" si="257"/>
        <v>8.7577763280240077</v>
      </c>
      <c r="K738">
        <f t="shared" si="261"/>
        <v>8.8654459080949906</v>
      </c>
      <c r="L738">
        <f t="shared" si="261"/>
        <v>9.1384330097169233</v>
      </c>
      <c r="M738">
        <f t="shared" si="261"/>
        <v>9.417842861446486</v>
      </c>
      <c r="N738">
        <f t="shared" si="243"/>
        <v>2.0235783974129173</v>
      </c>
      <c r="O738">
        <f t="shared" si="258"/>
        <v>8.4850739552259196</v>
      </c>
      <c r="P738">
        <f t="shared" si="262"/>
        <v>8.8581399335084079</v>
      </c>
      <c r="Q738">
        <f t="shared" si="260"/>
        <v>8.6078965460776988</v>
      </c>
      <c r="R738">
        <f t="shared" si="263"/>
        <v>9.1200255815386466</v>
      </c>
      <c r="S738">
        <f t="shared" si="263"/>
        <v>9.4207449611091683</v>
      </c>
      <c r="T738">
        <f t="shared" si="244"/>
        <v>2.0264804970755996</v>
      </c>
      <c r="U738">
        <f t="shared" si="245"/>
        <v>-2.0264804970755996</v>
      </c>
      <c r="V738">
        <f t="shared" si="252"/>
        <v>9.2275158508227051</v>
      </c>
      <c r="W738">
        <f t="shared" si="246"/>
        <v>-1.8332513867891365</v>
      </c>
      <c r="X738">
        <f t="shared" si="253"/>
        <v>8.8460176115991107</v>
      </c>
      <c r="Y738">
        <f t="shared" si="247"/>
        <v>-1.4517531475655421</v>
      </c>
      <c r="Z738">
        <f t="shared" si="254"/>
        <v>8.6494612928904893</v>
      </c>
      <c r="AA738">
        <f t="shared" si="248"/>
        <v>-1.2551968288569206</v>
      </c>
      <c r="AB738">
        <f t="shared" si="249"/>
        <v>-2.2068955359664315</v>
      </c>
      <c r="AC738">
        <f t="shared" si="250"/>
        <v>8.9939490733674283</v>
      </c>
      <c r="AD738">
        <f t="shared" si="251"/>
        <v>-1.5996846093338597</v>
      </c>
    </row>
    <row r="739" spans="1:32">
      <c r="A739">
        <v>737</v>
      </c>
      <c r="B739">
        <v>8.0317266380213237</v>
      </c>
      <c r="C739">
        <f t="shared" si="255"/>
        <v>7.2295724417870808</v>
      </c>
      <c r="D739">
        <f t="shared" si="255"/>
        <v>9.1782225052613526</v>
      </c>
      <c r="E739">
        <f t="shared" si="256"/>
        <v>8.2677062604985299</v>
      </c>
      <c r="F739">
        <f t="shared" si="259"/>
        <v>8.9552211425903252</v>
      </c>
      <c r="G739">
        <f t="shared" si="259"/>
        <v>8.7522861527467448</v>
      </c>
      <c r="H739">
        <f t="shared" si="259"/>
        <v>9.0732788244312719</v>
      </c>
      <c r="I739">
        <f t="shared" si="242"/>
        <v>1.0415521864099482</v>
      </c>
      <c r="J739">
        <f t="shared" si="257"/>
        <v>8.4407951467893891</v>
      </c>
      <c r="K739">
        <f t="shared" si="261"/>
        <v>8.8014410574344382</v>
      </c>
      <c r="L739">
        <f t="shared" si="261"/>
        <v>9.0205904019398524</v>
      </c>
      <c r="M739">
        <f t="shared" si="261"/>
        <v>9.3278494455552785</v>
      </c>
      <c r="N739">
        <f t="shared" si="243"/>
        <v>1.2961228075339548</v>
      </c>
      <c r="O739">
        <f t="shared" si="258"/>
        <v>8.3589814450357771</v>
      </c>
      <c r="P739">
        <f t="shared" si="262"/>
        <v>8.7721443847098186</v>
      </c>
      <c r="Q739">
        <f t="shared" si="260"/>
        <v>8.5108280081881809</v>
      </c>
      <c r="R739">
        <f t="shared" si="263"/>
        <v>8.9879088763163111</v>
      </c>
      <c r="S739">
        <f t="shared" si="263"/>
        <v>9.332133450250403</v>
      </c>
      <c r="T739">
        <f t="shared" si="244"/>
        <v>1.3004068122290793</v>
      </c>
      <c r="U739">
        <f t="shared" si="245"/>
        <v>-1.3004068122290793</v>
      </c>
      <c r="V739">
        <f t="shared" si="252"/>
        <v>9.0441907121437914</v>
      </c>
      <c r="W739">
        <f t="shared" si="246"/>
        <v>-1.0124640741224677</v>
      </c>
      <c r="X739">
        <f t="shared" si="253"/>
        <v>8.5556669820860023</v>
      </c>
      <c r="Y739">
        <f t="shared" si="247"/>
        <v>-0.5239403440646786</v>
      </c>
      <c r="Z739">
        <f t="shared" si="254"/>
        <v>8.2729022442334124</v>
      </c>
      <c r="AA739">
        <f t="shared" si="248"/>
        <v>-0.24117560621208867</v>
      </c>
      <c r="AB739">
        <f t="shared" si="249"/>
        <v>-1.5749933619786756</v>
      </c>
      <c r="AC739">
        <f t="shared" si="250"/>
        <v>8.9462496458121077</v>
      </c>
      <c r="AD739">
        <f t="shared" si="251"/>
        <v>-0.91452300779078399</v>
      </c>
    </row>
    <row r="740" spans="1:32">
      <c r="A740">
        <v>738</v>
      </c>
      <c r="B740">
        <v>6.9899421022403398</v>
      </c>
      <c r="C740">
        <f t="shared" si="255"/>
        <v>7.7129955510274462</v>
      </c>
      <c r="D740">
        <f t="shared" si="255"/>
        <v>7.9669998002590452</v>
      </c>
      <c r="E740">
        <f t="shared" si="256"/>
        <v>7.4969571738651624</v>
      </c>
      <c r="F740">
        <f t="shared" si="259"/>
        <v>8.7931399774638894</v>
      </c>
      <c r="G740">
        <f t="shared" si="259"/>
        <v>8.8121946041164296</v>
      </c>
      <c r="H740">
        <f t="shared" si="259"/>
        <v>8.888857199614332</v>
      </c>
      <c r="I740">
        <f t="shared" si="242"/>
        <v>1.8989150973739921</v>
      </c>
      <c r="J740">
        <f t="shared" si="257"/>
        <v>8.2087113548792274</v>
      </c>
      <c r="K740">
        <f t="shared" si="261"/>
        <v>8.7274146264882937</v>
      </c>
      <c r="L740">
        <f t="shared" si="261"/>
        <v>8.9009573437399983</v>
      </c>
      <c r="M740">
        <f t="shared" si="261"/>
        <v>9.2228284637768621</v>
      </c>
      <c r="N740">
        <f t="shared" si="243"/>
        <v>2.2328863615365222</v>
      </c>
      <c r="O740">
        <f t="shared" si="258"/>
        <v>7.9649575043514504</v>
      </c>
      <c r="P740">
        <f t="shared" si="262"/>
        <v>8.6552457892514987</v>
      </c>
      <c r="Q740">
        <f t="shared" si="260"/>
        <v>8.4095160690251536</v>
      </c>
      <c r="R740">
        <f t="shared" si="263"/>
        <v>8.8714111781662126</v>
      </c>
      <c r="S740">
        <f t="shared" si="263"/>
        <v>9.2393974563012033</v>
      </c>
      <c r="T740">
        <f t="shared" si="244"/>
        <v>2.2494553540608635</v>
      </c>
      <c r="U740">
        <f t="shared" si="245"/>
        <v>-2.2494553540608635</v>
      </c>
      <c r="V740">
        <f t="shared" si="252"/>
        <v>8.9429443047315438</v>
      </c>
      <c r="W740">
        <f t="shared" si="246"/>
        <v>-1.9530022024912039</v>
      </c>
      <c r="X740">
        <f t="shared" si="253"/>
        <v>8.4508789132730673</v>
      </c>
      <c r="Y740">
        <f t="shared" si="247"/>
        <v>-1.4609368110327274</v>
      </c>
      <c r="Z740">
        <f t="shared" si="254"/>
        <v>8.2005495623697851</v>
      </c>
      <c r="AA740">
        <f t="shared" si="248"/>
        <v>-1.2106074601294452</v>
      </c>
      <c r="AB740">
        <f t="shared" si="249"/>
        <v>-2.6223378977596603</v>
      </c>
      <c r="AC740">
        <f t="shared" si="250"/>
        <v>8.8982489753284799</v>
      </c>
      <c r="AD740">
        <f t="shared" si="251"/>
        <v>-1.9083068730881401</v>
      </c>
    </row>
    <row r="741" spans="1:32">
      <c r="A741">
        <v>739</v>
      </c>
      <c r="B741">
        <v>9.4663864077959534</v>
      </c>
      <c r="C741">
        <f t="shared" si="255"/>
        <v>7.5108343701308318</v>
      </c>
      <c r="D741">
        <f t="shared" si="255"/>
        <v>7.4712839964072639</v>
      </c>
      <c r="E741">
        <f t="shared" si="256"/>
        <v>7.4719777347650771</v>
      </c>
      <c r="F741">
        <f t="shared" si="259"/>
        <v>8.1847673806905625</v>
      </c>
      <c r="G741">
        <f t="shared" si="259"/>
        <v>8.8608069405192253</v>
      </c>
      <c r="H741">
        <f t="shared" si="259"/>
        <v>8.7988413916129655</v>
      </c>
      <c r="I741">
        <f t="shared" si="242"/>
        <v>-0.66754501618298789</v>
      </c>
      <c r="J741">
        <f t="shared" si="257"/>
        <v>7.3702034059589572</v>
      </c>
      <c r="K741">
        <f t="shared" si="261"/>
        <v>8.6396846552703384</v>
      </c>
      <c r="L741">
        <f t="shared" si="261"/>
        <v>8.8044655790522395</v>
      </c>
      <c r="M741">
        <f t="shared" si="261"/>
        <v>9.0963869558171773</v>
      </c>
      <c r="N741">
        <f t="shared" si="243"/>
        <v>-0.36999945197877615</v>
      </c>
      <c r="O741">
        <f t="shared" si="258"/>
        <v>7.7894400063263562</v>
      </c>
      <c r="P741">
        <f t="shared" si="262"/>
        <v>8.4919306786034738</v>
      </c>
      <c r="Q741">
        <f t="shared" si="260"/>
        <v>8.1308082212365367</v>
      </c>
      <c r="R741">
        <f t="shared" si="263"/>
        <v>8.7315545702219648</v>
      </c>
      <c r="S741">
        <f t="shared" si="263"/>
        <v>9.1470209018601718</v>
      </c>
      <c r="T741">
        <f t="shared" si="244"/>
        <v>-0.31936550593578161</v>
      </c>
      <c r="U741">
        <f t="shared" si="245"/>
        <v>0.31936550593578161</v>
      </c>
      <c r="V741">
        <f t="shared" si="252"/>
        <v>8.7476440844824239</v>
      </c>
      <c r="W741">
        <f t="shared" si="246"/>
        <v>0.7187423233135295</v>
      </c>
      <c r="X741">
        <f t="shared" si="253"/>
        <v>8.1586915510665214</v>
      </c>
      <c r="Y741">
        <f t="shared" si="247"/>
        <v>1.307694856729432</v>
      </c>
      <c r="Z741">
        <f t="shared" si="254"/>
        <v>7.8373673243309518</v>
      </c>
      <c r="AA741">
        <f t="shared" si="248"/>
        <v>1.6290190834650016</v>
      </c>
      <c r="AB741">
        <f t="shared" si="249"/>
        <v>-0.15145359220404764</v>
      </c>
      <c r="AC741">
        <f t="shared" si="250"/>
        <v>8.849960603456001</v>
      </c>
      <c r="AD741">
        <f t="shared" si="251"/>
        <v>0.61642580433995242</v>
      </c>
    </row>
    <row r="742" spans="1:32">
      <c r="A742">
        <v>740</v>
      </c>
      <c r="B742">
        <v>9.5187162519057473</v>
      </c>
      <c r="C742">
        <f t="shared" si="255"/>
        <v>8.2281642550181466</v>
      </c>
      <c r="D742">
        <f t="shared" si="255"/>
        <v>7.6119149605791385</v>
      </c>
      <c r="E742">
        <f t="shared" si="256"/>
        <v>8.1626850493525396</v>
      </c>
      <c r="F742">
        <f t="shared" si="259"/>
        <v>7.7455470563762567</v>
      </c>
      <c r="G742">
        <f t="shared" si="259"/>
        <v>8.6443761669149257</v>
      </c>
      <c r="H742">
        <f t="shared" si="259"/>
        <v>8.8084292324608011</v>
      </c>
      <c r="I742">
        <f t="shared" si="242"/>
        <v>-0.71028701944494621</v>
      </c>
      <c r="J742">
        <f t="shared" si="257"/>
        <v>7.9705799030227968</v>
      </c>
      <c r="K742">
        <f t="shared" si="261"/>
        <v>8.1943715589128949</v>
      </c>
      <c r="L742">
        <f t="shared" si="261"/>
        <v>8.7584965618220156</v>
      </c>
      <c r="M742">
        <f t="shared" si="261"/>
        <v>8.9661115836122534</v>
      </c>
      <c r="N742">
        <f t="shared" si="243"/>
        <v>-0.55260466829349397</v>
      </c>
      <c r="O742">
        <f t="shared" si="258"/>
        <v>8.280207172799388</v>
      </c>
      <c r="P742">
        <f t="shared" si="262"/>
        <v>8.2665187255917214</v>
      </c>
      <c r="Q742">
        <f t="shared" si="260"/>
        <v>8.2151956549255338</v>
      </c>
      <c r="R742">
        <f t="shared" si="263"/>
        <v>8.607871282509544</v>
      </c>
      <c r="S742">
        <f t="shared" si="263"/>
        <v>9.0379652624213058</v>
      </c>
      <c r="T742">
        <f t="shared" si="244"/>
        <v>-0.4807509894844415</v>
      </c>
      <c r="U742">
        <f t="shared" si="245"/>
        <v>0.4807509894844415</v>
      </c>
      <c r="V742">
        <f t="shared" si="252"/>
        <v>8.8195183168137774</v>
      </c>
      <c r="W742">
        <f t="shared" si="246"/>
        <v>0.69919793509196992</v>
      </c>
      <c r="X742">
        <f t="shared" si="253"/>
        <v>8.4202305224124085</v>
      </c>
      <c r="Y742">
        <f t="shared" si="247"/>
        <v>1.0984857294933388</v>
      </c>
      <c r="Z742">
        <f t="shared" si="254"/>
        <v>8.3260730493704518</v>
      </c>
      <c r="AA742">
        <f t="shared" si="248"/>
        <v>1.1926432025352955</v>
      </c>
      <c r="AB742">
        <f t="shared" si="249"/>
        <v>-0.10468374809425285</v>
      </c>
      <c r="AC742">
        <f t="shared" si="250"/>
        <v>8.8013981516493107</v>
      </c>
      <c r="AD742">
        <f t="shared" si="251"/>
        <v>0.71731810025643661</v>
      </c>
    </row>
    <row r="743" spans="1:32">
      <c r="A743">
        <v>741</v>
      </c>
      <c r="B743">
        <v>8.7238758646981882</v>
      </c>
      <c r="C743">
        <f t="shared" si="255"/>
        <v>9.4925513298508513</v>
      </c>
      <c r="D743">
        <f t="shared" si="255"/>
        <v>7.8694993125744892</v>
      </c>
      <c r="E743">
        <f t="shared" si="256"/>
        <v>8.6583482539806802</v>
      </c>
      <c r="F743">
        <f t="shared" si="259"/>
        <v>7.7105399859942594</v>
      </c>
      <c r="G743">
        <f t="shared" si="259"/>
        <v>8.2411514715102374</v>
      </c>
      <c r="H743">
        <f t="shared" si="259"/>
        <v>8.7724592371835257</v>
      </c>
      <c r="I743">
        <f t="shared" si="242"/>
        <v>4.8583372485337506E-2</v>
      </c>
      <c r="J743">
        <f t="shared" si="257"/>
        <v>8.5016928499908424</v>
      </c>
      <c r="K743">
        <f t="shared" si="261"/>
        <v>7.9975724526625935</v>
      </c>
      <c r="L743">
        <f t="shared" si="261"/>
        <v>8.5907279745264908</v>
      </c>
      <c r="M743">
        <f t="shared" si="261"/>
        <v>8.8711274716385269</v>
      </c>
      <c r="N743">
        <f t="shared" si="243"/>
        <v>0.14725160694033868</v>
      </c>
      <c r="O743">
        <f t="shared" si="258"/>
        <v>8.5461294529323109</v>
      </c>
      <c r="P743">
        <f t="shared" si="262"/>
        <v>8.1757320167477765</v>
      </c>
      <c r="Q743">
        <f t="shared" si="260"/>
        <v>8.0776527139229213</v>
      </c>
      <c r="R743">
        <f t="shared" si="263"/>
        <v>8.486030727294386</v>
      </c>
      <c r="S743">
        <f t="shared" si="263"/>
        <v>8.9237733780194528</v>
      </c>
      <c r="T743">
        <f t="shared" si="244"/>
        <v>0.1998975133212646</v>
      </c>
      <c r="U743">
        <f t="shared" si="245"/>
        <v>-0.1998975133212646</v>
      </c>
      <c r="V743">
        <f t="shared" si="252"/>
        <v>8.889438110322974</v>
      </c>
      <c r="W743">
        <f t="shared" si="246"/>
        <v>-0.16556224562478583</v>
      </c>
      <c r="X743">
        <f t="shared" si="253"/>
        <v>8.6399276683110759</v>
      </c>
      <c r="Y743">
        <f t="shared" si="247"/>
        <v>8.3948196387112262E-2</v>
      </c>
      <c r="Z743">
        <f t="shared" si="254"/>
        <v>8.683866010131041</v>
      </c>
      <c r="AA743">
        <f t="shared" si="248"/>
        <v>4.0009854567147229E-2</v>
      </c>
      <c r="AB743">
        <f t="shared" si="249"/>
        <v>-0.90508413530181109</v>
      </c>
      <c r="AC743">
        <f t="shared" si="250"/>
        <v>8.752575317494621</v>
      </c>
      <c r="AD743">
        <f t="shared" si="251"/>
        <v>-2.8699452796432823E-2</v>
      </c>
    </row>
    <row r="744" spans="1:32">
      <c r="A744">
        <v>742</v>
      </c>
      <c r="B744">
        <v>7.0858554021156444</v>
      </c>
      <c r="C744">
        <f t="shared" si="255"/>
        <v>9.1212960583019687</v>
      </c>
      <c r="D744">
        <f t="shared" si="255"/>
        <v>8.8603577924344989</v>
      </c>
      <c r="E744">
        <f t="shared" si="256"/>
        <v>9.236326174799963</v>
      </c>
      <c r="F744">
        <f t="shared" si="259"/>
        <v>8.0976703460327659</v>
      </c>
      <c r="G744">
        <f t="shared" si="259"/>
        <v>7.8802848076870262</v>
      </c>
      <c r="H744">
        <f t="shared" si="259"/>
        <v>8.5821115263147956</v>
      </c>
      <c r="I744">
        <f t="shared" si="242"/>
        <v>1.4962561241991512</v>
      </c>
      <c r="J744">
        <f t="shared" si="257"/>
        <v>8.6747301566600576</v>
      </c>
      <c r="K744">
        <f t="shared" si="261"/>
        <v>8.0127968784629573</v>
      </c>
      <c r="L744">
        <f t="shared" si="261"/>
        <v>8.3897608233335301</v>
      </c>
      <c r="M744">
        <f t="shared" si="261"/>
        <v>8.7636618647851847</v>
      </c>
      <c r="N744">
        <f t="shared" si="243"/>
        <v>1.6778064626695404</v>
      </c>
      <c r="O744">
        <f t="shared" si="258"/>
        <v>8.3569552057511736</v>
      </c>
      <c r="P744">
        <f t="shared" si="262"/>
        <v>8.1879431162890572</v>
      </c>
      <c r="Q744">
        <f t="shared" si="260"/>
        <v>8.3541519547825214</v>
      </c>
      <c r="R744">
        <f t="shared" si="263"/>
        <v>8.3253162022293363</v>
      </c>
      <c r="S744">
        <f t="shared" si="263"/>
        <v>8.8008003693411769</v>
      </c>
      <c r="T744">
        <f t="shared" si="244"/>
        <v>1.7149449672255326</v>
      </c>
      <c r="U744">
        <f t="shared" si="245"/>
        <v>-1.7149449672255326</v>
      </c>
      <c r="V744">
        <f t="shared" si="252"/>
        <v>8.8728818857604956</v>
      </c>
      <c r="W744">
        <f t="shared" si="246"/>
        <v>-1.7870264836448513</v>
      </c>
      <c r="X744">
        <f t="shared" si="253"/>
        <v>8.6567173075884991</v>
      </c>
      <c r="Y744">
        <f t="shared" si="247"/>
        <v>-1.5708619054728548</v>
      </c>
      <c r="Z744">
        <f t="shared" si="254"/>
        <v>8.6958689665011857</v>
      </c>
      <c r="AA744">
        <f t="shared" si="248"/>
        <v>-1.6100135643855413</v>
      </c>
      <c r="AB744">
        <f t="shared" si="249"/>
        <v>-2.5486645978843558</v>
      </c>
      <c r="AC744">
        <f t="shared" si="250"/>
        <v>8.7035058709048787</v>
      </c>
      <c r="AD744">
        <f t="shared" si="251"/>
        <v>-1.6176504687892344</v>
      </c>
    </row>
    <row r="745" spans="1:32">
      <c r="A745">
        <v>743</v>
      </c>
      <c r="B745">
        <v>6.4069462650984956</v>
      </c>
      <c r="C745">
        <f t="shared" si="255"/>
        <v>7.9048656334069163</v>
      </c>
      <c r="D745">
        <f t="shared" si="255"/>
        <v>9.30692369407641</v>
      </c>
      <c r="E745">
        <f t="shared" si="256"/>
        <v>8.4428158395731945</v>
      </c>
      <c r="F745">
        <f t="shared" si="259"/>
        <v>8.6857864927110615</v>
      </c>
      <c r="G745">
        <f t="shared" si="259"/>
        <v>7.8512524628010949</v>
      </c>
      <c r="H745">
        <f t="shared" si="259"/>
        <v>8.2552708153707304</v>
      </c>
      <c r="I745">
        <f t="shared" si="242"/>
        <v>1.8483245502722347</v>
      </c>
      <c r="J745">
        <f t="shared" si="257"/>
        <v>8.6987084816288842</v>
      </c>
      <c r="K745">
        <f t="shared" si="261"/>
        <v>8.1293015789081622</v>
      </c>
      <c r="L745">
        <f t="shared" si="261"/>
        <v>8.2111063863271969</v>
      </c>
      <c r="M745">
        <f t="shared" si="261"/>
        <v>8.6358627346835686</v>
      </c>
      <c r="N745">
        <f t="shared" si="243"/>
        <v>2.2289164695850729</v>
      </c>
      <c r="O745">
        <f t="shared" si="258"/>
        <v>8.2403560383228065</v>
      </c>
      <c r="P745">
        <f t="shared" si="262"/>
        <v>8.1875378684321358</v>
      </c>
      <c r="Q745">
        <f t="shared" si="260"/>
        <v>8.3027504444628661</v>
      </c>
      <c r="R745">
        <f t="shared" si="263"/>
        <v>8.2830254370134746</v>
      </c>
      <c r="S745">
        <f t="shared" si="263"/>
        <v>8.6683488061229585</v>
      </c>
      <c r="T745">
        <f t="shared" si="244"/>
        <v>2.2614025410244629</v>
      </c>
      <c r="U745">
        <f t="shared" si="245"/>
        <v>-2.2614025410244629</v>
      </c>
      <c r="V745">
        <f t="shared" si="252"/>
        <v>8.6941792373960105</v>
      </c>
      <c r="W745">
        <f t="shared" si="246"/>
        <v>-2.2872329722975149</v>
      </c>
      <c r="X745">
        <f t="shared" si="253"/>
        <v>8.3425449264939289</v>
      </c>
      <c r="Y745">
        <f t="shared" si="247"/>
        <v>-1.9355986613954332</v>
      </c>
      <c r="Z745">
        <f t="shared" si="254"/>
        <v>8.2128648971855238</v>
      </c>
      <c r="AA745">
        <f t="shared" si="248"/>
        <v>-1.8059186320870282</v>
      </c>
      <c r="AB745">
        <f t="shared" si="249"/>
        <v>-3.2331337349015055</v>
      </c>
      <c r="AC745">
        <f t="shared" si="250"/>
        <v>8.6542036502949173</v>
      </c>
      <c r="AD745">
        <f t="shared" si="251"/>
        <v>-2.2472573851964217</v>
      </c>
    </row>
    <row r="746" spans="1:32">
      <c r="A746">
        <v>744</v>
      </c>
      <c r="B746">
        <v>8.947053069407632</v>
      </c>
      <c r="C746">
        <f t="shared" si="255"/>
        <v>6.74640083360707</v>
      </c>
      <c r="D746">
        <f t="shared" si="255"/>
        <v>8.5130808458544429</v>
      </c>
      <c r="E746">
        <f t="shared" si="256"/>
        <v>7.4055591773041094</v>
      </c>
      <c r="F746">
        <f t="shared" si="259"/>
        <v>8.7791634227846131</v>
      </c>
      <c r="G746">
        <f t="shared" si="259"/>
        <v>8.1646656082460289</v>
      </c>
      <c r="H746">
        <f t="shared" si="259"/>
        <v>7.9908962473327856</v>
      </c>
      <c r="I746">
        <f t="shared" si="242"/>
        <v>-0.95615682207484642</v>
      </c>
      <c r="J746">
        <f t="shared" si="257"/>
        <v>7.9338484459545189</v>
      </c>
      <c r="K746">
        <f t="shared" si="261"/>
        <v>8.4614278478256466</v>
      </c>
      <c r="L746">
        <f t="shared" si="261"/>
        <v>8.0835106172366515</v>
      </c>
      <c r="M746">
        <f t="shared" si="261"/>
        <v>8.4875229365023088</v>
      </c>
      <c r="N746">
        <f t="shared" si="243"/>
        <v>-0.45953013290532319</v>
      </c>
      <c r="O746">
        <f t="shared" si="258"/>
        <v>8.1364893706451404</v>
      </c>
      <c r="P746">
        <f t="shared" si="262"/>
        <v>8.2426175752264079</v>
      </c>
      <c r="Q746">
        <f t="shared" si="260"/>
        <v>8.0319537156423948</v>
      </c>
      <c r="R746">
        <f t="shared" si="263"/>
        <v>8.2483458430592567</v>
      </c>
      <c r="S746">
        <f t="shared" si="263"/>
        <v>8.5508682329058203</v>
      </c>
      <c r="T746">
        <f t="shared" si="244"/>
        <v>-0.39618483650181169</v>
      </c>
      <c r="U746">
        <f t="shared" si="245"/>
        <v>0.39618483650181169</v>
      </c>
      <c r="V746">
        <f t="shared" si="252"/>
        <v>8.4654559401662581</v>
      </c>
      <c r="W746">
        <f t="shared" si="246"/>
        <v>0.48159712924137388</v>
      </c>
      <c r="X746">
        <f t="shared" si="253"/>
        <v>7.9554251942148424</v>
      </c>
      <c r="Y746">
        <f t="shared" si="247"/>
        <v>0.99162787519278961</v>
      </c>
      <c r="Z746">
        <f t="shared" si="254"/>
        <v>7.6710893075594155</v>
      </c>
      <c r="AA746">
        <f t="shared" si="248"/>
        <v>1.2759637618482165</v>
      </c>
      <c r="AB746">
        <f t="shared" si="249"/>
        <v>-0.6985869305923682</v>
      </c>
      <c r="AC746">
        <f t="shared" si="250"/>
        <v>8.60468255873751</v>
      </c>
      <c r="AD746">
        <f t="shared" si="251"/>
        <v>0.34237051067012203</v>
      </c>
    </row>
    <row r="747" spans="1:32">
      <c r="A747">
        <v>745</v>
      </c>
      <c r="B747">
        <v>8.3591922366701894</v>
      </c>
      <c r="C747">
        <f t="shared" si="255"/>
        <v>7.6769996672530638</v>
      </c>
      <c r="D747">
        <f t="shared" si="255"/>
        <v>7.3256332335069931</v>
      </c>
      <c r="E747">
        <f t="shared" si="256"/>
        <v>7.4799515788739237</v>
      </c>
      <c r="F747">
        <f t="shared" si="259"/>
        <v>8.3615670638924211</v>
      </c>
      <c r="G747">
        <f t="shared" si="259"/>
        <v>8.5208734205094796</v>
      </c>
      <c r="H747">
        <f t="shared" si="259"/>
        <v>7.9654009595780506</v>
      </c>
      <c r="I747">
        <f t="shared" si="242"/>
        <v>-0.39379127709213879</v>
      </c>
      <c r="J747">
        <f t="shared" si="257"/>
        <v>7.7909326503299905</v>
      </c>
      <c r="K747">
        <f t="shared" si="261"/>
        <v>8.4522449835585753</v>
      </c>
      <c r="L747">
        <f t="shared" si="261"/>
        <v>8.1502746894648403</v>
      </c>
      <c r="M747">
        <f t="shared" si="261"/>
        <v>8.3187764503559656</v>
      </c>
      <c r="N747">
        <f t="shared" si="243"/>
        <v>-4.0415786314223823E-2</v>
      </c>
      <c r="O747">
        <f t="shared" si="258"/>
        <v>7.9045845675980306</v>
      </c>
      <c r="P747">
        <f t="shared" si="262"/>
        <v>8.3120274480901628</v>
      </c>
      <c r="Q747">
        <f t="shared" si="260"/>
        <v>8.3581388768369447</v>
      </c>
      <c r="R747">
        <f t="shared" si="263"/>
        <v>8.1854187841621293</v>
      </c>
      <c r="S747">
        <f t="shared" si="263"/>
        <v>8.4470240103879934</v>
      </c>
      <c r="T747">
        <f t="shared" si="244"/>
        <v>8.783177371780404E-2</v>
      </c>
      <c r="U747">
        <f t="shared" si="245"/>
        <v>-8.783177371780404E-2</v>
      </c>
      <c r="V747">
        <f t="shared" si="252"/>
        <v>8.5136156530903957</v>
      </c>
      <c r="W747">
        <f t="shared" si="246"/>
        <v>-0.15442341642020629</v>
      </c>
      <c r="X747">
        <f t="shared" si="253"/>
        <v>8.153750769253401</v>
      </c>
      <c r="Y747">
        <f t="shared" si="247"/>
        <v>0.20544146741678837</v>
      </c>
      <c r="Z747">
        <f t="shared" si="254"/>
        <v>8.0538784361138802</v>
      </c>
      <c r="AA747">
        <f t="shared" si="248"/>
        <v>0.30531380055630919</v>
      </c>
      <c r="AB747">
        <f t="shared" si="249"/>
        <v>-1.2920077633298099</v>
      </c>
      <c r="AC747">
        <f t="shared" si="250"/>
        <v>8.5549565601015196</v>
      </c>
      <c r="AD747">
        <f t="shared" si="251"/>
        <v>-0.19576432343133021</v>
      </c>
    </row>
    <row r="749" spans="1:32">
      <c r="B749" s="16" t="s">
        <v>68</v>
      </c>
      <c r="I749" s="16" cm="1">
        <f t="array" ref="I749">SUM(ABS(I2:I747))/ COUNT(I2:I747)</f>
        <v>1.2113625701290673</v>
      </c>
      <c r="N749" s="16" cm="1">
        <f t="array" ref="N749">SUM(ABS(N2:N747))/ COUNT(N2:N747)</f>
        <v>1.2045066530057604</v>
      </c>
      <c r="T749" s="16" cm="1">
        <f t="array" ref="T749">SUM(ABS(T2:T747))/ COUNT(T2:T747)</f>
        <v>1.1907050521107019</v>
      </c>
      <c r="W749" s="16" cm="1">
        <f t="array" ref="W749">SUM(ABS(W2:W747))/ COUNT(W2:W747)</f>
        <v>1.1267316297868153</v>
      </c>
      <c r="Y749" s="16" cm="1">
        <f t="array" ref="Y749">SUM(ABS(Y2:Y747))/ COUNT(Y2:Y747)</f>
        <v>1.114462484808421</v>
      </c>
      <c r="AD749" s="16" cm="1">
        <f t="array" ref="AD749">SUM(ABS(AD2:AD747))/ COUNT(AD2:AD747)</f>
        <v>1.0750089375243828</v>
      </c>
      <c r="AE749" s="16"/>
      <c r="AF749" s="16"/>
    </row>
    <row r="750" spans="1:32">
      <c r="B750" s="16" t="s">
        <v>69</v>
      </c>
      <c r="I750" s="16" cm="1">
        <f t="array" ref="I750">SUM(I2:I747*I2:I747)/ COUNT(I2:I747)</f>
        <v>2.1189085096833051</v>
      </c>
      <c r="N750" s="16" cm="1">
        <f t="array" ref="N750">SUM(N2:N747*N2:N747)/ COUNT(N2:N747)</f>
        <v>2.1293946530129322</v>
      </c>
      <c r="T750" s="16" cm="1">
        <f t="array" ref="T750">SUM(T2:T747*T2:T747)/ COUNT(T2:T747)</f>
        <v>2.0770864538990503</v>
      </c>
      <c r="W750" s="16" cm="1">
        <f t="array" ref="W750">SUM(W2:W747*W2:W747)/ COUNT(W2:W747)</f>
        <v>1.7624919516684328</v>
      </c>
      <c r="Y750" s="16" cm="1">
        <f t="array" ref="Y750">SUM(Y2:Y747*Y2:Y747)/ COUNT(Y2:Y747)</f>
        <v>1.7155515314543077</v>
      </c>
      <c r="AD750" s="16" cm="1">
        <f t="array" ref="AD750">SUM(AD2:AD747*AD2:AD747)/ COUNT(AD2:AD747)</f>
        <v>1.5894690868074162</v>
      </c>
      <c r="AE750" s="16"/>
      <c r="AF750" s="16"/>
    </row>
    <row r="751" spans="1:32">
      <c r="B751" s="16" t="s">
        <v>70</v>
      </c>
      <c r="I751" s="16">
        <f>SQRT(I750)</f>
        <v>1.4556471102857673</v>
      </c>
      <c r="N751" s="16">
        <f>SQRT(N750)</f>
        <v>1.4592445487350405</v>
      </c>
      <c r="T751" s="16">
        <f>SQRT(T750)</f>
        <v>1.4412100658471168</v>
      </c>
      <c r="W751" s="16">
        <f>SQRT(W750)</f>
        <v>1.327588773554685</v>
      </c>
      <c r="Y751" s="16">
        <f>SQRT(Y750)</f>
        <v>1.3097906441314611</v>
      </c>
      <c r="AD751" s="16">
        <f>SQRT(AD750)</f>
        <v>1.2607414829406607</v>
      </c>
      <c r="AE751" s="16"/>
      <c r="AF751" s="16"/>
    </row>
    <row r="752" spans="1:32">
      <c r="B752" s="16" t="s">
        <v>71</v>
      </c>
      <c r="I752" s="16" cm="1">
        <f t="array" ref="I752">AVERAGE(ABS(I2:I747)/$B2:$B747) *100</f>
        <v>19.428333768407182</v>
      </c>
      <c r="N752" s="16" cm="1">
        <f t="array" ref="N752">AVERAGE(ABS(N2:N747)/$B2:$B747) *100</f>
        <v>19.399919387276221</v>
      </c>
      <c r="T752" s="16" cm="1">
        <f t="array" ref="T752">AVERAGE(ABS(T2:T747)/$B2:$B747) *100</f>
        <v>19.191613102220497</v>
      </c>
      <c r="W752" s="16" cm="1">
        <f t="array" ref="W752">AVERAGE(ABS(W2:W747)/$B2:$B747) *100</f>
        <v>18.081374693899374</v>
      </c>
      <c r="Y752" s="16" cm="1">
        <f t="array" ref="Y752">AVERAGE(ABS(Y2:Y747)/$B2:$B747) *100</f>
        <v>17.805790302712044</v>
      </c>
      <c r="AD752" s="16" cm="1">
        <f t="array" ref="AD752">AVERAGE(ABS(AD2:AD747)/$B2:$B747) *100</f>
        <v>17.392017359201265</v>
      </c>
      <c r="AE752" s="16"/>
      <c r="AF752" s="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0CA8-F78B-4427-B837-A73212E06260}">
  <dimension ref="A1:C25"/>
  <sheetViews>
    <sheetView workbookViewId="0">
      <selection activeCell="C16" sqref="C16"/>
    </sheetView>
  </sheetViews>
  <sheetFormatPr defaultColWidth="49.6640625" defaultRowHeight="14.25"/>
  <cols>
    <col min="1" max="1" width="44" customWidth="1"/>
    <col min="2" max="2" width="48.46484375" customWidth="1"/>
    <col min="3" max="3" width="79.86328125" customWidth="1"/>
  </cols>
  <sheetData>
    <row r="1" spans="1:3" ht="19.5" customHeight="1">
      <c r="A1" s="17" t="s">
        <v>110</v>
      </c>
      <c r="B1" s="17" t="s">
        <v>111</v>
      </c>
      <c r="C1" s="17" t="s">
        <v>112</v>
      </c>
    </row>
    <row r="2" spans="1:3" ht="15.75">
      <c r="A2" s="19" t="s">
        <v>113</v>
      </c>
      <c r="B2" s="19" t="s">
        <v>114</v>
      </c>
      <c r="C2" t="s">
        <v>143</v>
      </c>
    </row>
    <row r="3" spans="1:3" ht="15.75">
      <c r="A3" s="19" t="s">
        <v>115</v>
      </c>
      <c r="B3" s="19" t="s">
        <v>116</v>
      </c>
      <c r="C3" t="s">
        <v>137</v>
      </c>
    </row>
    <row r="4" spans="1:3" ht="15.75">
      <c r="A4" s="19" t="s">
        <v>117</v>
      </c>
      <c r="B4" s="19" t="s">
        <v>118</v>
      </c>
      <c r="C4" t="s">
        <v>136</v>
      </c>
    </row>
    <row r="5" spans="1:3" ht="15.75">
      <c r="A5" s="19" t="s">
        <v>119</v>
      </c>
      <c r="B5" s="19" t="s">
        <v>120</v>
      </c>
      <c r="C5" t="s">
        <v>141</v>
      </c>
    </row>
    <row r="6" spans="1:3" ht="15.75">
      <c r="A6" s="19" t="s">
        <v>121</v>
      </c>
      <c r="B6" s="19" t="s">
        <v>122</v>
      </c>
      <c r="C6" t="s">
        <v>139</v>
      </c>
    </row>
    <row r="7" spans="1:3" ht="15.75">
      <c r="A7" s="19" t="s">
        <v>132</v>
      </c>
      <c r="B7" s="19" t="s">
        <v>123</v>
      </c>
      <c r="C7" t="s">
        <v>142</v>
      </c>
    </row>
    <row r="8" spans="1:3" ht="15.75">
      <c r="A8" s="19" t="s">
        <v>124</v>
      </c>
      <c r="B8" s="19" t="s">
        <v>125</v>
      </c>
      <c r="C8" t="s">
        <v>138</v>
      </c>
    </row>
    <row r="9" spans="1:3" ht="15.75">
      <c r="A9" s="19" t="s">
        <v>126</v>
      </c>
      <c r="B9" s="19" t="s">
        <v>127</v>
      </c>
      <c r="C9" t="s">
        <v>140</v>
      </c>
    </row>
    <row r="10" spans="1:3" ht="15.75">
      <c r="A10" s="19" t="s">
        <v>128</v>
      </c>
      <c r="B10" s="19" t="s">
        <v>129</v>
      </c>
      <c r="C10" t="s">
        <v>135</v>
      </c>
    </row>
    <row r="11" spans="1:3" ht="15.75">
      <c r="A11" s="20" t="s">
        <v>130</v>
      </c>
      <c r="B11" s="20" t="s">
        <v>131</v>
      </c>
      <c r="C11" t="s">
        <v>165</v>
      </c>
    </row>
    <row r="12" spans="1:3" ht="19.5" customHeight="1">
      <c r="A12" s="21"/>
      <c r="B12" s="21"/>
    </row>
    <row r="13" spans="1:3" ht="19.5" customHeight="1">
      <c r="A13" s="21"/>
      <c r="B13" s="21"/>
    </row>
    <row r="14" spans="1:3" ht="15.75">
      <c r="A14" s="20"/>
      <c r="B14" s="20"/>
    </row>
    <row r="15" spans="1:3" ht="15.75">
      <c r="A15" s="23" t="s">
        <v>163</v>
      </c>
      <c r="B15" s="23" t="s">
        <v>173</v>
      </c>
    </row>
    <row r="16" spans="1:3" ht="15.75">
      <c r="A16" s="20"/>
      <c r="B16" s="20"/>
    </row>
    <row r="17" spans="1:2" ht="78.75">
      <c r="A17" s="20" t="s">
        <v>162</v>
      </c>
      <c r="B17" s="20" t="s">
        <v>166</v>
      </c>
    </row>
    <row r="18" spans="1:2" ht="47.25">
      <c r="A18" s="20" t="s">
        <v>167</v>
      </c>
      <c r="B18" s="20" t="s">
        <v>168</v>
      </c>
    </row>
    <row r="19" spans="1:2" ht="47.25">
      <c r="A19" s="20" t="s">
        <v>169</v>
      </c>
      <c r="B19" s="20" t="s">
        <v>170</v>
      </c>
    </row>
    <row r="20" spans="1:2" ht="47.25">
      <c r="A20" s="20" t="s">
        <v>171</v>
      </c>
      <c r="B20" s="18" t="s">
        <v>133</v>
      </c>
    </row>
    <row r="21" spans="1:2" ht="15.75">
      <c r="A21" s="20"/>
    </row>
    <row r="24" spans="1:2">
      <c r="A24" s="17" t="s">
        <v>172</v>
      </c>
    </row>
    <row r="25" spans="1:2">
      <c r="A2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Rules</vt:lpstr>
      <vt:lpstr>Question</vt:lpstr>
      <vt:lpstr>Analyses and solution</vt:lpstr>
      <vt:lpstr>Contribution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soumoTBC</dc:creator>
  <cp:lastModifiedBy>HP</cp:lastModifiedBy>
  <dcterms:created xsi:type="dcterms:W3CDTF">2022-12-05T04:19:06Z</dcterms:created>
  <dcterms:modified xsi:type="dcterms:W3CDTF">2024-07-21T00:53:27Z</dcterms:modified>
</cp:coreProperties>
</file>